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9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3.wmf" ContentType="image/x-wmf"/>
  <Override PartName="/xl/media/image4.wmf" ContentType="image/x-wmf"/>
  <Override PartName="/xl/media/image9.wmf" ContentType="image/x-wmf"/>
  <Override PartName="/xl/media/image18.wmf" ContentType="image/x-wmf"/>
  <Override PartName="/xl/media/image20.wmf" ContentType="image/x-wmf"/>
  <Override PartName="/xl/media/image12.wmf" ContentType="image/x-wmf"/>
  <Override PartName="/xl/media/image3.wmf" ContentType="image/x-wmf"/>
  <Override PartName="/xl/media/image8.wmf" ContentType="image/x-wmf"/>
  <Override PartName="/xl/media/image17.wmf" ContentType="image/x-wmf"/>
  <Override PartName="/xl/media/image11.wmf" ContentType="image/x-wmf"/>
  <Override PartName="/xl/media/image2.wmf" ContentType="image/x-wmf"/>
  <Override PartName="/xl/media/image24.wmf" ContentType="image/x-wmf"/>
  <Override PartName="/xl/media/image23.wmf" ContentType="image/x-wmf"/>
  <Override PartName="/xl/media/image22.wmf" ContentType="image/x-wmf"/>
  <Override PartName="/xl/media/image21.wmf" ContentType="image/x-wmf"/>
  <Override PartName="/xl/media/image19.wmf" ContentType="image/x-wmf"/>
  <Override PartName="/xl/media/image5.wmf" ContentType="image/x-wmf"/>
  <Override PartName="/xl/media/image14.wmf" ContentType="image/x-wmf"/>
  <Override PartName="/xl/media/image6.wmf" ContentType="image/x-wmf"/>
  <Override PartName="/xl/media/image15.wmf" ContentType="image/x-wmf"/>
  <Override PartName="/xl/media/image10.wmf" ContentType="image/x-wmf"/>
  <Override PartName="/xl/media/image1.wmf" ContentType="image/x-wmf"/>
  <Override PartName="/xl/media/image7.wmf" ContentType="image/x-wmf"/>
  <Override PartName="/xl/media/image16.wmf" ContentType="image/x-wmf"/>
  <Override PartName="/xl/comments1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revisão de Cargas" sheetId="1" state="visible" r:id="rId3"/>
    <sheet name="Capac.Cond.Corre." sheetId="2" state="visible" r:id="rId4"/>
    <sheet name="Queda de Tensão" sheetId="3" state="visible" r:id="rId5"/>
    <sheet name="Proteção" sheetId="4" state="visible" r:id="rId6"/>
    <sheet name="Quadro de Cargas" sheetId="5" state="visible" r:id="rId7"/>
    <sheet name="Comparativo entre os Métodos " sheetId="6" state="hidden" r:id="rId8"/>
    <sheet name="Tabela 33" sheetId="7" state="hidden" r:id="rId9"/>
    <sheet name="Tabela 36" sheetId="8" state="hidden" r:id="rId10"/>
    <sheet name="Tabela 38" sheetId="9" state="hidden" r:id="rId11"/>
    <sheet name="Plan1" sheetId="10" state="hidden" r:id="rId12"/>
    <sheet name="Plan2" sheetId="11" state="hidden" r:id="rId13"/>
    <sheet name="Demanda" sheetId="12" state="visible" r:id="rId14"/>
    <sheet name="Notas Grupo 1" sheetId="13" state="visible" r:id="rId15"/>
  </sheets>
  <externalReferences>
    <externalReference r:id="rId16"/>
  </externalReferences>
  <definedNames>
    <definedName function="false" hidden="false" name="Motor" vbProcedure="false">'[1]IP 55 4P'!$A$8:$T$41</definedName>
    <definedName function="false" hidden="false" name="_Impedancia" vbProcedure="false">#REF!</definedName>
    <definedName function="false" hidden="false" name="_Seções" vbProcedure="false">#REF!</definedName>
    <definedName function="false" hidden="false" name="_Vnom" vbProcedure="false">'Previsão de Cargas'!$B$2</definedName>
    <definedName function="false" hidden="false" localSheetId="5" name="Cabos" vbProcedure="false">'comparativo entre os métodos '!#ref!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3" authorId="0">
      <text>
        <r>
          <rPr>
            <sz val="10"/>
            <rFont val="Arial"/>
            <family val="2"/>
          </rPr>
          <t xml:space="preserve">Dell:
</t>
        </r>
        <r>
          <rPr>
            <sz val="9"/>
            <color rgb="FF000000"/>
            <rFont val="Tahoma"/>
            <family val="2"/>
            <charset val="1"/>
          </rPr>
          <t xml:space="preserve">Número de condutores carregados: 
2 ou 3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3" authorId="0">
      <text>
        <r>
          <rPr>
            <sz val="10"/>
            <rFont val="Arial"/>
            <family val="2"/>
          </rPr>
          <t xml:space="preserve">Dell:
</t>
        </r>
        <r>
          <rPr>
            <sz val="9"/>
            <color rgb="FF000000"/>
            <rFont val="Tahoma"/>
            <family val="2"/>
            <charset val="1"/>
          </rPr>
          <t xml:space="preserve">Monofáscio k=2
Trifásico k=1</t>
        </r>
      </text>
    </comment>
    <comment ref="G3" authorId="0">
      <text>
        <r>
          <rPr>
            <sz val="10"/>
            <rFont val="Arial"/>
            <family val="2"/>
          </rPr>
          <t xml:space="preserve">Dell:
</t>
        </r>
        <r>
          <rPr>
            <sz val="9"/>
            <color rgb="FF000000"/>
            <rFont val="Tahoma"/>
            <family val="2"/>
            <charset val="1"/>
          </rPr>
          <t xml:space="preserve">Cobre: 0,0172 Ω . mm² / m
Alumínio: 0,02857 Ω . mm² / m</t>
        </r>
      </text>
    </comment>
    <comment ref="H3" authorId="0">
      <text>
        <r>
          <rPr>
            <sz val="10"/>
            <rFont val="Arial"/>
            <family val="2"/>
          </rPr>
          <t xml:space="preserve">Dell:
</t>
        </r>
        <r>
          <rPr>
            <sz val="9"/>
            <color rgb="FF000000"/>
            <rFont val="Tahoma"/>
            <family val="2"/>
            <charset val="1"/>
          </rPr>
          <t xml:space="preserve">Altura QD = 1,20 m
Tomada baixa = 0,3 m
Tomada média = 1,1 m
Tomada alta = 2,2 m</t>
        </r>
      </text>
    </comment>
    <comment ref="K3" authorId="0">
      <text>
        <r>
          <rPr>
            <sz val="10"/>
            <rFont val="Arial"/>
            <family val="2"/>
          </rPr>
          <t xml:space="preserve">Selecionar a maior seção entre os critérios:
</t>
        </r>
        <r>
          <rPr>
            <sz val="9"/>
            <color rgb="FF000000"/>
            <rFont val="Tahoma"/>
            <family val="2"/>
            <charset val="1"/>
          </rPr>
          <t xml:space="preserve">- Seção Mínima (2,5mm²);
- Capacidade de Condução de Corrente;
- Queda de Tensão;
Valores comerciais:
0,5;
0,75;
1,0;
1,5;
2,5;
4,0;
6,0;
10;
16;
25;
35;
50;
70;
95;
120;
150;
185;
240;
300;
400;
500;
630;
800;
1000;
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4" authorId="0">
      <text>
        <r>
          <rPr>
            <sz val="10"/>
            <rFont val="Arial"/>
            <family val="2"/>
          </rPr>
          <t xml:space="preserve">OBS.: </t>
        </r>
        <r>
          <rPr>
            <sz val="9"/>
            <color rgb="FF000000"/>
            <rFont val="Segoe UI"/>
            <family val="2"/>
            <charset val="1"/>
          </rPr>
          <t xml:space="preserve">Mesclar as células de acordo com a potência dos motores</t>
        </r>
      </text>
    </comment>
    <comment ref="N4" authorId="0">
      <text>
        <r>
          <rPr>
            <sz val="10"/>
            <rFont val="Arial"/>
            <family val="2"/>
          </rPr>
          <t xml:space="preserve">OBS.: </t>
        </r>
        <r>
          <rPr>
            <sz val="9"/>
            <color rgb="FF000000"/>
            <rFont val="Segoe UI"/>
            <family val="2"/>
            <charset val="1"/>
          </rPr>
          <t xml:space="preserve">Mesclar as células de acordo com a potência dos motores
</t>
        </r>
      </text>
    </comment>
  </commentList>
</comments>
</file>

<file path=xl/sharedStrings.xml><?xml version="1.0" encoding="utf-8"?>
<sst xmlns="http://schemas.openxmlformats.org/spreadsheetml/2006/main" count="954" uniqueCount="376">
  <si>
    <t xml:space="preserve">Central de Comando de Motores</t>
  </si>
  <si>
    <t xml:space="preserve">CCM</t>
  </si>
  <si>
    <t xml:space="preserve">Valor Nominal da Tensão de Linha</t>
  </si>
  <si>
    <t xml:space="preserve">V</t>
  </si>
  <si>
    <t xml:space="preserve">DADOS DE ENTRADA</t>
  </si>
  <si>
    <t xml:space="preserve">Circuito</t>
  </si>
  <si>
    <t xml:space="preserve">Origem</t>
  </si>
  <si>
    <t xml:space="preserve">Destino</t>
  </si>
  <si>
    <t xml:space="preserve">PN - Potência Nominal
 [HP]</t>
  </si>
  <si>
    <t xml:space="preserve">F.P.</t>
  </si>
  <si>
    <r>
      <rPr>
        <b val="true"/>
        <sz val="9"/>
        <rFont val="Arial"/>
        <family val="2"/>
        <charset val="1"/>
      </rPr>
      <t xml:space="preserve">K</t>
    </r>
    <r>
      <rPr>
        <b val="true"/>
        <sz val="8"/>
        <rFont val="Arial"/>
        <family val="2"/>
        <charset val="1"/>
      </rPr>
      <t xml:space="preserve">p (Ip/In)</t>
    </r>
  </si>
  <si>
    <r>
      <rPr>
        <b val="true"/>
        <sz val="9"/>
        <rFont val="Calibri"/>
        <family val="2"/>
        <charset val="1"/>
      </rPr>
      <t xml:space="preserve">η</t>
    </r>
    <r>
      <rPr>
        <b val="true"/>
        <sz val="9"/>
        <rFont val="Arial"/>
        <family val="2"/>
        <charset val="1"/>
      </rPr>
      <t xml:space="preserve"> - Rendimento
[%]</t>
    </r>
  </si>
  <si>
    <t xml:space="preserve">FS - Fator de Serviço</t>
  </si>
  <si>
    <t xml:space="preserve">P
Potência Ativa
[kW]</t>
  </si>
  <si>
    <t xml:space="preserve">S
Potência
Aparente
 [kVA]</t>
  </si>
  <si>
    <t xml:space="preserve">Q
Potência
Reativa
 [kVAr]</t>
  </si>
  <si>
    <t xml:space="preserve">Corrente</t>
  </si>
  <si>
    <t xml:space="preserve">Potência Ativa  TOTAL (P)
[kW]</t>
  </si>
  <si>
    <t xml:space="preserve">Potência Reativa TOTAL (Q)
 [kVAr]</t>
  </si>
  <si>
    <t xml:space="preserve">Potência Aparente TOTAL (S)
 [kVA]</t>
  </si>
  <si>
    <r>
      <rPr>
        <b val="true"/>
        <sz val="9"/>
        <rFont val="Arial"/>
        <family val="2"/>
        <charset val="1"/>
      </rPr>
      <t xml:space="preserve">I</t>
    </r>
    <r>
      <rPr>
        <b val="true"/>
        <vertAlign val="subscript"/>
        <sz val="9"/>
        <rFont val="Arial"/>
        <family val="2"/>
        <charset val="1"/>
      </rPr>
      <t xml:space="preserve">N
</t>
    </r>
    <r>
      <rPr>
        <b val="true"/>
        <sz val="9"/>
        <rFont val="Arial"/>
        <family val="2"/>
        <charset val="1"/>
      </rPr>
      <t xml:space="preserve">[A]</t>
    </r>
  </si>
  <si>
    <r>
      <rPr>
        <b val="true"/>
        <sz val="9"/>
        <rFont val="Arial"/>
        <family val="2"/>
        <charset val="1"/>
      </rPr>
      <t xml:space="preserve">I</t>
    </r>
    <r>
      <rPr>
        <b val="true"/>
        <vertAlign val="subscript"/>
        <sz val="9"/>
        <rFont val="Arial"/>
        <family val="2"/>
        <charset val="1"/>
      </rPr>
      <t xml:space="preserve">P
</t>
    </r>
    <r>
      <rPr>
        <b val="true"/>
        <sz val="9"/>
        <rFont val="Arial"/>
        <family val="2"/>
        <charset val="1"/>
      </rPr>
      <t xml:space="preserve"> [A]</t>
    </r>
  </si>
  <si>
    <t xml:space="preserve">50 - TUE M1</t>
  </si>
  <si>
    <t xml:space="preserve">CCM1</t>
  </si>
  <si>
    <t xml:space="preserve">Colagem e Montagem</t>
  </si>
  <si>
    <t xml:space="preserve">Alimentador QD1</t>
  </si>
  <si>
    <t xml:space="preserve">QGBT</t>
  </si>
  <si>
    <t xml:space="preserve">QD1</t>
  </si>
  <si>
    <t xml:space="preserve">51 - TUE M2</t>
  </si>
  <si>
    <t xml:space="preserve">Alimentador QD2</t>
  </si>
  <si>
    <t xml:space="preserve">QD2</t>
  </si>
  <si>
    <t xml:space="preserve">52 - TUE M3</t>
  </si>
  <si>
    <t xml:space="preserve">Alimentador QD3</t>
  </si>
  <si>
    <t xml:space="preserve">QD3</t>
  </si>
  <si>
    <t xml:space="preserve">53 - TUE M4</t>
  </si>
  <si>
    <t xml:space="preserve">Alimentador QD4</t>
  </si>
  <si>
    <t xml:space="preserve">QD4</t>
  </si>
  <si>
    <t xml:space="preserve">54 - TUE M5</t>
  </si>
  <si>
    <t xml:space="preserve">Alimentador CCM1</t>
  </si>
  <si>
    <t xml:space="preserve">55 - TUE M6</t>
  </si>
  <si>
    <t xml:space="preserve">Alimentador CCM2</t>
  </si>
  <si>
    <t xml:space="preserve">CCM2</t>
  </si>
  <si>
    <t xml:space="preserve">56 - TUE M7</t>
  </si>
  <si>
    <t xml:space="preserve">Alimentador CCM3</t>
  </si>
  <si>
    <t xml:space="preserve">CCM3</t>
  </si>
  <si>
    <t xml:space="preserve">57 - TUE M8</t>
  </si>
  <si>
    <t xml:space="preserve">Alimentador CCM4</t>
  </si>
  <si>
    <t xml:space="preserve">CCM4</t>
  </si>
  <si>
    <t xml:space="preserve">58 - TUE M9</t>
  </si>
  <si>
    <t xml:space="preserve">Tornear e chanfrar</t>
  </si>
  <si>
    <t xml:space="preserve">59 - TUE M10</t>
  </si>
  <si>
    <t xml:space="preserve">60 - TUE M11</t>
  </si>
  <si>
    <t xml:space="preserve">61 - TUE M12</t>
  </si>
  <si>
    <t xml:space="preserve">62 - TUE M13</t>
  </si>
  <si>
    <t xml:space="preserve">63 - TUE M14</t>
  </si>
  <si>
    <t xml:space="preserve">64 - TUE M15</t>
  </si>
  <si>
    <t xml:space="preserve">Polimento</t>
  </si>
  <si>
    <t xml:space="preserve">65 - TUE M16</t>
  </si>
  <si>
    <t xml:space="preserve">66 - TUE M17</t>
  </si>
  <si>
    <t xml:space="preserve">67 - TUE M18</t>
  </si>
  <si>
    <t xml:space="preserve">68 - TUE M19</t>
  </si>
  <si>
    <t xml:space="preserve">69 - TUE M20</t>
  </si>
  <si>
    <t xml:space="preserve">70 - TUE M21</t>
  </si>
  <si>
    <t xml:space="preserve">71 - TUE M22</t>
  </si>
  <si>
    <t xml:space="preserve">72 - TUE M23</t>
  </si>
  <si>
    <t xml:space="preserve">Sistemas de serras</t>
  </si>
  <si>
    <t xml:space="preserve">73 - TUE M24</t>
  </si>
  <si>
    <t xml:space="preserve">CRITÉRIO DA CAPACIDADE DE CONDUÇÃO DE CORRENTE</t>
  </si>
  <si>
    <t xml:space="preserve">Circuito
N° - Tipo</t>
  </si>
  <si>
    <t xml:space="preserve">IN
[A]</t>
  </si>
  <si>
    <t xml:space="preserve">FT
(F.Temp.)</t>
  </si>
  <si>
    <t xml:space="preserve">N° Circ.
Agrup.</t>
  </si>
  <si>
    <t xml:space="preserve">FA
(F.Agrup.)</t>
  </si>
  <si>
    <t xml:space="preserve">IN'
[A]</t>
  </si>
  <si>
    <t xml:space="preserve">Método
Instala.</t>
  </si>
  <si>
    <t xml:space="preserve">Tipo de
Isolação</t>
  </si>
  <si>
    <t xml:space="preserve">N° Cond.
Carregados</t>
  </si>
  <si>
    <t xml:space="preserve">S2 - Seção 
(mm²)</t>
  </si>
  <si>
    <t xml:space="preserve">Motor M1</t>
  </si>
  <si>
    <t xml:space="preserve">E</t>
  </si>
  <si>
    <t xml:space="preserve">PVC 0,6/1 kV (Sintenax)</t>
  </si>
  <si>
    <t xml:space="preserve">Motor M2</t>
  </si>
  <si>
    <t xml:space="preserve">Motor M3</t>
  </si>
  <si>
    <t xml:space="preserve">Motor M4</t>
  </si>
  <si>
    <t xml:space="preserve">Motor M5</t>
  </si>
  <si>
    <t xml:space="preserve">Motor M6</t>
  </si>
  <si>
    <t xml:space="preserve">Motor M7</t>
  </si>
  <si>
    <t xml:space="preserve">Motor M8</t>
  </si>
  <si>
    <t xml:space="preserve">Motor M9</t>
  </si>
  <si>
    <t xml:space="preserve">Motor M10</t>
  </si>
  <si>
    <t xml:space="preserve">Motor M11</t>
  </si>
  <si>
    <t xml:space="preserve">Motor M12</t>
  </si>
  <si>
    <t xml:space="preserve">Motor M13</t>
  </si>
  <si>
    <t xml:space="preserve">Motor M14</t>
  </si>
  <si>
    <t xml:space="preserve">Motor M15</t>
  </si>
  <si>
    <t xml:space="preserve">Motor M16</t>
  </si>
  <si>
    <t xml:space="preserve">Motor M17</t>
  </si>
  <si>
    <t xml:space="preserve">Motor M18</t>
  </si>
  <si>
    <t xml:space="preserve">Motor M19</t>
  </si>
  <si>
    <t xml:space="preserve">Motor M20</t>
  </si>
  <si>
    <t xml:space="preserve">Motor M21</t>
  </si>
  <si>
    <t xml:space="preserve">Motor M22</t>
  </si>
  <si>
    <t xml:space="preserve">Motor M23</t>
  </si>
  <si>
    <t xml:space="preserve">F</t>
  </si>
  <si>
    <t xml:space="preserve">EPR 0,6/1 kV (Afumex)</t>
  </si>
  <si>
    <t xml:space="preserve">Motor M24</t>
  </si>
  <si>
    <t xml:space="preserve">B1</t>
  </si>
  <si>
    <t xml:space="preserve">PVC 450/750 V (T1, eletroduto embutido)</t>
  </si>
  <si>
    <t xml:space="preserve">CRITÉRIO DE QUEDA DE TENSÃO</t>
  </si>
  <si>
    <t xml:space="preserve">VN
[V]</t>
  </si>
  <si>
    <t xml:space="preserve">k</t>
  </si>
  <si>
    <t xml:space="preserve">ρ
[Ω.mm²/m]
</t>
  </si>
  <si>
    <t xml:space="preserve">L
[m]</t>
  </si>
  <si>
    <t xml:space="preserve">Queda de tensão (Máx) [%]</t>
  </si>
  <si>
    <t xml:space="preserve">S3 - Seção
Calculada
[mm²]</t>
  </si>
  <si>
    <t xml:space="preserve">SF - Seção
Comercial
[mm²]</t>
  </si>
  <si>
    <t xml:space="preserve">PROTEÇÕES DOS CENTROS DE COMANDO DOS MOTORES (CCM)</t>
  </si>
  <si>
    <t xml:space="preserve">Equipamento</t>
  </si>
  <si>
    <t xml:space="preserve">Método de Partida</t>
  </si>
  <si>
    <r>
      <rPr>
        <b val="true"/>
        <sz val="9"/>
        <rFont val="Arial"/>
        <family val="2"/>
        <charset val="1"/>
      </rPr>
      <t xml:space="preserve">Corrente de partida
(I</t>
    </r>
    <r>
      <rPr>
        <b val="true"/>
        <vertAlign val="subscript"/>
        <sz val="9"/>
        <rFont val="Arial"/>
        <family val="2"/>
        <charset val="1"/>
      </rPr>
      <t xml:space="preserve">P</t>
    </r>
    <r>
      <rPr>
        <b val="true"/>
        <sz val="9"/>
        <rFont val="Arial"/>
        <family val="2"/>
        <charset val="1"/>
      </rPr>
      <t xml:space="preserve">)
[A]</t>
    </r>
  </si>
  <si>
    <r>
      <rPr>
        <b val="true"/>
        <sz val="9"/>
        <rFont val="Arial"/>
        <family val="2"/>
        <charset val="1"/>
      </rPr>
      <t xml:space="preserve">Tempo de partida
(T</t>
    </r>
    <r>
      <rPr>
        <b val="true"/>
        <vertAlign val="subscript"/>
        <sz val="9"/>
        <rFont val="Arial"/>
        <family val="2"/>
        <charset val="1"/>
      </rPr>
      <t xml:space="preserve">P</t>
    </r>
    <r>
      <rPr>
        <b val="true"/>
        <sz val="9"/>
        <rFont val="Arial"/>
        <family val="2"/>
        <charset val="1"/>
      </rPr>
      <t xml:space="preserve">)
[s]</t>
    </r>
  </si>
  <si>
    <t xml:space="preserve">Relé de Sobrecarga</t>
  </si>
  <si>
    <t xml:space="preserve">Contator</t>
  </si>
  <si>
    <t xml:space="preserve">Fusível Ramal</t>
  </si>
  <si>
    <r>
      <rPr>
        <b val="true"/>
        <sz val="9"/>
        <rFont val="Arial"/>
        <family val="2"/>
        <charset val="1"/>
      </rPr>
      <t xml:space="preserve">Tempo de atuação do fusível durante a partida é adequado?
(T</t>
    </r>
    <r>
      <rPr>
        <b val="true"/>
        <vertAlign val="subscript"/>
        <sz val="9"/>
        <rFont val="Arial"/>
        <family val="2"/>
        <charset val="1"/>
      </rPr>
      <t xml:space="preserve">F</t>
    </r>
    <r>
      <rPr>
        <b val="true"/>
        <sz val="9"/>
        <rFont val="Arial"/>
        <family val="2"/>
        <charset val="1"/>
      </rPr>
      <t xml:space="preserve">&gt; T</t>
    </r>
    <r>
      <rPr>
        <b val="true"/>
        <vertAlign val="subscript"/>
        <sz val="9"/>
        <rFont val="Arial"/>
        <family val="2"/>
        <charset val="1"/>
      </rPr>
      <t xml:space="preserve">P</t>
    </r>
    <r>
      <rPr>
        <b val="true"/>
        <sz val="9"/>
        <rFont val="Arial"/>
        <family val="2"/>
        <charset val="1"/>
      </rPr>
      <t xml:space="preserve">)</t>
    </r>
  </si>
  <si>
    <r>
      <rPr>
        <b val="true"/>
        <sz val="9"/>
        <rFont val="Arial"/>
        <family val="2"/>
        <charset val="1"/>
      </rPr>
      <t xml:space="preserve">Fusível compatível com o relé de sobrecarga e contator?
(I</t>
    </r>
    <r>
      <rPr>
        <b val="true"/>
        <vertAlign val="subscript"/>
        <sz val="9"/>
        <rFont val="Arial"/>
        <family val="2"/>
        <charset val="1"/>
      </rPr>
      <t xml:space="preserve">F </t>
    </r>
    <r>
      <rPr>
        <b val="true"/>
        <sz val="9"/>
        <rFont val="Arial"/>
        <family val="2"/>
        <charset val="1"/>
      </rPr>
      <t xml:space="preserve">≤ I</t>
    </r>
    <r>
      <rPr>
        <b val="true"/>
        <vertAlign val="subscript"/>
        <sz val="9"/>
        <rFont val="Arial"/>
        <family val="2"/>
        <charset val="1"/>
      </rPr>
      <t xml:space="preserve">F,max</t>
    </r>
    <r>
      <rPr>
        <b val="true"/>
        <sz val="9"/>
        <rFont val="Arial"/>
        <family val="2"/>
        <charset val="1"/>
      </rPr>
      <t xml:space="preserve">)</t>
    </r>
  </si>
  <si>
    <t xml:space="preserve">Fusível Geral (FG)</t>
  </si>
  <si>
    <t xml:space="preserve">Chave Geral</t>
  </si>
  <si>
    <t xml:space="preserve">Disjuntor Geral</t>
  </si>
  <si>
    <r>
      <rPr>
        <b val="true"/>
        <sz val="10"/>
        <rFont val="Arial"/>
        <family val="2"/>
        <charset val="1"/>
      </rPr>
      <t xml:space="preserve">Corrente Ajuste (I</t>
    </r>
    <r>
      <rPr>
        <b val="true"/>
        <vertAlign val="subscript"/>
        <sz val="10"/>
        <rFont val="Arial"/>
        <family val="2"/>
        <charset val="1"/>
      </rPr>
      <t xml:space="preserve">AJ</t>
    </r>
    <r>
      <rPr>
        <b val="true"/>
        <sz val="10"/>
        <rFont val="Arial"/>
        <family val="2"/>
        <charset val="1"/>
      </rPr>
      <t xml:space="preserve">)
[A]</t>
    </r>
  </si>
  <si>
    <t xml:space="preserve">Modelo
</t>
  </si>
  <si>
    <t xml:space="preserve">Faixa de 
Ajuste 
[A]</t>
  </si>
  <si>
    <r>
      <rPr>
        <b val="true"/>
        <sz val="9"/>
        <rFont val="Arial"/>
        <family val="2"/>
        <charset val="1"/>
      </rPr>
      <t xml:space="preserve">Fusível Máximo
(I</t>
    </r>
    <r>
      <rPr>
        <b val="true"/>
        <vertAlign val="subscript"/>
        <sz val="9"/>
        <rFont val="Arial"/>
        <family val="2"/>
        <charset val="1"/>
      </rPr>
      <t xml:space="preserve">F,max</t>
    </r>
    <r>
      <rPr>
        <b val="true"/>
        <sz val="9"/>
        <rFont val="Arial"/>
        <family val="2"/>
        <charset val="1"/>
      </rPr>
      <t xml:space="preserve">)
[A]</t>
    </r>
  </si>
  <si>
    <r>
      <rPr>
        <b val="true"/>
        <sz val="10"/>
        <rFont val="Arial"/>
        <family val="2"/>
        <charset val="1"/>
      </rPr>
      <t xml:space="preserve">I</t>
    </r>
    <r>
      <rPr>
        <b val="true"/>
        <vertAlign val="subscript"/>
        <sz val="10"/>
        <rFont val="Arial"/>
        <family val="2"/>
        <charset val="1"/>
      </rPr>
      <t xml:space="preserve">e</t>
    </r>
    <r>
      <rPr>
        <b val="true"/>
        <sz val="10"/>
        <rFont val="Arial"/>
        <family val="2"/>
        <charset val="1"/>
      </rPr>
      <t xml:space="preserve"> 
[A]</t>
    </r>
  </si>
  <si>
    <r>
      <rPr>
        <b val="true"/>
        <sz val="10"/>
        <rFont val="Arial"/>
        <family val="2"/>
        <charset val="1"/>
      </rPr>
      <t xml:space="preserve">Fusível Mínimo (I</t>
    </r>
    <r>
      <rPr>
        <b val="true"/>
        <vertAlign val="subscript"/>
        <sz val="10"/>
        <rFont val="Arial"/>
        <family val="2"/>
        <charset val="1"/>
      </rPr>
      <t xml:space="preserve">F,min</t>
    </r>
    <r>
      <rPr>
        <b val="true"/>
        <sz val="10"/>
        <rFont val="Arial"/>
        <family val="2"/>
        <charset val="1"/>
      </rPr>
      <t xml:space="preserve">)
[A]</t>
    </r>
  </si>
  <si>
    <t xml:space="preserve">Tipo</t>
  </si>
  <si>
    <r>
      <rPr>
        <b val="true"/>
        <sz val="10"/>
        <rFont val="Arial"/>
        <family val="2"/>
        <charset val="1"/>
      </rPr>
      <t xml:space="preserve">Fusível Comercial (I</t>
    </r>
    <r>
      <rPr>
        <b val="true"/>
        <vertAlign val="subscript"/>
        <sz val="10"/>
        <rFont val="Arial"/>
        <family val="2"/>
        <charset val="1"/>
      </rPr>
      <t xml:space="preserve">F</t>
    </r>
    <r>
      <rPr>
        <b val="true"/>
        <sz val="10"/>
        <rFont val="Arial"/>
        <family val="2"/>
        <charset val="1"/>
      </rPr>
      <t xml:space="preserve">)
[A]</t>
    </r>
  </si>
  <si>
    <r>
      <rPr>
        <b val="true"/>
        <sz val="10"/>
        <rFont val="Arial"/>
        <family val="2"/>
        <charset val="1"/>
      </rPr>
      <t xml:space="preserve">Tempo de
atuação
(T</t>
    </r>
    <r>
      <rPr>
        <b val="true"/>
        <vertAlign val="subscript"/>
        <sz val="10"/>
        <rFont val="Arial"/>
        <family val="2"/>
        <charset val="1"/>
      </rPr>
      <t xml:space="preserve">F</t>
    </r>
    <r>
      <rPr>
        <b val="true"/>
        <sz val="10"/>
        <rFont val="Arial"/>
        <family val="2"/>
        <charset val="1"/>
      </rPr>
      <t xml:space="preserve">)
[s]</t>
    </r>
  </si>
  <si>
    <t xml:space="preserve">Valor Comercial do Maior 
Fusível do CCM
[A]</t>
  </si>
  <si>
    <t xml:space="preserve">Somatório das correntes dos outros motores do CCM
 [A]</t>
  </si>
  <si>
    <r>
      <rPr>
        <b val="true"/>
        <sz val="10"/>
        <rFont val="Arial"/>
        <family val="2"/>
        <charset val="1"/>
      </rPr>
      <t xml:space="preserve">Fusível Geral Mínimo (I</t>
    </r>
    <r>
      <rPr>
        <b val="true"/>
        <vertAlign val="subscript"/>
        <sz val="10"/>
        <rFont val="Arial"/>
        <family val="2"/>
        <charset val="1"/>
      </rPr>
      <t xml:space="preserve">FG,min</t>
    </r>
    <r>
      <rPr>
        <b val="true"/>
        <sz val="10"/>
        <rFont val="Arial"/>
        <family val="2"/>
        <charset val="1"/>
      </rPr>
      <t xml:space="preserve">)
[A]</t>
    </r>
  </si>
  <si>
    <r>
      <rPr>
        <b val="true"/>
        <sz val="10"/>
        <rFont val="Arial"/>
        <family val="2"/>
        <charset val="1"/>
      </rPr>
      <t xml:space="preserve">Fusível Comercial (I</t>
    </r>
    <r>
      <rPr>
        <b val="true"/>
        <vertAlign val="subscript"/>
        <sz val="10"/>
        <rFont val="Arial"/>
        <family val="2"/>
        <charset val="1"/>
      </rPr>
      <t xml:space="preserve">FG</t>
    </r>
    <r>
      <rPr>
        <b val="true"/>
        <sz val="10"/>
        <rFont val="Arial"/>
        <family val="2"/>
        <charset val="1"/>
      </rPr>
      <t xml:space="preserve">)
[A]</t>
    </r>
  </si>
  <si>
    <r>
      <rPr>
        <b val="true"/>
        <sz val="10"/>
        <rFont val="Arial"/>
        <family val="2"/>
        <charset val="1"/>
      </rPr>
      <t xml:space="preserve">I</t>
    </r>
    <r>
      <rPr>
        <b val="true"/>
        <vertAlign val="subscript"/>
        <sz val="10"/>
        <rFont val="Arial"/>
        <family val="2"/>
        <charset val="1"/>
      </rPr>
      <t xml:space="preserve">CG</t>
    </r>
    <r>
      <rPr>
        <b val="true"/>
        <sz val="10"/>
        <rFont val="Arial"/>
        <family val="2"/>
        <charset val="1"/>
      </rPr>
      <t xml:space="preserve"> 
[A]</t>
    </r>
  </si>
  <si>
    <r>
      <rPr>
        <b val="true"/>
        <sz val="10"/>
        <rFont val="Arial"/>
        <family val="2"/>
        <charset val="1"/>
      </rPr>
      <t xml:space="preserve">I</t>
    </r>
    <r>
      <rPr>
        <b val="true"/>
        <vertAlign val="subscript"/>
        <sz val="10"/>
        <rFont val="Arial"/>
        <family val="2"/>
        <charset val="1"/>
      </rPr>
      <t xml:space="preserve">DG</t>
    </r>
    <r>
      <rPr>
        <b val="true"/>
        <sz val="10"/>
        <rFont val="Arial"/>
        <family val="2"/>
        <charset val="1"/>
      </rPr>
      <t xml:space="preserve"> 
[A]</t>
    </r>
  </si>
  <si>
    <t xml:space="preserve">Direta</t>
  </si>
  <si>
    <t xml:space="preserve">3RU11 16-1KB0</t>
  </si>
  <si>
    <t xml:space="preserve">9 – 12</t>
  </si>
  <si>
    <t xml:space="preserve">3RT10 17-1AQ01</t>
  </si>
  <si>
    <t xml:space="preserve">Diazed DII gG (5SB2 71)</t>
  </si>
  <si>
    <t xml:space="preserve">NH00 gG (3NA3 836)</t>
  </si>
  <si>
    <t xml:space="preserve">Seccionadora tripolar sob carga 160 A, com base NH00</t>
  </si>
  <si>
    <t xml:space="preserve">Disjuntor termomagnético tripolar (caixa moldada), no QGBT</t>
  </si>
  <si>
    <t xml:space="preserve">Estrela-Triângulo</t>
  </si>
  <si>
    <t xml:space="preserve">3RU11 26-4AB0</t>
  </si>
  <si>
    <t xml:space="preserve">11 – 16</t>
  </si>
  <si>
    <t xml:space="preserve">K1/K2: 3RT10 26-1AQ00 | K3: 3RT10 23-1AQ00 (9 A)</t>
  </si>
  <si>
    <t xml:space="preserve">Diazed DIII gG (5SB4 11)</t>
  </si>
  <si>
    <t xml:space="preserve">3RU11 26-4BB0</t>
  </si>
  <si>
    <t xml:space="preserve">14 – 20</t>
  </si>
  <si>
    <t xml:space="preserve">3RT10 26-1AQ00</t>
  </si>
  <si>
    <t xml:space="preserve">NH1 gG (3NA3 140)</t>
  </si>
  <si>
    <t xml:space="preserve">Seccionadora tripolar sob carga 200 A, com base NH1</t>
  </si>
  <si>
    <t xml:space="preserve">3RU11 36-4FB0</t>
  </si>
  <si>
    <t xml:space="preserve">28 – 40</t>
  </si>
  <si>
    <t xml:space="preserve">K1/K2: 3RT10 36-1AQ00 | K3: 3RT10 25-1AQ00 (17 A)</t>
  </si>
  <si>
    <t xml:space="preserve">NH00 gG (3NA3 824)</t>
  </si>
  <si>
    <t xml:space="preserve">3RT10 25-1AQ00</t>
  </si>
  <si>
    <t xml:space="preserve">Diazed DII gG (5SB2 81)</t>
  </si>
  <si>
    <t xml:space="preserve">NH2 gG (3NA3 250)</t>
  </si>
  <si>
    <t xml:space="preserve">Seccionadora tripolar sob carga 300 A, com base NH2</t>
  </si>
  <si>
    <t xml:space="preserve">3RU11 36-4DB0</t>
  </si>
  <si>
    <t xml:space="preserve">18 – 25</t>
  </si>
  <si>
    <t xml:space="preserve">K1/K2: 3RT10 34-1AQ00 | K3: 3RT10 24-1AQ00 (12 A)</t>
  </si>
  <si>
    <t xml:space="preserve">Diazed DIII gG (5SB4 21)</t>
  </si>
  <si>
    <t xml:space="preserve">3RU11 46-4HB0</t>
  </si>
  <si>
    <t xml:space="preserve">36 – 50</t>
  </si>
  <si>
    <t xml:space="preserve">K1/K2: 3RT10 44-1AQ00 | K3: 3RT10 26-1AQ00 (25 A)</t>
  </si>
  <si>
    <t xml:space="preserve">NH00 gG (3NA3 830)</t>
  </si>
  <si>
    <t xml:space="preserve">Soft-starter</t>
  </si>
  <si>
    <t xml:space="preserve">Soft-starter WEG SSW07 0130 (130 A) – proteção de sobrecarga integrada, ajuste = FS×IN ≈ 128 A – A CONFIRMAR (pesquisa no catálogo WEG)</t>
  </si>
  <si>
    <t xml:space="preserve">3RT10 55 (150 A) – A CONFIRMAR (slide: mesmo fabricante da soft-starter)</t>
  </si>
  <si>
    <t xml:space="preserve">—</t>
  </si>
  <si>
    <t xml:space="preserve">aR ultrarrápido NH1 (WEG FNH1-400K-A) – A CONFIRMAR no manual SSW07</t>
  </si>
  <si>
    <t xml:space="preserve">N/A: a soft-starter limita a corrente de partida</t>
  </si>
  <si>
    <t xml:space="preserve">Verificar coordenação no manual WEG SSW07</t>
  </si>
  <si>
    <t xml:space="preserve">NH3 gG (3NA3 372)</t>
  </si>
  <si>
    <t xml:space="preserve">Seccionadora tripolar sob carga 630 A, com base NH3 – depende do fusível do 75 HP (A CONFIRMAR)</t>
  </si>
  <si>
    <t xml:space="preserve">Disjuntor termomagnético tripolar (Tarefa 1)</t>
  </si>
  <si>
    <t xml:space="preserve">QUADRO DE CARGAS - </t>
  </si>
  <si>
    <t xml:space="preserve">FATORES DE CORREÇÃO</t>
  </si>
  <si>
    <t xml:space="preserve">CONDUTORES</t>
  </si>
  <si>
    <t xml:space="preserve">PROTEÇÃO</t>
  </si>
  <si>
    <t xml:space="preserve">Tensão
 (V)</t>
  </si>
  <si>
    <t xml:space="preserve">Carga 
(HP)</t>
  </si>
  <si>
    <t xml:space="preserve">Carga
(kW)</t>
  </si>
  <si>
    <t xml:space="preserve">Carga
(kVAr)</t>
  </si>
  <si>
    <t xml:space="preserve">Corrente (A)</t>
  </si>
  <si>
    <t xml:space="preserve">F.T.</t>
  </si>
  <si>
    <t xml:space="preserve"> F.A.</t>
  </si>
  <si>
    <t xml:space="preserve">Tipo de Isolação</t>
  </si>
  <si>
    <t xml:space="preserve">Número condutores por fase</t>
  </si>
  <si>
    <t xml:space="preserve">Seção
(mm²)</t>
  </si>
  <si>
    <t xml:space="preserve">Relé Sobrecarga</t>
  </si>
  <si>
    <t xml:space="preserve">Fusível</t>
  </si>
  <si>
    <t xml:space="preserve">Seccionador</t>
  </si>
  <si>
    <t xml:space="preserve">Modelo</t>
  </si>
  <si>
    <r>
      <rPr>
        <b val="true"/>
        <sz val="10"/>
        <rFont val="Arial"/>
        <family val="2"/>
        <charset val="1"/>
      </rPr>
      <t xml:space="preserve">I</t>
    </r>
    <r>
      <rPr>
        <b val="true"/>
        <vertAlign val="subscript"/>
        <sz val="10"/>
        <rFont val="Arial"/>
        <family val="2"/>
        <charset val="1"/>
      </rPr>
      <t xml:space="preserve">AJ</t>
    </r>
    <r>
      <rPr>
        <b val="true"/>
        <sz val="10"/>
        <rFont val="Arial"/>
        <family val="2"/>
        <charset val="1"/>
      </rPr>
      <t xml:space="preserve"> 
[A]</t>
    </r>
  </si>
  <si>
    <r>
      <rPr>
        <b val="true"/>
        <sz val="10"/>
        <rFont val="Arial"/>
        <family val="2"/>
        <charset val="1"/>
      </rPr>
      <t xml:space="preserve">I</t>
    </r>
    <r>
      <rPr>
        <b val="true"/>
        <vertAlign val="subscript"/>
        <sz val="10"/>
        <rFont val="Arial"/>
        <family val="2"/>
        <charset val="1"/>
      </rPr>
      <t xml:space="preserve">F</t>
    </r>
    <r>
      <rPr>
        <b val="true"/>
        <sz val="10"/>
        <rFont val="Arial"/>
        <family val="2"/>
        <charset val="1"/>
      </rPr>
      <t xml:space="preserve"> 
[A]</t>
    </r>
  </si>
  <si>
    <t xml:space="preserve">Seccionadora conforme fusível – A CONFIRMAR</t>
  </si>
  <si>
    <t xml:space="preserve">Instalação</t>
  </si>
  <si>
    <t xml:space="preserve">PVCB12</t>
  </si>
  <si>
    <t xml:space="preserve">PVCB13</t>
  </si>
  <si>
    <t xml:space="preserve">PVCB22</t>
  </si>
  <si>
    <t xml:space="preserve">PVCB23</t>
  </si>
  <si>
    <t xml:space="preserve">PVCC2</t>
  </si>
  <si>
    <t xml:space="preserve">PVCC3</t>
  </si>
  <si>
    <t xml:space="preserve">PVCD2</t>
  </si>
  <si>
    <t xml:space="preserve">PVCD3</t>
  </si>
  <si>
    <t xml:space="preserve">PVCUFJ2</t>
  </si>
  <si>
    <t xml:space="preserve">PVCUFJ3</t>
  </si>
  <si>
    <t xml:space="preserve">PVCUFT3</t>
  </si>
  <si>
    <t xml:space="preserve">Até 61 A</t>
  </si>
  <si>
    <t xml:space="preserve">62 - 79 A</t>
  </si>
  <si>
    <t xml:space="preserve">80 - 117 A</t>
  </si>
  <si>
    <t xml:space="preserve">118 - 148 A</t>
  </si>
  <si>
    <t xml:space="preserve">149 - 202 A</t>
  </si>
  <si>
    <t xml:space="preserve">203 - 257 A</t>
  </si>
  <si>
    <t xml:space="preserve">258 - 546 A</t>
  </si>
  <si>
    <t xml:space="preserve">Tipos de linhas elétricas</t>
  </si>
  <si>
    <t xml:space="preserve">Método de instalação número </t>
  </si>
  <si>
    <t xml:space="preserve">Esquema ilustrativo</t>
  </si>
  <si>
    <t xml:space="preserve">Descrição</t>
  </si>
  <si>
    <t xml:space="preserve">Método de referência¹</t>
  </si>
  <si>
    <t xml:space="preserve">Condutores isolados ou cabos unipolares em eletroduto aparente de seção circular sobre parede ou espaçado desta menos de 0,3 vez o diâmetro do eletroduto</t>
  </si>
  <si>
    <t xml:space="preserve">B1 </t>
  </si>
  <si>
    <t xml:space="preserve">Condutores isolados ou cabos unipolares em eletroduto aparente de seção não-circular sobre parede</t>
  </si>
  <si>
    <t xml:space="preserve">Condutores isolados ou cabos unipolares em eletroduto de seção circular embutido em alvenaria</t>
  </si>
  <si>
    <t xml:space="preserve">Cabos unipolares ou cabo multipolar em bandeja não-perfurada, perfilado ou prateleira3)</t>
  </si>
  <si>
    <t xml:space="preserve">C </t>
  </si>
  <si>
    <t xml:space="preserve">Cabos unipolares ou cabo multipolar em bandeja perfurada, horizontal ou vertical 4)</t>
  </si>
  <si>
    <t xml:space="preserve">E (multipolar) F (unipolares) </t>
  </si>
  <si>
    <t xml:space="preserve">Cabos unipolares ou cabos multipolares em espaço de construção5), sejam eles lançados diretamente sobre a superfície do espaço de construção, sejam instalados em suportes ou condutos abertos (bandeja, prateleira, tela ou leito) dispostos no espaço de construção 5) 6)</t>
  </si>
  <si>
    <t xml:space="preserve">1,5 De ≤ V &lt; 5 De B2 5 De ≤ V &lt; 50 De B1 </t>
  </si>
  <si>
    <t xml:space="preserve">Condutores isolados em eletroduto de seção circular em espaço de construção 5) 7)</t>
  </si>
  <si>
    <t xml:space="preserve">1,5 De ≤ V &lt; 20 De B2                                    V ≥ 20 De B1</t>
  </si>
  <si>
    <t xml:space="preserve">Cabos unipolares ou cabo multipolar em eletroduto de seção circular em espaço de construção 5) 7)</t>
  </si>
  <si>
    <t xml:space="preserve">B2 </t>
  </si>
  <si>
    <t xml:space="preserve">Condutores isolados em eletroduto de seção não-circular ou eletrocalha em espaço de construção5)</t>
  </si>
  <si>
    <t xml:space="preserve">1,5 De ≤ V &lt; 20 De B2                                 V ≥ 20 De B1 </t>
  </si>
  <si>
    <t xml:space="preserve"> </t>
  </si>
  <si>
    <t xml:space="preserve">Cabos unipolares ou cabo multipolar em eletroduto de seção não-circular ou eletrocalha em espaço de construção 5)</t>
  </si>
  <si>
    <t xml:space="preserve">31                             32</t>
  </si>
  <si>
    <t xml:space="preserve">Condutores isolados ou cabos unipolares em eletrocalha sobre parede em percurso horizontal ou vertical</t>
  </si>
  <si>
    <t xml:space="preserve">Condutores isolados ou cabos unipolares em canaleta fechada embutida no piso</t>
  </si>
  <si>
    <t xml:space="preserve">Condutores isolados ou cabos unipolares em eletrocalha ou perfilado suspensa(o)</t>
  </si>
  <si>
    <t xml:space="preserve">Condutores isolados ou cabos unipolares em eletroduto de seção circular contido em canaleta fechada com percurso horizontal ou vertical 7)</t>
  </si>
  <si>
    <t xml:space="preserve">1,5 De ≤ V &lt; 20 De B2                                        V ≥ 20 De B1 </t>
  </si>
  <si>
    <t xml:space="preserve">Condutores isolados em eletroduto de seção circular contido em canaleta ventilada embutida no piso</t>
  </si>
  <si>
    <t xml:space="preserve">61A</t>
  </si>
  <si>
    <t xml:space="preserve">Cabos unipolares em eletroduto( de seção não-circular ou não) ou em canaleta não-ventilada enterrado(a)8)</t>
  </si>
  <si>
    <t xml:space="preserve">D </t>
  </si>
  <si>
    <t xml:space="preserve">72                           72A</t>
  </si>
  <si>
    <t xml:space="preserve">72 - Condutores isolados ou cabos unipolares em canaleta provida de separações sobre parede                                                          72A - Cabo multipolar em canaleta provida de separações sobre parede</t>
  </si>
  <si>
    <t xml:space="preserve">B1                                B2 </t>
  </si>
  <si>
    <t xml:space="preserve">1) Método de referência a ser utilizado na determinação da capacidade de condução de corrente. Ver 6.2.5.1.2. </t>
  </si>
  <si>
    <t xml:space="preserve">2) Assume-se que a face interna da parede apresenta uma condutância térmica não inferior a 10 W/m2.K. </t>
  </si>
  <si>
    <t xml:space="preserve">3) Admitem-se também condutores isolados em perfilado, desde que nas condições definidas na nota de 6.2.11.4.1. </t>
  </si>
  <si>
    <t xml:space="preserve">4) A capacidade de condução de corrente para bandeja perfurada foi determinada considerando-se que os furos </t>
  </si>
  <si>
    <t xml:space="preserve">ocupassem no mínimo 30% da área da bandeja. Se os furos ocuparem menos de 30% da área da bandeja, ela deve </t>
  </si>
  <si>
    <t xml:space="preserve">ser considerada como "não-perfurada"</t>
  </si>
  <si>
    <t xml:space="preserve">5) Conforme a ABNT NBR IEC 60050 (826), os poços, as galerias, os pisos técnicos, os condutos formados por </t>
  </si>
  <si>
    <t xml:space="preserve">blocos alveolados, os forros falsos, os pisos elevados e os espaços internos existentes em certos tipos de divisórias </t>
  </si>
  <si>
    <t xml:space="preserve">(como, por exemplo, as paredes de gesso acartonado) são considerados espaços de construção. </t>
  </si>
  <si>
    <t xml:space="preserve">6) De é o diâmetro externo do cabo, no caso de cabo multipolar. No caso de cabos unipolares ou condutores </t>
  </si>
  <si>
    <t xml:space="preserve">isolados, distinguem-se duas situações: </t>
  </si>
  <si>
    <t xml:space="preserve"> - três cabos unipolares (ou condutores isolados) dispostos em trifólio: De deve ser tomado igual a 2,2 vezes o </t>
  </si>
  <si>
    <t xml:space="preserve">diâmetro do cabo unipolar ou condutor isolado</t>
  </si>
  <si>
    <t xml:space="preserve"> - três cabos unipolares (ou condutores isolados) agrupados num mesmo plano: De deve ser tomado igual a </t>
  </si>
  <si>
    <t xml:space="preserve">3 vezes o diâmetro do cabo unipolar ou condutor isolado. </t>
  </si>
  <si>
    <t xml:space="preserve">7) De é o diâmetro externo do eletroduto, quando de seção circular, ou altura/profundidade do eletroduto de seção </t>
  </si>
  <si>
    <t xml:space="preserve">não-circular ou da eletrocalha. </t>
  </si>
  <si>
    <t xml:space="preserve">8) Admite-se também o uso de condutores isolados, desde que nas condições definidas na nota de 6.2.11.6.1. </t>
  </si>
  <si>
    <t xml:space="preserve">9) Admitem-se cabos diretamente enterrados sem proteção mecânica adicional, desde que esses cabos sejam </t>
  </si>
  <si>
    <t xml:space="preserve">providos de armação (ver 6.2.11.6). Deve-se notar, porém, que esta Norma não fornece valores de capacidade de </t>
  </si>
  <si>
    <t xml:space="preserve">condução de corrente para cabos armados. Tais capacidades devem ser determinadas como indicado na </t>
  </si>
  <si>
    <t xml:space="preserve">ABNT NBR 11301. </t>
  </si>
  <si>
    <t xml:space="preserve">NOTA Em linhas ou trechos verticais, quando a ventilação for restrita, deve-se atentar para risco de aumento </t>
  </si>
  <si>
    <t xml:space="preserve">considerável da temperatura ambiente no topo do trecho vertical. </t>
  </si>
  <si>
    <t xml:space="preserve">Capacidades de condução de corrente, em ampères, para os métodos de referência A1, A2, B1, B2, C e D</t>
  </si>
  <si>
    <t xml:space="preserve">Condutores: cobre e alumínio </t>
  </si>
  <si>
    <t xml:space="preserve">Isolação: PVC </t>
  </si>
  <si>
    <t xml:space="preserve">Temperatura no condutor: 70°C </t>
  </si>
  <si>
    <t xml:space="preserve">Temperaturas de referência do ambiente: 30°C (ar), 20°C (solo) </t>
  </si>
  <si>
    <t xml:space="preserve">Seções nominais mm2 </t>
  </si>
  <si>
    <t xml:space="preserve">Métodos de referência indicados na tabela 33 </t>
  </si>
  <si>
    <t xml:space="preserve">A1</t>
  </si>
  <si>
    <t xml:space="preserve">A2</t>
  </si>
  <si>
    <t xml:space="preserve">B2</t>
  </si>
  <si>
    <t xml:space="preserve">C</t>
  </si>
  <si>
    <t xml:space="preserve">Número de condutores carregados</t>
  </si>
  <si>
    <t xml:space="preserve">Cobre</t>
  </si>
  <si>
    <t xml:space="preserve">Alumínio</t>
  </si>
  <si>
    <t xml:space="preserve">Capacidades de condução de corrente, em ampères, para os métodos de referência E, F e G</t>
  </si>
  <si>
    <t xml:space="preserve">Temperaturas de referência do ambiente: 30°C</t>
  </si>
  <si>
    <t xml:space="preserve">Cabos multipolares</t>
  </si>
  <si>
    <t xml:space="preserve">Cabos unipolares 1) </t>
  </si>
  <si>
    <t xml:space="preserve">Dois condutores carregados</t>
  </si>
  <si>
    <t xml:space="preserve">Três condutores carregados</t>
  </si>
  <si>
    <t xml:space="preserve">Dois condutores carregados, justapostos</t>
  </si>
  <si>
    <t xml:space="preserve">Três condutores carregados, em trifólio</t>
  </si>
  <si>
    <t xml:space="preserve">Três condutores carregados, no mesmo plano</t>
  </si>
  <si>
    <t xml:space="preserve">Justapostos</t>
  </si>
  <si>
    <t xml:space="preserve">Espaçados</t>
  </si>
  <si>
    <t xml:space="preserve">Horizontal</t>
  </si>
  <si>
    <t xml:space="preserve">Vertical</t>
  </si>
  <si>
    <t xml:space="preserve">Método E</t>
  </si>
  <si>
    <t xml:space="preserve">Método F</t>
  </si>
  <si>
    <t xml:space="preserve">Método G</t>
  </si>
  <si>
    <t xml:space="preserve">Método G </t>
  </si>
  <si>
    <t xml:space="preserve">1) Ou, ainda, condutores isolados, quando o método de instalação permitir.</t>
  </si>
  <si>
    <t xml:space="preserve">QUADRO DE DEMANDA - CCM </t>
  </si>
  <si>
    <t xml:space="preserve">DADOS</t>
  </si>
  <si>
    <t xml:space="preserve">DEMANDA INDIVIDUAL</t>
  </si>
  <si>
    <t xml:space="preserve">DEMANDA
CCM</t>
  </si>
  <si>
    <t xml:space="preserve">VALORES TOTAIS</t>
  </si>
  <si>
    <t xml:space="preserve">Carga Instalada 
(HP)</t>
  </si>
  <si>
    <t xml:space="preserve">Potência Instalada
(kW)</t>
  </si>
  <si>
    <t xml:space="preserve">Potência Instalada
(kVAr)</t>
  </si>
  <si>
    <t xml:space="preserve">Fator de Utilização</t>
  </si>
  <si>
    <r>
      <rPr>
        <b val="true"/>
        <sz val="9"/>
        <rFont val="Arial"/>
        <family val="2"/>
        <charset val="1"/>
      </rPr>
      <t xml:space="preserve">I</t>
    </r>
    <r>
      <rPr>
        <b val="true"/>
        <vertAlign val="subscript"/>
        <sz val="9"/>
        <rFont val="Arial"/>
        <family val="2"/>
        <charset val="1"/>
      </rPr>
      <t xml:space="preserve">máx</t>
    </r>
    <r>
      <rPr>
        <b val="true"/>
        <sz val="9"/>
        <rFont val="Arial"/>
        <family val="2"/>
        <charset val="1"/>
      </rPr>
      <t xml:space="preserve"> (A)</t>
    </r>
  </si>
  <si>
    <t xml:space="preserve">Potência Total Instalada</t>
  </si>
  <si>
    <t xml:space="preserve">Número de motores de mesma potência</t>
  </si>
  <si>
    <t xml:space="preserve">Fator de Simult.</t>
  </si>
  <si>
    <t xml:space="preserve">Potência Ativa
(kW)</t>
  </si>
  <si>
    <t xml:space="preserve">Potência Reativa
(kVAr)</t>
  </si>
  <si>
    <t xml:space="preserve">Potência Ativa Instalada
(kW)</t>
  </si>
  <si>
    <t xml:space="preserve">Potência Reativa Instalada
(kVAr)</t>
  </si>
  <si>
    <t xml:space="preserve">Potência Ativa Demandada
(kW)</t>
  </si>
  <si>
    <t xml:space="preserve">Potência Reativa Demandada
(kVAr)</t>
  </si>
  <si>
    <t xml:space="preserve">Fator de Demanda
(FD)</t>
  </si>
  <si>
    <t xml:space="preserve">kW</t>
  </si>
  <si>
    <t xml:space="preserve">kVAr</t>
  </si>
  <si>
    <t xml:space="preserve">Corrente de demanda do alimentador CCM1 [A]</t>
  </si>
  <si>
    <t xml:space="preserve">FD do CCM:</t>
  </si>
  <si>
    <t xml:space="preserve">Corrente de demanda do alimentador CCM2 [A]</t>
  </si>
  <si>
    <t xml:space="preserve">Corrente de demanda do alimentador CCM3 [A]</t>
  </si>
  <si>
    <t xml:space="preserve">Corrente de demanda do alimentador CCM4 [A]</t>
  </si>
  <si>
    <t xml:space="preserve">NOTAS E CRITÉRIOS ADOTADOS – Grupo 1 (as abas do modelo não foram alteradas na estrutura)</t>
  </si>
  <si>
    <t xml:space="preserve">Aba</t>
  </si>
  <si>
    <t xml:space="preserve">Nota</t>
  </si>
  <si>
    <t xml:space="preserve">Previsão de Cargas</t>
  </si>
  <si>
    <t xml:space="preserve">Notas: QD1–QD4 = valores da Tarefa 1 (planilha final v2): P e Q = totais do Quadro de Cargas; IN = corrente de projeto do alimentador (maior fase + reserva).</t>
  </si>
  <si>
    <t xml:space="preserve">CCM1–CCM4: potência instalada (ΣP, ΣQ, S = √(ΣP²+ΣQ²)). O alimentador do CCM é dimensionado pela demanda (aba Demanda, Aula 04 – Demandas).</t>
  </si>
  <si>
    <t xml:space="preserve">Motores: dados WEG W22 IR3 Premium IV polos (Slides – CCM, slide 4). Numeração dos circuitos continua a da Tarefa 1 (01–49): 50 a 73.</t>
  </si>
  <si>
    <t xml:space="preserve">Demanda</t>
  </si>
  <si>
    <t xml:space="preserve">Notas: Fator de utilização e de simultaneidade conforme Aula 04 – Demandas (Mamede). Classes por potência nominal: 5–15 HP → "3 a 15 cv" (Fu 0,83); 20–40 HP → "20 a 40 cv" (Fu 0,85); 75 HP → "acima de 40 cv" (Fu 0,87).</t>
  </si>
  <si>
    <t xml:space="preserve">Imáx = FS × IN (corrente máxima admissível em regime com fator de serviço). Demanda do CCM = Σ (P_indiv × Fu × Fsimult) por grupo de motores iguais (cada linha = 1 motor). FD = P demandada / P instalada.</t>
  </si>
  <si>
    <t xml:space="preserve">Capac.Cond.Corre.</t>
  </si>
  <si>
    <t xml:space="preserve">Critérios: FT = 1,00 (30 °C); motores (exceto 75 HP): método E, cabo multipolar PVC 0,6/1 kV (Sintenax), Tabela 38 col. 3; motor 75 HP e alimentadores no leito: método F, cabos unipolares EPR 0,6/1 kV (Afumex), Tabela 39 col. 6 (Slides – CCM, slide 5).</t>
  </si>
  <si>
    <t xml:space="preserve">FA (Tabela 42, slide 6): motores em eletrocalha perfurada, camada única (ref. 4) — nº de cabos na saída de cada CCM (Y-Δ = 2 cabos por motor): CCM1 12 → 0,72; CCM2 8 → 0,72; CCM3 12 → 0,72; CCM4 2 → 0,88. Alimentadores no leito (ref. 5): 6 circuitos na saída do QGBT (QD1, QD2, CCM1–4) → 0,79.</t>
  </si>
  <si>
    <t xml:space="preserve">QD3 e QD4 não usam o leito: mantêm o projeto da Tarefa 1 (eletroduto embutido, método B1, Tabela 36). Alimentadores dos CCMs: corrente de demanda (Aula 04 – Demandas). QD1/QD2: corrente de projeto da Tarefa 1.</t>
  </si>
  <si>
    <t xml:space="preserve">Queda de Tensão</t>
  </si>
  <si>
    <t xml:space="preserve">SF = seção final adotada = maior entre: capacidade de condução (S2), queda de tensão (S3), mínimo 2,5 mm² para circuitos de força (NBR 5410), Iz' ≥ ajuste do relé (motores) e Iz' ≥ disjuntor (alimentadores). ΔV máx. = 2,5% (Slides – CCM).</t>
  </si>
  <si>
    <t xml:space="preserve">L medido na planta (DesenhoFinal0710GpCDH) pelo trajeto ortogonal CCM → motor + subida 3,7 m (CCM h=1,60 m → eletrocalha h=5,30 m) + descida 4,8 m (eletrocalha → caixa de ligação do motor h≈0,50 m). Alimentadores dos CCMs: trajeto pelo leito existente (h=5,60 m) + 2 × 4,0 m. QD1–QD4: L da Tarefa 1.</t>
  </si>
  <si>
    <t xml:space="preserve">Alturas adotadas (pé-direito da fábrica 6,0 m; luminárias/perfilados a 5,0 m): eletrocalha dos motores 5,30 m e leito dos alimentadores 5,60 m — hipótese de projeto, ajustar se o grupo definir outra.</t>
  </si>
  <si>
    <t xml:space="preserve">Proteção</t>
  </si>
  <si>
    <t xml:space="preserve">Notas: Partida conforme o modelo do unifilar do professor: até 10 HP direta; 10 HP &lt; P &lt; 75 HP estrela-triângulo; 75 HP soft-starter (coerente com as células mescladas I28:L28 da planilha). TP = 5 s (Aulas 02 e 03).</t>
  </si>
  <si>
    <t xml:space="preserve">Direta: IAJ = FS×IN; IF,min = 1,2×IAJ; TF lido na curva Siemens em IP. Y-Δ: IAJ = FS×IN/√3; K1/K2 Ie ≥ 1,15×IN/√3; K3 Ie ≥ 0,33×IN×1,15; IF,min = 1,2×IAJ×√3; TF lido em IP/3 (Aula 03). IF,max = fusível máximo do relé na combinação com o contator (catálogo Siemens, coordenação tipo 2).</t>
  </si>
  <si>
    <t xml:space="preserve">TF lidos digitalizando as curvas Siemens (SIEMENS_Fusiveis_Diazed_NH): 20 A@68 A ≈ 9 s (16 A daria ≈ 2 s); 25 A@87 A ≈ 6,6 s (20 A ≈ 2,9 s); 35 A@120 A ≈ 8,5 s (25 A ≈ 1,7 s); 35 A@61 A ≈ 860 s; 50 A@90 A ≈ 880 s; NH 80 A@119 A ≈ 2900 s; NH 100 A@133 A &gt; 3000 s (fora do gráfico).</t>
  </si>
  <si>
    <t xml:space="preserve">Fusível geral: IFG,min = maior fusível do CCM + Σ IN dos demais motores (Aula 02). Chave geral = mesmo valor do fusível geral, com abertura sob carga. Disjuntor geral (no QGBT): IB (demanda) ≤ IDG ≤ Iz' do alimentador.</t>
  </si>
  <si>
    <t xml:space="preserve">ATENÇÃO 75 HP: modelo da soft-starter, fusível ultrarrápido e contator dependem do manual do fabricante (atividade de pesquisa da Aula 03), que não está no Drive e não pôde ser baixado aqui. Valores marcados "A CONFIRMAR".</t>
  </si>
  <si>
    <t xml:space="preserve">Seletividade: o fusível geral de cada CCM (160/200/300/630 A) ficou maior que o disjuntor do QGBT (100/100/160/200 A), porque o critério da Aula 02 (maior fusível + Σ IN) é independente da demanda. O disjuntor protege o alimentador (IB ≤ IDG ≤ Iz′), mas não há seletividade fusível geral × disjuntor. Discutir com o professor se ele espera IDG ≥ IFG (o que exigiria alimentadores bem maiores).</t>
  </si>
  <si>
    <t xml:space="preserve">Y-Δ: entre o CCM e o motor seguem 2 cabos tripolares (6 condutores), cada um levando a corrente de fase IN/√3. A planilha dimensiona cada cabo pela corrente de linha IN (dado do modelo), o que é conservador.</t>
  </si>
  <si>
    <t xml:space="preserve">Quadro de Cargas</t>
  </si>
  <si>
    <t xml:space="preserve">QD1/QD2: com 6 circuitos no leito (FA 0,79), os cabos da Tarefa 1 (PVC multipolar, 50 e 95 mm²) não atenderiam mais Iz′ ≥ disjuntor. Pelo critério do slide (EPR, método F, Tabela 39) passam a 35 mm² (QD1) e 70 mm² (QD2). Isso muda o unifilar/planta da Tarefa 1 na Atividade 3.</t>
  </si>
  <si>
    <t xml:space="preserve">Notas: corrente dos alimentadores = corrente de projeto (CCM: demanda; QD: Tarefa 1); kW/kVAr = potência instalada. Nº de condutores por fase = 2 na partida Y-Δ (6 condutores entre CCM e motor, 2 cabos tripolares).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</si>
</sst>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0%"/>
    <numFmt numFmtId="166" formatCode="#,##0.00"/>
    <numFmt numFmtId="167" formatCode="0.00"/>
    <numFmt numFmtId="168" formatCode="#,##0.0"/>
    <numFmt numFmtId="169" formatCode="0.0"/>
    <numFmt numFmtId="170" formatCode="0.0%"/>
    <numFmt numFmtId="171" formatCode="0"/>
    <numFmt numFmtId="172" formatCode="0.0000"/>
    <numFmt numFmtId="173" formatCode="#,##0"/>
    <numFmt numFmtId="174" formatCode="@"/>
    <numFmt numFmtId="175" formatCode="General"/>
    <numFmt numFmtId="176" formatCode="0.000"/>
    <numFmt numFmtId="177" formatCode="00000"/>
    <numFmt numFmtId="178" formatCode="#,##0.000"/>
    <numFmt numFmtId="179" formatCode="0_);\(0\)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FF0000"/>
      <name val="Arial"/>
      <family val="2"/>
      <charset val="1"/>
    </font>
    <font>
      <sz val="9"/>
      <color rgb="FFFFFF00"/>
      <name val="Arial"/>
      <family val="2"/>
      <charset val="1"/>
    </font>
    <font>
      <b val="true"/>
      <sz val="9"/>
      <color rgb="FFFFFF00"/>
      <name val="Arial"/>
      <family val="2"/>
      <charset val="1"/>
    </font>
    <font>
      <b val="true"/>
      <sz val="9"/>
      <name val="Arial"/>
      <family val="2"/>
      <charset val="1"/>
    </font>
    <font>
      <b val="true"/>
      <sz val="8"/>
      <name val="Arial"/>
      <family val="2"/>
      <charset val="1"/>
    </font>
    <font>
      <b val="true"/>
      <sz val="9"/>
      <name val="Calibri"/>
      <family val="2"/>
      <charset val="1"/>
    </font>
    <font>
      <b val="true"/>
      <vertAlign val="subscript"/>
      <sz val="9"/>
      <name val="Arial"/>
      <family val="2"/>
      <charset val="1"/>
    </font>
    <font>
      <sz val="7"/>
      <name val="Arial"/>
      <family val="2"/>
      <charset val="1"/>
    </font>
    <font>
      <sz val="7"/>
      <color theme="1"/>
      <name val="Arial"/>
      <family val="2"/>
      <charset val="1"/>
    </font>
    <font>
      <sz val="7"/>
      <color rgb="FF000000"/>
      <name val="Arial"/>
      <family val="2"/>
      <charset val="1"/>
    </font>
    <font>
      <sz val="9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7"/>
      <color theme="1"/>
      <name val="Calibri"/>
      <family val="2"/>
      <charset val="1"/>
    </font>
    <font>
      <sz val="7"/>
      <name val="Calibri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  <font>
      <sz val="9"/>
      <name val="Arial"/>
      <family val="2"/>
      <charset val="1"/>
    </font>
    <font>
      <b val="true"/>
      <sz val="10"/>
      <name val="Arial"/>
      <family val="2"/>
      <charset val="1"/>
    </font>
    <font>
      <b val="true"/>
      <vertAlign val="subscript"/>
      <sz val="10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Arial"/>
      <family val="2"/>
      <charset val="1"/>
    </font>
    <font>
      <sz val="10"/>
      <color rgb="FF000000"/>
      <name val="Arial"/>
      <family val="0"/>
    </font>
    <font>
      <b val="true"/>
      <sz val="11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9"/>
      <color theme="1"/>
      <name val="Arial"/>
      <family val="2"/>
      <charset val="1"/>
    </font>
    <font>
      <sz val="9"/>
      <color rgb="FF000000"/>
      <name val="Segoe UI"/>
      <family val="2"/>
      <charset val="1"/>
    </font>
  </fonts>
  <fills count="34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CCCCFF"/>
        <bgColor rgb="FFC6D9F1"/>
      </patternFill>
    </fill>
    <fill>
      <patternFill patternType="solid">
        <fgColor theme="5" tint="0.3999"/>
        <bgColor rgb="FFB3A2C7"/>
      </patternFill>
    </fill>
    <fill>
      <patternFill patternType="solid">
        <fgColor rgb="FFFFFFFF"/>
        <bgColor rgb="FFFFFFCC"/>
      </patternFill>
    </fill>
    <fill>
      <patternFill patternType="solid">
        <fgColor rgb="FF00FF00"/>
        <bgColor rgb="FF00FFFF"/>
      </patternFill>
    </fill>
    <fill>
      <patternFill patternType="solid">
        <fgColor rgb="FF99FF99"/>
        <bgColor rgb="FFCCFFCC"/>
      </patternFill>
    </fill>
    <fill>
      <patternFill patternType="solid">
        <fgColor rgb="FFFFFF00"/>
        <bgColor rgb="FFFFCC00"/>
      </patternFill>
    </fill>
    <fill>
      <patternFill patternType="solid">
        <fgColor rgb="FFFFFF99"/>
        <bgColor rgb="FFFFFFCC"/>
      </patternFill>
    </fill>
    <fill>
      <patternFill patternType="solid">
        <fgColor rgb="FFFF7C80"/>
        <bgColor rgb="FFD99694"/>
      </patternFill>
    </fill>
    <fill>
      <patternFill patternType="solid">
        <fgColor rgb="FFFFCC00"/>
        <bgColor rgb="FFFFC000"/>
      </patternFill>
    </fill>
    <fill>
      <patternFill patternType="solid">
        <fgColor rgb="FFFFCC99"/>
        <bgColor rgb="FFFAC090"/>
      </patternFill>
    </fill>
    <fill>
      <patternFill patternType="solid">
        <fgColor theme="3" tint="0.7999"/>
        <bgColor rgb="FFCCCCFF"/>
      </patternFill>
    </fill>
    <fill>
      <patternFill patternType="solid">
        <fgColor theme="6" tint="0.5999"/>
        <bgColor rgb="FFE6E0EC"/>
      </patternFill>
    </fill>
    <fill>
      <patternFill patternType="solid">
        <fgColor theme="5" tint="0.5999"/>
        <bgColor rgb="FFFAC090"/>
      </patternFill>
    </fill>
    <fill>
      <patternFill patternType="solid">
        <fgColor theme="7" tint="0.7999"/>
        <bgColor rgb="FFFDEADA"/>
      </patternFill>
    </fill>
    <fill>
      <patternFill patternType="solid">
        <fgColor theme="9" tint="0.7999"/>
        <bgColor rgb="FFE6E0EC"/>
      </patternFill>
    </fill>
    <fill>
      <patternFill patternType="solid">
        <fgColor theme="9" tint="0.5999"/>
        <bgColor rgb="FFFFCC99"/>
      </patternFill>
    </fill>
    <fill>
      <patternFill patternType="solid">
        <fgColor theme="1"/>
        <bgColor rgb="FF003300"/>
      </patternFill>
    </fill>
    <fill>
      <patternFill patternType="solid">
        <fgColor rgb="FFC0C0C0"/>
        <bgColor rgb="FFCCC1DA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DEADA"/>
      </patternFill>
    </fill>
    <fill>
      <patternFill patternType="solid">
        <fgColor rgb="FFCCFFFF"/>
        <bgColor rgb="FFCCFFCC"/>
      </patternFill>
    </fill>
    <fill>
      <patternFill patternType="solid">
        <fgColor rgb="FFCC99FF"/>
        <bgColor rgb="FFB3A2C7"/>
      </patternFill>
    </fill>
    <fill>
      <patternFill patternType="solid">
        <fgColor rgb="FFFF00FF"/>
        <bgColor rgb="FFFF00FF"/>
      </patternFill>
    </fill>
    <fill>
      <patternFill patternType="solid">
        <fgColor rgb="FFFF9900"/>
        <bgColor rgb="FFFFC000"/>
      </patternFill>
    </fill>
    <fill>
      <patternFill patternType="solid">
        <fgColor rgb="FF008080"/>
        <bgColor rgb="FF008080"/>
      </patternFill>
    </fill>
    <fill>
      <patternFill patternType="solid">
        <fgColor rgb="FF99CC00"/>
        <bgColor rgb="FFFFCC00"/>
      </patternFill>
    </fill>
    <fill>
      <patternFill patternType="solid">
        <fgColor rgb="FF993366"/>
        <bgColor rgb="FF993300"/>
      </patternFill>
    </fill>
    <fill>
      <patternFill patternType="solid">
        <fgColor rgb="FF99CCFF"/>
        <bgColor rgb="FFC6D9F1"/>
      </patternFill>
    </fill>
    <fill>
      <patternFill patternType="solid">
        <fgColor theme="9" tint="0.3999"/>
        <bgColor rgb="FFFFCC99"/>
      </patternFill>
    </fill>
    <fill>
      <patternFill patternType="solid">
        <fgColor theme="6" tint="0.3999"/>
        <bgColor rgb="FFD7E4BD"/>
      </patternFill>
    </fill>
    <fill>
      <patternFill patternType="solid">
        <fgColor theme="7" tint="0.5999"/>
        <bgColor rgb="FFC0C0C0"/>
      </patternFill>
    </fill>
  </fills>
  <borders count="41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9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3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6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6" fillId="3" borderId="1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6" fillId="3" borderId="1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6" fillId="5" borderId="1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6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6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6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6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6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20" fillId="0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20" fillId="7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7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21" fillId="7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7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5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20" fillId="9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1" fontId="20" fillId="9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20" fillId="9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0" fontId="20" fillId="9" borderId="11" xfId="24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0" fillId="10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1" fontId="14" fillId="9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15" fillId="0" borderId="0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1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1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11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5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5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5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5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5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5" fillId="17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1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5" fillId="13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0" fillId="13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5" fillId="14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5" fillId="16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5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5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18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4" fillId="18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4" fillId="18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1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13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1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0" fillId="16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0" fillId="16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19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1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18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4" fillId="18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4" fontId="14" fillId="18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18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9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9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19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5" fillId="19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4" fillId="1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19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4" fillId="16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4" fillId="16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20" borderId="2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10" fillId="2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0" fillId="20" borderId="2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0" fillId="2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7" fontId="10" fillId="2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10" fillId="5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10" fillId="5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25" fillId="3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25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25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25" fillId="12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10" fillId="3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10" fillId="21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10" fillId="2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10" fillId="12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1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10" fillId="12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5" fillId="12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10" fillId="12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5" fontId="1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1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14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19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1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14" fillId="19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19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8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1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2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5" borderId="0" xfId="2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1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1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21" borderId="2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1" borderId="13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1" borderId="30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31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8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3" borderId="8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3" borderId="32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4" borderId="15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3" borderId="11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11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16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0" borderId="15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4" borderId="11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0" borderId="11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0" borderId="16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3" borderId="15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5" borderId="16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6" borderId="15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6" borderId="11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5" borderId="11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4" borderId="16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5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1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6" borderId="16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7" borderId="15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6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8" borderId="15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7" borderId="11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9" borderId="11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9" borderId="16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9" borderId="15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8" borderId="11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7" borderId="16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5" borderId="15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8" borderId="16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0" borderId="17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0" borderId="18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0" borderId="19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5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5" borderId="11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33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34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35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36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37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38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39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40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5" borderId="11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1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5" fillId="5" borderId="11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5" fillId="5" borderId="11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1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5" borderId="8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5" borderId="11" xfId="23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5" borderId="11" xfId="23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9" fontId="25" fillId="5" borderId="11" xfId="23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9" fontId="25" fillId="5" borderId="11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5" fillId="5" borderId="0" xfId="23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1" xfId="23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5" borderId="0" xfId="23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3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23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7" fontId="30" fillId="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25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25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25" fillId="3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25" fillId="3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10" fillId="15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10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10" fillId="13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10" fillId="3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10" fillId="33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0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1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31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5" fontId="27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2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7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9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8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3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3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6" fontId="3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" xfId="21"/>
    <cellStyle name="Normal 2 2 2" xfId="22"/>
    <cellStyle name="Normal_Tabelas NBR5410" xfId="23"/>
    <cellStyle name="Porcentagem 2" xfId="24"/>
  </cellStyles>
  <dxfs count="7">
    <dxf>
      <fill>
        <patternFill patternType="solid">
          <fgColor rgb="FFCCCC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CC00"/>
          <bgColor rgb="FF000000"/>
        </patternFill>
      </fill>
    </dxf>
    <dxf>
      <fill>
        <patternFill patternType="solid">
          <fgColor rgb="FFC0C0C0"/>
          <bgColor rgb="FF000000"/>
        </patternFill>
      </fill>
    </dxf>
    <dxf>
      <fill>
        <patternFill patternType="solid">
          <fgColor rgb="FFFAC09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FDEADA"/>
      <rgbColor rgb="FF800000"/>
      <rgbColor rgb="FF008000"/>
      <rgbColor rgb="FF000080"/>
      <rgbColor rgb="FFC3D69B"/>
      <rgbColor rgb="FF800080"/>
      <rgbColor rgb="FF008080"/>
      <rgbColor rgb="FFC0C0C0"/>
      <rgbColor rgb="FFE6B9B8"/>
      <rgbColor rgb="FFB3A2C7"/>
      <rgbColor rgb="FF993366"/>
      <rgbColor rgb="FFFFFFCC"/>
      <rgbColor rgb="FFCCFFFF"/>
      <rgbColor rgb="FF660066"/>
      <rgbColor rgb="FFFF7C80"/>
      <rgbColor rgb="FF0066CC"/>
      <rgbColor rgb="FFCCCCFF"/>
      <rgbColor rgb="FF000080"/>
      <rgbColor rgb="FFFF00FF"/>
      <rgbColor rgb="FFFFC000"/>
      <rgbColor rgb="FF00FFFF"/>
      <rgbColor rgb="FF800080"/>
      <rgbColor rgb="FF800000"/>
      <rgbColor rgb="FF008080"/>
      <rgbColor rgb="FF0000FF"/>
      <rgbColor rgb="FF00B0F0"/>
      <rgbColor rgb="FFE6E0EC"/>
      <rgbColor rgb="FFCCFFCC"/>
      <rgbColor rgb="FFFFFF99"/>
      <rgbColor rgb="FF99CCFF"/>
      <rgbColor rgb="FFD99694"/>
      <rgbColor rgb="FFCC99FF"/>
      <rgbColor rgb="FFFFCC99"/>
      <rgbColor rgb="FF3366FF"/>
      <rgbColor rgb="FF99FF99"/>
      <rgbColor rgb="FF99CC00"/>
      <rgbColor rgb="FFFFCC00"/>
      <rgbColor rgb="FFFF9900"/>
      <rgbColor rgb="FFFAC090"/>
      <rgbColor rgb="FFD7E4BD"/>
      <rgbColor rgb="FFCCC1DA"/>
      <rgbColor rgb="FF003366"/>
      <rgbColor rgb="FFC6D9F1"/>
      <rgbColor rgb="FF003300"/>
      <rgbColor rgb="FF333300"/>
      <rgbColor rgb="FF993300"/>
      <rgbColor rgb="FFFCD5B5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externalLink" Target="externalLinks/externalLink1.xml"/><Relationship Id="rId17" Type="http://schemas.openxmlformats.org/officeDocument/2006/relationships/sharedStrings" Target="sharedStrings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wmf"/><Relationship Id="rId2" Type="http://schemas.openxmlformats.org/officeDocument/2006/relationships/image" Target="../media/image2.wmf"/><Relationship Id="rId3" Type="http://schemas.openxmlformats.org/officeDocument/2006/relationships/image" Target="../media/image3.wmf"/><Relationship Id="rId4" Type="http://schemas.openxmlformats.org/officeDocument/2006/relationships/image" Target="../media/image4.wmf"/><Relationship Id="rId5" Type="http://schemas.openxmlformats.org/officeDocument/2006/relationships/image" Target="../media/image5.wmf"/><Relationship Id="rId6" Type="http://schemas.openxmlformats.org/officeDocument/2006/relationships/image" Target="../media/image6.wmf"/><Relationship Id="rId7" Type="http://schemas.openxmlformats.org/officeDocument/2006/relationships/image" Target="../media/image7.wmf"/><Relationship Id="rId8" Type="http://schemas.openxmlformats.org/officeDocument/2006/relationships/image" Target="../media/image8.wmf"/><Relationship Id="rId9" Type="http://schemas.openxmlformats.org/officeDocument/2006/relationships/image" Target="../media/image9.wmf"/><Relationship Id="rId10" Type="http://schemas.openxmlformats.org/officeDocument/2006/relationships/image" Target="../media/image10.wmf"/><Relationship Id="rId11" Type="http://schemas.openxmlformats.org/officeDocument/2006/relationships/image" Target="../media/image11.wmf"/><Relationship Id="rId12" Type="http://schemas.openxmlformats.org/officeDocument/2006/relationships/image" Target="../media/image12.wmf"/><Relationship Id="rId13" Type="http://schemas.openxmlformats.org/officeDocument/2006/relationships/image" Target="../media/image13.wmf"/><Relationship Id="rId14" Type="http://schemas.openxmlformats.org/officeDocument/2006/relationships/image" Target="../media/image14.wmf"/><Relationship Id="rId15" Type="http://schemas.openxmlformats.org/officeDocument/2006/relationships/image" Target="../media/image15.wmf"/><Relationship Id="rId16" Type="http://schemas.openxmlformats.org/officeDocument/2006/relationships/image" Target="../media/image16.wmf"/><Relationship Id="rId17" Type="http://schemas.openxmlformats.org/officeDocument/2006/relationships/image" Target="../media/image17.wmf"/><Relationship Id="rId18" Type="http://schemas.openxmlformats.org/officeDocument/2006/relationships/image" Target="../media/image1.wmf"/><Relationship Id="rId19" Type="http://schemas.openxmlformats.org/officeDocument/2006/relationships/image" Target="../media/image2.wmf"/><Relationship Id="rId20" Type="http://schemas.openxmlformats.org/officeDocument/2006/relationships/image" Target="../media/image3.wmf"/><Relationship Id="rId21" Type="http://schemas.openxmlformats.org/officeDocument/2006/relationships/image" Target="../media/image4.wmf"/><Relationship Id="rId22" Type="http://schemas.openxmlformats.org/officeDocument/2006/relationships/image" Target="../media/image5.wmf"/><Relationship Id="rId23" Type="http://schemas.openxmlformats.org/officeDocument/2006/relationships/image" Target="../media/image6.wmf"/><Relationship Id="rId24" Type="http://schemas.openxmlformats.org/officeDocument/2006/relationships/image" Target="../media/image7.wmf"/><Relationship Id="rId25" Type="http://schemas.openxmlformats.org/officeDocument/2006/relationships/image" Target="../media/image8.wmf"/><Relationship Id="rId26" Type="http://schemas.openxmlformats.org/officeDocument/2006/relationships/image" Target="../media/image9.wmf"/><Relationship Id="rId27" Type="http://schemas.openxmlformats.org/officeDocument/2006/relationships/image" Target="../media/image10.wmf"/><Relationship Id="rId28" Type="http://schemas.openxmlformats.org/officeDocument/2006/relationships/image" Target="../media/image11.wmf"/><Relationship Id="rId29" Type="http://schemas.openxmlformats.org/officeDocument/2006/relationships/image" Target="../media/image12.wmf"/><Relationship Id="rId30" Type="http://schemas.openxmlformats.org/officeDocument/2006/relationships/image" Target="../media/image13.wmf"/><Relationship Id="rId31" Type="http://schemas.openxmlformats.org/officeDocument/2006/relationships/image" Target="../media/image14.wmf"/><Relationship Id="rId32" Type="http://schemas.openxmlformats.org/officeDocument/2006/relationships/image" Target="../media/image15.wmf"/><Relationship Id="rId33" Type="http://schemas.openxmlformats.org/officeDocument/2006/relationships/image" Target="../media/image16.wmf"/><Relationship Id="rId34" Type="http://schemas.openxmlformats.org/officeDocument/2006/relationships/image" Target="../media/image17.wmf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8.wmf"/><Relationship Id="rId2" Type="http://schemas.openxmlformats.org/officeDocument/2006/relationships/image" Target="../media/image19.wmf"/><Relationship Id="rId3" Type="http://schemas.openxmlformats.org/officeDocument/2006/relationships/image" Target="../media/image20.wmf"/><Relationship Id="rId4" Type="http://schemas.openxmlformats.org/officeDocument/2006/relationships/image" Target="../media/image21.wmf"/><Relationship Id="rId5" Type="http://schemas.openxmlformats.org/officeDocument/2006/relationships/image" Target="../media/image22.wmf"/><Relationship Id="rId6" Type="http://schemas.openxmlformats.org/officeDocument/2006/relationships/image" Target="../media/image23.wmf"/><Relationship Id="rId7" Type="http://schemas.openxmlformats.org/officeDocument/2006/relationships/image" Target="../media/image24.wmf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447840</xdr:colOff>
      <xdr:row>15</xdr:row>
      <xdr:rowOff>114480</xdr:rowOff>
    </xdr:from>
    <xdr:to>
      <xdr:col>1</xdr:col>
      <xdr:colOff>228240</xdr:colOff>
      <xdr:row>18</xdr:row>
      <xdr:rowOff>85680</xdr:rowOff>
    </xdr:to>
    <xdr:sp>
      <xdr:nvSpPr>
        <xdr:cNvPr id="0" name="AutoShape 1"/>
        <xdr:cNvSpPr/>
      </xdr:nvSpPr>
      <xdr:spPr>
        <a:xfrm>
          <a:off x="447840" y="2543400"/>
          <a:ext cx="422280" cy="456840"/>
        </a:xfrm>
        <a:prstGeom prst="upArrow">
          <a:avLst>
            <a:gd name="adj1" fmla="val 50000"/>
            <a:gd name="adj2" fmla="val 29268"/>
          </a:avLst>
        </a:prstGeom>
        <a:solidFill>
          <a:srgbClr val="ff0000"/>
        </a:solidFill>
        <a:ln w="9525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0</xdr:col>
      <xdr:colOff>448200</xdr:colOff>
      <xdr:row>23</xdr:row>
      <xdr:rowOff>124200</xdr:rowOff>
    </xdr:from>
    <xdr:to>
      <xdr:col>1</xdr:col>
      <xdr:colOff>228600</xdr:colOff>
      <xdr:row>24</xdr:row>
      <xdr:rowOff>123840</xdr:rowOff>
    </xdr:to>
    <xdr:sp>
      <xdr:nvSpPr>
        <xdr:cNvPr id="1" name="AutoShape 2"/>
        <xdr:cNvSpPr/>
      </xdr:nvSpPr>
      <xdr:spPr>
        <a:xfrm rot="10800000">
          <a:off x="448200" y="3848400"/>
          <a:ext cx="422280" cy="161640"/>
        </a:xfrm>
        <a:prstGeom prst="upArrow">
          <a:avLst>
            <a:gd name="adj1" fmla="val 50000"/>
            <a:gd name="adj2" fmla="val 25000"/>
          </a:avLst>
        </a:prstGeom>
        <a:solidFill>
          <a:srgbClr val="008000"/>
        </a:solidFill>
        <a:ln w="9525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0</xdr:col>
      <xdr:colOff>47520</xdr:colOff>
      <xdr:row>12</xdr:row>
      <xdr:rowOff>85680</xdr:rowOff>
    </xdr:from>
    <xdr:to>
      <xdr:col>2</xdr:col>
      <xdr:colOff>85320</xdr:colOff>
      <xdr:row>16</xdr:row>
      <xdr:rowOff>28080</xdr:rowOff>
    </xdr:to>
    <xdr:sp>
      <xdr:nvSpPr>
        <xdr:cNvPr id="2" name="Text Box 3"/>
        <xdr:cNvSpPr/>
      </xdr:nvSpPr>
      <xdr:spPr>
        <a:xfrm>
          <a:off x="47520" y="2028960"/>
          <a:ext cx="1321920" cy="59004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27360" tIns="23040" bIns="23040" anchor="ctr" upright="1">
          <a:noAutofit/>
        </a:bodyPr>
        <a:p>
          <a:pPr algn="ctr">
            <a:lnSpc>
              <a:spcPct val="100000"/>
            </a:lnSpc>
          </a:pPr>
          <a:r>
            <a:rPr b="0" lang="pt-BR" sz="1000" spc="-1" strike="noStrike">
              <a:solidFill>
                <a:srgbClr val="000000"/>
              </a:solidFill>
              <a:latin typeface="Arial"/>
            </a:rPr>
            <a:t>Pior relação A/mm² de acordo com o método de referência</a:t>
          </a:r>
          <a:endParaRPr b="0" lang="en-US" sz="1000" spc="-1" strike="noStrike">
            <a:latin typeface="Times New Roman"/>
          </a:endParaRPr>
        </a:p>
      </xdr:txBody>
    </xdr:sp>
    <xdr:clientData/>
  </xdr:twoCellAnchor>
  <xdr:twoCellAnchor editAs="twoCell">
    <xdr:from>
      <xdr:col>0</xdr:col>
      <xdr:colOff>85680</xdr:colOff>
      <xdr:row>24</xdr:row>
      <xdr:rowOff>0</xdr:rowOff>
    </xdr:from>
    <xdr:to>
      <xdr:col>1</xdr:col>
      <xdr:colOff>580680</xdr:colOff>
      <xdr:row>29</xdr:row>
      <xdr:rowOff>104400</xdr:rowOff>
    </xdr:to>
    <xdr:sp>
      <xdr:nvSpPr>
        <xdr:cNvPr id="3" name="Text Box 4"/>
        <xdr:cNvSpPr/>
      </xdr:nvSpPr>
      <xdr:spPr>
        <a:xfrm>
          <a:off x="85680" y="3886200"/>
          <a:ext cx="1136880" cy="91404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27360" tIns="23040" bIns="23040" anchor="ctr" upright="1">
          <a:noAutofit/>
        </a:bodyPr>
        <a:p>
          <a:pPr algn="ctr">
            <a:lnSpc>
              <a:spcPct val="100000"/>
            </a:lnSpc>
          </a:pPr>
          <a:r>
            <a:rPr b="0" lang="pt-BR" sz="1000" spc="-1" strike="noStrike">
              <a:solidFill>
                <a:srgbClr val="000000"/>
              </a:solidFill>
              <a:latin typeface="Arial"/>
            </a:rPr>
            <a:t>Melhor relação A/mm² de acordo com o método de referência</a:t>
          </a:r>
          <a:endParaRPr b="0" lang="en-US" sz="1000" spc="-1" strike="noStrike">
            <a:latin typeface="Times New Roman"/>
          </a:endParaRPr>
        </a:p>
      </xdr:txBody>
    </xdr:sp>
    <xdr:clientData/>
  </xdr:twoCellAnchor>
  <xdr:twoCellAnchor editAs="twoCell">
    <xdr:from>
      <xdr:col>0</xdr:col>
      <xdr:colOff>542880</xdr:colOff>
      <xdr:row>18</xdr:row>
      <xdr:rowOff>85680</xdr:rowOff>
    </xdr:from>
    <xdr:to>
      <xdr:col>1</xdr:col>
      <xdr:colOff>132840</xdr:colOff>
      <xdr:row>23</xdr:row>
      <xdr:rowOff>123480</xdr:rowOff>
    </xdr:to>
    <xdr:sp>
      <xdr:nvSpPr>
        <xdr:cNvPr id="4" name="Rectangle 5"/>
        <xdr:cNvSpPr/>
      </xdr:nvSpPr>
      <xdr:spPr>
        <a:xfrm>
          <a:off x="542880" y="3000240"/>
          <a:ext cx="231840" cy="847440"/>
        </a:xfrm>
        <a:prstGeom prst="rect">
          <a:avLst/>
        </a:prstGeom>
        <a:gradFill rotWithShape="0">
          <a:gsLst>
            <a:gs pos="0">
              <a:srgbClr val="ff0000"/>
            </a:gs>
            <a:gs pos="100000">
              <a:srgbClr val="008000"/>
            </a:gs>
          </a:gsLst>
          <a:lin ang="5400000"/>
        </a:gradFill>
        <a:ln w="9525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399960</xdr:colOff>
      <xdr:row>4</xdr:row>
      <xdr:rowOff>114480</xdr:rowOff>
    </xdr:from>
    <xdr:to>
      <xdr:col>3</xdr:col>
      <xdr:colOff>599760</xdr:colOff>
      <xdr:row>6</xdr:row>
      <xdr:rowOff>123480</xdr:rowOff>
    </xdr:to>
    <xdr:pic>
      <xdr:nvPicPr>
        <xdr:cNvPr id="5" name="Picture 1" descr=""/>
        <xdr:cNvPicPr/>
      </xdr:nvPicPr>
      <xdr:blipFill>
        <a:blip r:embed="rId1"/>
        <a:stretch/>
      </xdr:blipFill>
      <xdr:spPr>
        <a:xfrm>
          <a:off x="1684080" y="762120"/>
          <a:ext cx="841680" cy="333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447840</xdr:colOff>
      <xdr:row>8</xdr:row>
      <xdr:rowOff>66600</xdr:rowOff>
    </xdr:from>
    <xdr:to>
      <xdr:col>4</xdr:col>
      <xdr:colOff>66600</xdr:colOff>
      <xdr:row>11</xdr:row>
      <xdr:rowOff>85320</xdr:rowOff>
    </xdr:to>
    <xdr:pic>
      <xdr:nvPicPr>
        <xdr:cNvPr id="6" name="Picture 2" descr=""/>
        <xdr:cNvPicPr/>
      </xdr:nvPicPr>
      <xdr:blipFill>
        <a:blip r:embed="rId2"/>
        <a:stretch/>
      </xdr:blipFill>
      <xdr:spPr>
        <a:xfrm>
          <a:off x="1731960" y="1361880"/>
          <a:ext cx="902520" cy="504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600120</xdr:colOff>
      <xdr:row>12</xdr:row>
      <xdr:rowOff>142920</xdr:rowOff>
    </xdr:from>
    <xdr:to>
      <xdr:col>3</xdr:col>
      <xdr:colOff>571320</xdr:colOff>
      <xdr:row>15</xdr:row>
      <xdr:rowOff>28440</xdr:rowOff>
    </xdr:to>
    <xdr:pic>
      <xdr:nvPicPr>
        <xdr:cNvPr id="7" name="Picture 3" descr=""/>
        <xdr:cNvPicPr/>
      </xdr:nvPicPr>
      <xdr:blipFill>
        <a:blip r:embed="rId3"/>
        <a:stretch/>
      </xdr:blipFill>
      <xdr:spPr>
        <a:xfrm>
          <a:off x="1884240" y="2086200"/>
          <a:ext cx="613080" cy="371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438120</xdr:colOff>
      <xdr:row>16</xdr:row>
      <xdr:rowOff>57240</xdr:rowOff>
    </xdr:from>
    <xdr:to>
      <xdr:col>4</xdr:col>
      <xdr:colOff>95040</xdr:colOff>
      <xdr:row>19</xdr:row>
      <xdr:rowOff>47520</xdr:rowOff>
    </xdr:to>
    <xdr:pic>
      <xdr:nvPicPr>
        <xdr:cNvPr id="8" name="Picture 4" descr=""/>
        <xdr:cNvPicPr/>
      </xdr:nvPicPr>
      <xdr:blipFill>
        <a:blip r:embed="rId4"/>
        <a:stretch/>
      </xdr:blipFill>
      <xdr:spPr>
        <a:xfrm>
          <a:off x="1722240" y="2648160"/>
          <a:ext cx="940680" cy="475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495360</xdr:colOff>
      <xdr:row>20</xdr:row>
      <xdr:rowOff>142920</xdr:rowOff>
    </xdr:from>
    <xdr:to>
      <xdr:col>4</xdr:col>
      <xdr:colOff>152280</xdr:colOff>
      <xdr:row>23</xdr:row>
      <xdr:rowOff>75960</xdr:rowOff>
    </xdr:to>
    <xdr:pic>
      <xdr:nvPicPr>
        <xdr:cNvPr id="9" name="Picture 5" descr=""/>
        <xdr:cNvPicPr/>
      </xdr:nvPicPr>
      <xdr:blipFill>
        <a:blip r:embed="rId5"/>
        <a:stretch/>
      </xdr:blipFill>
      <xdr:spPr>
        <a:xfrm>
          <a:off x="1779480" y="3381480"/>
          <a:ext cx="940680" cy="41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457200</xdr:colOff>
      <xdr:row>24</xdr:row>
      <xdr:rowOff>181080</xdr:rowOff>
    </xdr:from>
    <xdr:to>
      <xdr:col>4</xdr:col>
      <xdr:colOff>114120</xdr:colOff>
      <xdr:row>28</xdr:row>
      <xdr:rowOff>28440</xdr:rowOff>
    </xdr:to>
    <xdr:pic>
      <xdr:nvPicPr>
        <xdr:cNvPr id="10" name="Picture 6" descr=""/>
        <xdr:cNvPicPr/>
      </xdr:nvPicPr>
      <xdr:blipFill>
        <a:blip r:embed="rId6"/>
        <a:stretch/>
      </xdr:blipFill>
      <xdr:spPr>
        <a:xfrm>
          <a:off x="1741320" y="4067280"/>
          <a:ext cx="940680" cy="609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476280</xdr:colOff>
      <xdr:row>29</xdr:row>
      <xdr:rowOff>38160</xdr:rowOff>
    </xdr:from>
    <xdr:to>
      <xdr:col>4</xdr:col>
      <xdr:colOff>85320</xdr:colOff>
      <xdr:row>32</xdr:row>
      <xdr:rowOff>85320</xdr:rowOff>
    </xdr:to>
    <xdr:pic>
      <xdr:nvPicPr>
        <xdr:cNvPr id="11" name="Picture 7" descr=""/>
        <xdr:cNvPicPr/>
      </xdr:nvPicPr>
      <xdr:blipFill>
        <a:blip r:embed="rId7"/>
        <a:stretch/>
      </xdr:blipFill>
      <xdr:spPr>
        <a:xfrm>
          <a:off x="1760400" y="4876920"/>
          <a:ext cx="892800" cy="53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33</xdr:row>
      <xdr:rowOff>85680</xdr:rowOff>
    </xdr:from>
    <xdr:to>
      <xdr:col>4</xdr:col>
      <xdr:colOff>37800</xdr:colOff>
      <xdr:row>36</xdr:row>
      <xdr:rowOff>75960</xdr:rowOff>
    </xdr:to>
    <xdr:pic>
      <xdr:nvPicPr>
        <xdr:cNvPr id="12" name="Picture 8" descr=""/>
        <xdr:cNvPicPr/>
      </xdr:nvPicPr>
      <xdr:blipFill>
        <a:blip r:embed="rId8"/>
        <a:stretch/>
      </xdr:blipFill>
      <xdr:spPr>
        <a:xfrm>
          <a:off x="1926000" y="5572080"/>
          <a:ext cx="679680" cy="475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504720</xdr:colOff>
      <xdr:row>37</xdr:row>
      <xdr:rowOff>104760</xdr:rowOff>
    </xdr:from>
    <xdr:to>
      <xdr:col>4</xdr:col>
      <xdr:colOff>151920</xdr:colOff>
      <xdr:row>40</xdr:row>
      <xdr:rowOff>66240</xdr:rowOff>
    </xdr:to>
    <xdr:pic>
      <xdr:nvPicPr>
        <xdr:cNvPr id="13" name="Picture 9" descr=""/>
        <xdr:cNvPicPr/>
      </xdr:nvPicPr>
      <xdr:blipFill>
        <a:blip r:embed="rId9"/>
        <a:stretch/>
      </xdr:blipFill>
      <xdr:spPr>
        <a:xfrm>
          <a:off x="1788840" y="6238800"/>
          <a:ext cx="930960" cy="447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542880</xdr:colOff>
      <xdr:row>41</xdr:row>
      <xdr:rowOff>152280</xdr:rowOff>
    </xdr:from>
    <xdr:to>
      <xdr:col>4</xdr:col>
      <xdr:colOff>66240</xdr:colOff>
      <xdr:row>43</xdr:row>
      <xdr:rowOff>161640</xdr:rowOff>
    </xdr:to>
    <xdr:pic>
      <xdr:nvPicPr>
        <xdr:cNvPr id="14" name="Picture 10" descr=""/>
        <xdr:cNvPicPr/>
      </xdr:nvPicPr>
      <xdr:blipFill>
        <a:blip r:embed="rId10"/>
        <a:stretch/>
      </xdr:blipFill>
      <xdr:spPr>
        <a:xfrm>
          <a:off x="1827000" y="6933960"/>
          <a:ext cx="807120" cy="33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571680</xdr:colOff>
      <xdr:row>45</xdr:row>
      <xdr:rowOff>57240</xdr:rowOff>
    </xdr:from>
    <xdr:to>
      <xdr:col>4</xdr:col>
      <xdr:colOff>18720</xdr:colOff>
      <xdr:row>48</xdr:row>
      <xdr:rowOff>114120</xdr:rowOff>
    </xdr:to>
    <xdr:pic>
      <xdr:nvPicPr>
        <xdr:cNvPr id="15" name="Picture 11" descr=""/>
        <xdr:cNvPicPr/>
      </xdr:nvPicPr>
      <xdr:blipFill>
        <a:blip r:embed="rId11"/>
        <a:stretch/>
      </xdr:blipFill>
      <xdr:spPr>
        <a:xfrm>
          <a:off x="1855800" y="7486920"/>
          <a:ext cx="730800" cy="542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571680</xdr:colOff>
      <xdr:row>50</xdr:row>
      <xdr:rowOff>9360</xdr:rowOff>
    </xdr:from>
    <xdr:to>
      <xdr:col>4</xdr:col>
      <xdr:colOff>18720</xdr:colOff>
      <xdr:row>51</xdr:row>
      <xdr:rowOff>113760</xdr:rowOff>
    </xdr:to>
    <xdr:pic>
      <xdr:nvPicPr>
        <xdr:cNvPr id="16" name="Picture 12" descr=""/>
        <xdr:cNvPicPr/>
      </xdr:nvPicPr>
      <xdr:blipFill>
        <a:blip r:embed="rId12"/>
        <a:stretch/>
      </xdr:blipFill>
      <xdr:spPr>
        <a:xfrm>
          <a:off x="1855800" y="8248320"/>
          <a:ext cx="730800" cy="266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590400</xdr:colOff>
      <xdr:row>53</xdr:row>
      <xdr:rowOff>133200</xdr:rowOff>
    </xdr:from>
    <xdr:to>
      <xdr:col>3</xdr:col>
      <xdr:colOff>542520</xdr:colOff>
      <xdr:row>56</xdr:row>
      <xdr:rowOff>47160</xdr:rowOff>
    </xdr:to>
    <xdr:pic>
      <xdr:nvPicPr>
        <xdr:cNvPr id="17" name="Picture 13" descr=""/>
        <xdr:cNvPicPr/>
      </xdr:nvPicPr>
      <xdr:blipFill>
        <a:blip r:embed="rId13"/>
        <a:stretch/>
      </xdr:blipFill>
      <xdr:spPr>
        <a:xfrm>
          <a:off x="1874520" y="8858160"/>
          <a:ext cx="594000" cy="399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485640</xdr:colOff>
      <xdr:row>57</xdr:row>
      <xdr:rowOff>114480</xdr:rowOff>
    </xdr:from>
    <xdr:to>
      <xdr:col>4</xdr:col>
      <xdr:colOff>132840</xdr:colOff>
      <xdr:row>60</xdr:row>
      <xdr:rowOff>47520</xdr:rowOff>
    </xdr:to>
    <xdr:pic>
      <xdr:nvPicPr>
        <xdr:cNvPr id="18" name="Picture 14" descr=""/>
        <xdr:cNvPicPr/>
      </xdr:nvPicPr>
      <xdr:blipFill>
        <a:blip r:embed="rId14"/>
        <a:stretch/>
      </xdr:blipFill>
      <xdr:spPr>
        <a:xfrm>
          <a:off x="1769760" y="9487080"/>
          <a:ext cx="930960" cy="41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485640</xdr:colOff>
      <xdr:row>61</xdr:row>
      <xdr:rowOff>38160</xdr:rowOff>
    </xdr:from>
    <xdr:to>
      <xdr:col>4</xdr:col>
      <xdr:colOff>142560</xdr:colOff>
      <xdr:row>64</xdr:row>
      <xdr:rowOff>47160</xdr:rowOff>
    </xdr:to>
    <xdr:pic>
      <xdr:nvPicPr>
        <xdr:cNvPr id="19" name="Picture 15" descr=""/>
        <xdr:cNvPicPr/>
      </xdr:nvPicPr>
      <xdr:blipFill>
        <a:blip r:embed="rId15"/>
        <a:stretch/>
      </xdr:blipFill>
      <xdr:spPr>
        <a:xfrm>
          <a:off x="1769760" y="10058400"/>
          <a:ext cx="940680" cy="495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476280</xdr:colOff>
      <xdr:row>65</xdr:row>
      <xdr:rowOff>66600</xdr:rowOff>
    </xdr:from>
    <xdr:to>
      <xdr:col>4</xdr:col>
      <xdr:colOff>133200</xdr:colOff>
      <xdr:row>68</xdr:row>
      <xdr:rowOff>28080</xdr:rowOff>
    </xdr:to>
    <xdr:pic>
      <xdr:nvPicPr>
        <xdr:cNvPr id="20" name="Picture 16" descr=""/>
        <xdr:cNvPicPr/>
      </xdr:nvPicPr>
      <xdr:blipFill>
        <a:blip r:embed="rId16"/>
        <a:stretch/>
      </xdr:blipFill>
      <xdr:spPr>
        <a:xfrm>
          <a:off x="1760400" y="10734480"/>
          <a:ext cx="940680" cy="447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600120</xdr:colOff>
      <xdr:row>69</xdr:row>
      <xdr:rowOff>47520</xdr:rowOff>
    </xdr:from>
    <xdr:to>
      <xdr:col>3</xdr:col>
      <xdr:colOff>599760</xdr:colOff>
      <xdr:row>73</xdr:row>
      <xdr:rowOff>113760</xdr:rowOff>
    </xdr:to>
    <xdr:pic>
      <xdr:nvPicPr>
        <xdr:cNvPr id="21" name="Picture 17" descr=""/>
        <xdr:cNvPicPr/>
      </xdr:nvPicPr>
      <xdr:blipFill>
        <a:blip r:embed="rId17"/>
        <a:stretch/>
      </xdr:blipFill>
      <xdr:spPr>
        <a:xfrm>
          <a:off x="1884240" y="11363400"/>
          <a:ext cx="641520" cy="713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399960</xdr:colOff>
      <xdr:row>4</xdr:row>
      <xdr:rowOff>114480</xdr:rowOff>
    </xdr:from>
    <xdr:to>
      <xdr:col>3</xdr:col>
      <xdr:colOff>599760</xdr:colOff>
      <xdr:row>6</xdr:row>
      <xdr:rowOff>123480</xdr:rowOff>
    </xdr:to>
    <xdr:pic>
      <xdr:nvPicPr>
        <xdr:cNvPr id="22" name="Picture 18" descr=""/>
        <xdr:cNvPicPr/>
      </xdr:nvPicPr>
      <xdr:blipFill>
        <a:blip r:embed="rId18"/>
        <a:stretch/>
      </xdr:blipFill>
      <xdr:spPr>
        <a:xfrm>
          <a:off x="1684080" y="762120"/>
          <a:ext cx="841680" cy="333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447840</xdr:colOff>
      <xdr:row>8</xdr:row>
      <xdr:rowOff>66600</xdr:rowOff>
    </xdr:from>
    <xdr:to>
      <xdr:col>4</xdr:col>
      <xdr:colOff>66600</xdr:colOff>
      <xdr:row>11</xdr:row>
      <xdr:rowOff>85320</xdr:rowOff>
    </xdr:to>
    <xdr:pic>
      <xdr:nvPicPr>
        <xdr:cNvPr id="23" name="Picture 19" descr=""/>
        <xdr:cNvPicPr/>
      </xdr:nvPicPr>
      <xdr:blipFill>
        <a:blip r:embed="rId19"/>
        <a:stretch/>
      </xdr:blipFill>
      <xdr:spPr>
        <a:xfrm>
          <a:off x="1731960" y="1361880"/>
          <a:ext cx="902520" cy="504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600120</xdr:colOff>
      <xdr:row>12</xdr:row>
      <xdr:rowOff>142920</xdr:rowOff>
    </xdr:from>
    <xdr:to>
      <xdr:col>3</xdr:col>
      <xdr:colOff>571320</xdr:colOff>
      <xdr:row>15</xdr:row>
      <xdr:rowOff>28440</xdr:rowOff>
    </xdr:to>
    <xdr:pic>
      <xdr:nvPicPr>
        <xdr:cNvPr id="24" name="Picture 20" descr=""/>
        <xdr:cNvPicPr/>
      </xdr:nvPicPr>
      <xdr:blipFill>
        <a:blip r:embed="rId20"/>
        <a:stretch/>
      </xdr:blipFill>
      <xdr:spPr>
        <a:xfrm>
          <a:off x="1884240" y="2086200"/>
          <a:ext cx="613080" cy="371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438120</xdr:colOff>
      <xdr:row>16</xdr:row>
      <xdr:rowOff>57240</xdr:rowOff>
    </xdr:from>
    <xdr:to>
      <xdr:col>4</xdr:col>
      <xdr:colOff>95040</xdr:colOff>
      <xdr:row>19</xdr:row>
      <xdr:rowOff>47520</xdr:rowOff>
    </xdr:to>
    <xdr:pic>
      <xdr:nvPicPr>
        <xdr:cNvPr id="25" name="Picture 21" descr=""/>
        <xdr:cNvPicPr/>
      </xdr:nvPicPr>
      <xdr:blipFill>
        <a:blip r:embed="rId21"/>
        <a:stretch/>
      </xdr:blipFill>
      <xdr:spPr>
        <a:xfrm>
          <a:off x="1722240" y="2648160"/>
          <a:ext cx="940680" cy="475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495360</xdr:colOff>
      <xdr:row>20</xdr:row>
      <xdr:rowOff>142920</xdr:rowOff>
    </xdr:from>
    <xdr:to>
      <xdr:col>4</xdr:col>
      <xdr:colOff>152280</xdr:colOff>
      <xdr:row>23</xdr:row>
      <xdr:rowOff>75960</xdr:rowOff>
    </xdr:to>
    <xdr:pic>
      <xdr:nvPicPr>
        <xdr:cNvPr id="26" name="Picture 22" descr=""/>
        <xdr:cNvPicPr/>
      </xdr:nvPicPr>
      <xdr:blipFill>
        <a:blip r:embed="rId22"/>
        <a:stretch/>
      </xdr:blipFill>
      <xdr:spPr>
        <a:xfrm>
          <a:off x="1779480" y="3381480"/>
          <a:ext cx="940680" cy="41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457200</xdr:colOff>
      <xdr:row>24</xdr:row>
      <xdr:rowOff>181080</xdr:rowOff>
    </xdr:from>
    <xdr:to>
      <xdr:col>4</xdr:col>
      <xdr:colOff>114120</xdr:colOff>
      <xdr:row>28</xdr:row>
      <xdr:rowOff>28440</xdr:rowOff>
    </xdr:to>
    <xdr:pic>
      <xdr:nvPicPr>
        <xdr:cNvPr id="27" name="Picture 23" descr=""/>
        <xdr:cNvPicPr/>
      </xdr:nvPicPr>
      <xdr:blipFill>
        <a:blip r:embed="rId23"/>
        <a:stretch/>
      </xdr:blipFill>
      <xdr:spPr>
        <a:xfrm>
          <a:off x="1741320" y="4067280"/>
          <a:ext cx="940680" cy="609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476280</xdr:colOff>
      <xdr:row>29</xdr:row>
      <xdr:rowOff>38160</xdr:rowOff>
    </xdr:from>
    <xdr:to>
      <xdr:col>4</xdr:col>
      <xdr:colOff>85320</xdr:colOff>
      <xdr:row>32</xdr:row>
      <xdr:rowOff>85320</xdr:rowOff>
    </xdr:to>
    <xdr:pic>
      <xdr:nvPicPr>
        <xdr:cNvPr id="28" name="Picture 24" descr=""/>
        <xdr:cNvPicPr/>
      </xdr:nvPicPr>
      <xdr:blipFill>
        <a:blip r:embed="rId24"/>
        <a:stretch/>
      </xdr:blipFill>
      <xdr:spPr>
        <a:xfrm>
          <a:off x="1760400" y="4876920"/>
          <a:ext cx="892800" cy="53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33</xdr:row>
      <xdr:rowOff>85680</xdr:rowOff>
    </xdr:from>
    <xdr:to>
      <xdr:col>4</xdr:col>
      <xdr:colOff>37800</xdr:colOff>
      <xdr:row>36</xdr:row>
      <xdr:rowOff>75960</xdr:rowOff>
    </xdr:to>
    <xdr:pic>
      <xdr:nvPicPr>
        <xdr:cNvPr id="29" name="Picture 25" descr=""/>
        <xdr:cNvPicPr/>
      </xdr:nvPicPr>
      <xdr:blipFill>
        <a:blip r:embed="rId25"/>
        <a:stretch/>
      </xdr:blipFill>
      <xdr:spPr>
        <a:xfrm>
          <a:off x="1926000" y="5572080"/>
          <a:ext cx="679680" cy="475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504720</xdr:colOff>
      <xdr:row>37</xdr:row>
      <xdr:rowOff>104760</xdr:rowOff>
    </xdr:from>
    <xdr:to>
      <xdr:col>4</xdr:col>
      <xdr:colOff>151920</xdr:colOff>
      <xdr:row>40</xdr:row>
      <xdr:rowOff>66240</xdr:rowOff>
    </xdr:to>
    <xdr:pic>
      <xdr:nvPicPr>
        <xdr:cNvPr id="30" name="Picture 26" descr=""/>
        <xdr:cNvPicPr/>
      </xdr:nvPicPr>
      <xdr:blipFill>
        <a:blip r:embed="rId26"/>
        <a:stretch/>
      </xdr:blipFill>
      <xdr:spPr>
        <a:xfrm>
          <a:off x="1788840" y="6238800"/>
          <a:ext cx="930960" cy="447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542880</xdr:colOff>
      <xdr:row>41</xdr:row>
      <xdr:rowOff>152280</xdr:rowOff>
    </xdr:from>
    <xdr:to>
      <xdr:col>4</xdr:col>
      <xdr:colOff>66240</xdr:colOff>
      <xdr:row>43</xdr:row>
      <xdr:rowOff>161640</xdr:rowOff>
    </xdr:to>
    <xdr:pic>
      <xdr:nvPicPr>
        <xdr:cNvPr id="31" name="Picture 27" descr=""/>
        <xdr:cNvPicPr/>
      </xdr:nvPicPr>
      <xdr:blipFill>
        <a:blip r:embed="rId27"/>
        <a:stretch/>
      </xdr:blipFill>
      <xdr:spPr>
        <a:xfrm>
          <a:off x="1827000" y="6933960"/>
          <a:ext cx="807120" cy="33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571680</xdr:colOff>
      <xdr:row>45</xdr:row>
      <xdr:rowOff>57240</xdr:rowOff>
    </xdr:from>
    <xdr:to>
      <xdr:col>4</xdr:col>
      <xdr:colOff>18720</xdr:colOff>
      <xdr:row>48</xdr:row>
      <xdr:rowOff>114120</xdr:rowOff>
    </xdr:to>
    <xdr:pic>
      <xdr:nvPicPr>
        <xdr:cNvPr id="32" name="Picture 28" descr=""/>
        <xdr:cNvPicPr/>
      </xdr:nvPicPr>
      <xdr:blipFill>
        <a:blip r:embed="rId28"/>
        <a:stretch/>
      </xdr:blipFill>
      <xdr:spPr>
        <a:xfrm>
          <a:off x="1855800" y="7486920"/>
          <a:ext cx="730800" cy="542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571680</xdr:colOff>
      <xdr:row>50</xdr:row>
      <xdr:rowOff>9360</xdr:rowOff>
    </xdr:from>
    <xdr:to>
      <xdr:col>4</xdr:col>
      <xdr:colOff>18720</xdr:colOff>
      <xdr:row>51</xdr:row>
      <xdr:rowOff>113760</xdr:rowOff>
    </xdr:to>
    <xdr:pic>
      <xdr:nvPicPr>
        <xdr:cNvPr id="33" name="Picture 29" descr=""/>
        <xdr:cNvPicPr/>
      </xdr:nvPicPr>
      <xdr:blipFill>
        <a:blip r:embed="rId29"/>
        <a:stretch/>
      </xdr:blipFill>
      <xdr:spPr>
        <a:xfrm>
          <a:off x="1855800" y="8248320"/>
          <a:ext cx="730800" cy="266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590400</xdr:colOff>
      <xdr:row>53</xdr:row>
      <xdr:rowOff>133200</xdr:rowOff>
    </xdr:from>
    <xdr:to>
      <xdr:col>3</xdr:col>
      <xdr:colOff>542520</xdr:colOff>
      <xdr:row>56</xdr:row>
      <xdr:rowOff>47160</xdr:rowOff>
    </xdr:to>
    <xdr:pic>
      <xdr:nvPicPr>
        <xdr:cNvPr id="34" name="Picture 30" descr=""/>
        <xdr:cNvPicPr/>
      </xdr:nvPicPr>
      <xdr:blipFill>
        <a:blip r:embed="rId30"/>
        <a:stretch/>
      </xdr:blipFill>
      <xdr:spPr>
        <a:xfrm>
          <a:off x="1874520" y="8858160"/>
          <a:ext cx="594000" cy="399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485640</xdr:colOff>
      <xdr:row>57</xdr:row>
      <xdr:rowOff>114480</xdr:rowOff>
    </xdr:from>
    <xdr:to>
      <xdr:col>4</xdr:col>
      <xdr:colOff>132840</xdr:colOff>
      <xdr:row>60</xdr:row>
      <xdr:rowOff>47520</xdr:rowOff>
    </xdr:to>
    <xdr:pic>
      <xdr:nvPicPr>
        <xdr:cNvPr id="35" name="Picture 31" descr=""/>
        <xdr:cNvPicPr/>
      </xdr:nvPicPr>
      <xdr:blipFill>
        <a:blip r:embed="rId31"/>
        <a:stretch/>
      </xdr:blipFill>
      <xdr:spPr>
        <a:xfrm>
          <a:off x="1769760" y="9487080"/>
          <a:ext cx="930960" cy="41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485640</xdr:colOff>
      <xdr:row>61</xdr:row>
      <xdr:rowOff>38160</xdr:rowOff>
    </xdr:from>
    <xdr:to>
      <xdr:col>4</xdr:col>
      <xdr:colOff>142560</xdr:colOff>
      <xdr:row>64</xdr:row>
      <xdr:rowOff>47160</xdr:rowOff>
    </xdr:to>
    <xdr:pic>
      <xdr:nvPicPr>
        <xdr:cNvPr id="36" name="Picture 32" descr=""/>
        <xdr:cNvPicPr/>
      </xdr:nvPicPr>
      <xdr:blipFill>
        <a:blip r:embed="rId32"/>
        <a:stretch/>
      </xdr:blipFill>
      <xdr:spPr>
        <a:xfrm>
          <a:off x="1769760" y="10058400"/>
          <a:ext cx="940680" cy="495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476280</xdr:colOff>
      <xdr:row>65</xdr:row>
      <xdr:rowOff>66600</xdr:rowOff>
    </xdr:from>
    <xdr:to>
      <xdr:col>4</xdr:col>
      <xdr:colOff>133200</xdr:colOff>
      <xdr:row>68</xdr:row>
      <xdr:rowOff>28080</xdr:rowOff>
    </xdr:to>
    <xdr:pic>
      <xdr:nvPicPr>
        <xdr:cNvPr id="37" name="Picture 33" descr=""/>
        <xdr:cNvPicPr/>
      </xdr:nvPicPr>
      <xdr:blipFill>
        <a:blip r:embed="rId33"/>
        <a:stretch/>
      </xdr:blipFill>
      <xdr:spPr>
        <a:xfrm>
          <a:off x="1760400" y="10734480"/>
          <a:ext cx="940680" cy="447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600120</xdr:colOff>
      <xdr:row>69</xdr:row>
      <xdr:rowOff>47520</xdr:rowOff>
    </xdr:from>
    <xdr:to>
      <xdr:col>3</xdr:col>
      <xdr:colOff>599760</xdr:colOff>
      <xdr:row>73</xdr:row>
      <xdr:rowOff>113760</xdr:rowOff>
    </xdr:to>
    <xdr:pic>
      <xdr:nvPicPr>
        <xdr:cNvPr id="38" name="Picture 34" descr=""/>
        <xdr:cNvPicPr/>
      </xdr:nvPicPr>
      <xdr:blipFill>
        <a:blip r:embed="rId34"/>
        <a:stretch/>
      </xdr:blipFill>
      <xdr:spPr>
        <a:xfrm>
          <a:off x="1884240" y="11363400"/>
          <a:ext cx="641520" cy="7138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361800</xdr:colOff>
      <xdr:row>12</xdr:row>
      <xdr:rowOff>47520</xdr:rowOff>
    </xdr:from>
    <xdr:to>
      <xdr:col>3</xdr:col>
      <xdr:colOff>161280</xdr:colOff>
      <xdr:row>15</xdr:row>
      <xdr:rowOff>85320</xdr:rowOff>
    </xdr:to>
    <xdr:pic>
      <xdr:nvPicPr>
        <xdr:cNvPr id="39" name="Picture 1" descr=""/>
        <xdr:cNvPicPr/>
      </xdr:nvPicPr>
      <xdr:blipFill>
        <a:blip r:embed="rId1"/>
        <a:stretch/>
      </xdr:blipFill>
      <xdr:spPr>
        <a:xfrm>
          <a:off x="1645920" y="1990800"/>
          <a:ext cx="441360" cy="523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390600</xdr:colOff>
      <xdr:row>12</xdr:row>
      <xdr:rowOff>47520</xdr:rowOff>
    </xdr:from>
    <xdr:to>
      <xdr:col>5</xdr:col>
      <xdr:colOff>218880</xdr:colOff>
      <xdr:row>15</xdr:row>
      <xdr:rowOff>85320</xdr:rowOff>
    </xdr:to>
    <xdr:pic>
      <xdr:nvPicPr>
        <xdr:cNvPr id="40" name="Picture 2" descr=""/>
        <xdr:cNvPicPr/>
      </xdr:nvPicPr>
      <xdr:blipFill>
        <a:blip r:embed="rId2"/>
        <a:stretch/>
      </xdr:blipFill>
      <xdr:spPr>
        <a:xfrm>
          <a:off x="2958480" y="1990800"/>
          <a:ext cx="470160" cy="523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371520</xdr:colOff>
      <xdr:row>12</xdr:row>
      <xdr:rowOff>66600</xdr:rowOff>
    </xdr:from>
    <xdr:to>
      <xdr:col>7</xdr:col>
      <xdr:colOff>199800</xdr:colOff>
      <xdr:row>15</xdr:row>
      <xdr:rowOff>104400</xdr:rowOff>
    </xdr:to>
    <xdr:pic>
      <xdr:nvPicPr>
        <xdr:cNvPr id="41" name="Picture 3" descr=""/>
        <xdr:cNvPicPr/>
      </xdr:nvPicPr>
      <xdr:blipFill>
        <a:blip r:embed="rId3"/>
        <a:stretch/>
      </xdr:blipFill>
      <xdr:spPr>
        <a:xfrm>
          <a:off x="4223520" y="2009880"/>
          <a:ext cx="470160" cy="523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380880</xdr:colOff>
      <xdr:row>12</xdr:row>
      <xdr:rowOff>57240</xdr:rowOff>
    </xdr:from>
    <xdr:to>
      <xdr:col>9</xdr:col>
      <xdr:colOff>161280</xdr:colOff>
      <xdr:row>15</xdr:row>
      <xdr:rowOff>85320</xdr:rowOff>
    </xdr:to>
    <xdr:pic>
      <xdr:nvPicPr>
        <xdr:cNvPr id="42" name="Picture 4" descr=""/>
        <xdr:cNvPicPr/>
      </xdr:nvPicPr>
      <xdr:blipFill>
        <a:blip r:embed="rId4"/>
        <a:stretch/>
      </xdr:blipFill>
      <xdr:spPr>
        <a:xfrm>
          <a:off x="5516640" y="2000520"/>
          <a:ext cx="422640" cy="513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361800</xdr:colOff>
      <xdr:row>12</xdr:row>
      <xdr:rowOff>66600</xdr:rowOff>
    </xdr:from>
    <xdr:to>
      <xdr:col>11</xdr:col>
      <xdr:colOff>190080</xdr:colOff>
      <xdr:row>15</xdr:row>
      <xdr:rowOff>85320</xdr:rowOff>
    </xdr:to>
    <xdr:pic>
      <xdr:nvPicPr>
        <xdr:cNvPr id="43" name="Picture 5" descr=""/>
        <xdr:cNvPicPr/>
      </xdr:nvPicPr>
      <xdr:blipFill>
        <a:blip r:embed="rId5"/>
        <a:stretch/>
      </xdr:blipFill>
      <xdr:spPr>
        <a:xfrm>
          <a:off x="6781680" y="2009880"/>
          <a:ext cx="470160" cy="504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343080</xdr:colOff>
      <xdr:row>12</xdr:row>
      <xdr:rowOff>66600</xdr:rowOff>
    </xdr:from>
    <xdr:to>
      <xdr:col>13</xdr:col>
      <xdr:colOff>209520</xdr:colOff>
      <xdr:row>15</xdr:row>
      <xdr:rowOff>94680</xdr:rowOff>
    </xdr:to>
    <xdr:pic>
      <xdr:nvPicPr>
        <xdr:cNvPr id="44" name="Picture 6" descr=""/>
        <xdr:cNvPicPr/>
      </xdr:nvPicPr>
      <xdr:blipFill>
        <a:blip r:embed="rId6"/>
        <a:stretch/>
      </xdr:blipFill>
      <xdr:spPr>
        <a:xfrm>
          <a:off x="8047080" y="2009880"/>
          <a:ext cx="508320" cy="513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428760</xdr:colOff>
      <xdr:row>12</xdr:row>
      <xdr:rowOff>95400</xdr:rowOff>
    </xdr:from>
    <xdr:to>
      <xdr:col>15</xdr:col>
      <xdr:colOff>276120</xdr:colOff>
      <xdr:row>15</xdr:row>
      <xdr:rowOff>85680</xdr:rowOff>
    </xdr:to>
    <xdr:pic>
      <xdr:nvPicPr>
        <xdr:cNvPr id="45" name="Picture 7" descr=""/>
        <xdr:cNvPicPr/>
      </xdr:nvPicPr>
      <xdr:blipFill>
        <a:blip r:embed="rId7"/>
        <a:stretch/>
      </xdr:blipFill>
      <xdr:spPr>
        <a:xfrm>
          <a:off x="9416520" y="2038680"/>
          <a:ext cx="489240" cy="47592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le://fl-el-servidor/Users/Arquivos/UHE%20MONJOLINHO/Lista%20Estimativa%20de%20Cabos%20de%20For&#231;a/Lista%20de%20Cargas%20-%20em%20edi&#231;&#227;o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egendas e Notas"/>
      <sheetName val="Lista de Cargas CA"/>
      <sheetName val="Ligações Entre Quadros CA"/>
      <sheetName val="Lista de Cargas CC"/>
      <sheetName val="Ligações Entre Quadros CC"/>
      <sheetName val="IP 55 4P"/>
      <sheetName val="monofásico NEMA 48 e 56 4P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U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9.109375" defaultRowHeight="11.25" zeroHeight="false" outlineLevelRow="0" outlineLevelCol="0"/>
  <cols>
    <col collapsed="false" customWidth="true" hidden="false" outlineLevel="0" max="1" min="1" style="1" width="20.66"/>
    <col collapsed="false" customWidth="true" hidden="false" outlineLevel="0" max="2" min="2" style="2" width="8.67"/>
    <col collapsed="false" customWidth="true" hidden="false" outlineLevel="0" max="3" min="3" style="2" width="13.44"/>
    <col collapsed="false" customWidth="true" hidden="false" outlineLevel="0" max="4" min="4" style="3" width="8.34"/>
    <col collapsed="false" customWidth="true" hidden="false" outlineLevel="0" max="5" min="5" style="4" width="4.11"/>
    <col collapsed="false" customWidth="true" hidden="false" outlineLevel="0" max="6" min="6" style="5" width="6.33"/>
    <col collapsed="false" customWidth="true" hidden="false" outlineLevel="0" max="7" min="7" style="3" width="12"/>
    <col collapsed="false" customWidth="true" hidden="false" outlineLevel="0" max="8" min="8" style="3" width="8.67"/>
    <col collapsed="false" customWidth="true" hidden="false" outlineLevel="0" max="9" min="9" style="3" width="10.11"/>
    <col collapsed="false" customWidth="true" hidden="false" outlineLevel="0" max="10" min="10" style="3" width="10.66"/>
    <col collapsed="false" customWidth="true" hidden="false" outlineLevel="0" max="11" min="11" style="3" width="10.44"/>
    <col collapsed="false" customWidth="true" hidden="false" outlineLevel="0" max="12" min="12" style="4" width="7.56"/>
    <col collapsed="false" customWidth="true" hidden="false" outlineLevel="0" max="13" min="13" style="4" width="8.34"/>
    <col collapsed="false" customWidth="true" hidden="false" outlineLevel="0" max="14" min="14" style="6" width="7"/>
    <col collapsed="false" customWidth="true" hidden="false" outlineLevel="0" max="15" min="15" style="6" width="18"/>
    <col collapsed="false" customWidth="true" hidden="false" outlineLevel="0" max="16" min="16" style="6" width="7.11"/>
    <col collapsed="false" customWidth="true" hidden="false" outlineLevel="0" max="17" min="17" style="6" width="6.56"/>
    <col collapsed="false" customWidth="true" hidden="false" outlineLevel="0" max="18" min="18" style="6" width="10.11"/>
    <col collapsed="false" customWidth="true" hidden="false" outlineLevel="0" max="19" min="19" style="6" width="11.44"/>
    <col collapsed="false" customWidth="true" hidden="false" outlineLevel="0" max="20" min="20" style="6" width="12.67"/>
    <col collapsed="false" customWidth="false" hidden="false" outlineLevel="0" max="16384" min="21" style="6" width="9.11"/>
  </cols>
  <sheetData>
    <row r="1" customFormat="false" ht="22.35" hidden="false" customHeight="false" outlineLevel="0" collapsed="false">
      <c r="A1" s="7" t="s">
        <v>0</v>
      </c>
      <c r="B1" s="8" t="s">
        <v>1</v>
      </c>
      <c r="C1" s="9"/>
    </row>
    <row r="2" customFormat="false" ht="22.35" hidden="false" customHeight="false" outlineLevel="0" collapsed="false">
      <c r="A2" s="7" t="s">
        <v>2</v>
      </c>
      <c r="B2" s="10" t="n">
        <v>380</v>
      </c>
      <c r="C2" s="11" t="s">
        <v>3</v>
      </c>
    </row>
    <row r="3" customFormat="false" ht="15.75" hidden="false" customHeight="true" outlineLevel="0" collapsed="false">
      <c r="A3" s="12" t="s">
        <v>4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O3" s="13" t="s">
        <v>4</v>
      </c>
      <c r="P3" s="13"/>
      <c r="Q3" s="13"/>
      <c r="R3" s="13"/>
      <c r="S3" s="13"/>
      <c r="T3" s="13"/>
      <c r="U3" s="13"/>
    </row>
    <row r="4" customFormat="false" ht="18.75" hidden="false" customHeight="true" outlineLevel="0" collapsed="false">
      <c r="A4" s="14" t="s">
        <v>5</v>
      </c>
      <c r="B4" s="15" t="s">
        <v>6</v>
      </c>
      <c r="C4" s="15" t="s">
        <v>7</v>
      </c>
      <c r="D4" s="16" t="s">
        <v>8</v>
      </c>
      <c r="E4" s="17" t="s">
        <v>9</v>
      </c>
      <c r="F4" s="17" t="s">
        <v>10</v>
      </c>
      <c r="G4" s="18" t="s">
        <v>11</v>
      </c>
      <c r="H4" s="16" t="s">
        <v>12</v>
      </c>
      <c r="I4" s="16" t="s">
        <v>13</v>
      </c>
      <c r="J4" s="16" t="s">
        <v>14</v>
      </c>
      <c r="K4" s="16" t="s">
        <v>15</v>
      </c>
      <c r="L4" s="19" t="s">
        <v>16</v>
      </c>
      <c r="M4" s="19"/>
      <c r="O4" s="20" t="s">
        <v>5</v>
      </c>
      <c r="P4" s="21" t="s">
        <v>6</v>
      </c>
      <c r="Q4" s="21" t="s">
        <v>7</v>
      </c>
      <c r="R4" s="22" t="s">
        <v>17</v>
      </c>
      <c r="S4" s="22" t="s">
        <v>18</v>
      </c>
      <c r="T4" s="22" t="s">
        <v>19</v>
      </c>
      <c r="U4" s="23" t="s">
        <v>16</v>
      </c>
    </row>
    <row r="5" customFormat="false" ht="22.35" hidden="false" customHeight="false" outlineLevel="0" collapsed="false">
      <c r="A5" s="14"/>
      <c r="B5" s="15"/>
      <c r="C5" s="15"/>
      <c r="D5" s="16"/>
      <c r="E5" s="17"/>
      <c r="F5" s="17"/>
      <c r="G5" s="18"/>
      <c r="H5" s="18"/>
      <c r="I5" s="18"/>
      <c r="J5" s="18"/>
      <c r="K5" s="18"/>
      <c r="L5" s="24" t="s">
        <v>20</v>
      </c>
      <c r="M5" s="25" t="s">
        <v>21</v>
      </c>
      <c r="O5" s="20"/>
      <c r="P5" s="21"/>
      <c r="Q5" s="21"/>
      <c r="R5" s="22"/>
      <c r="S5" s="22"/>
      <c r="T5" s="22"/>
      <c r="U5" s="26" t="s">
        <v>20</v>
      </c>
    </row>
    <row r="6" s="37" customFormat="true" ht="9.75" hidden="false" customHeight="true" outlineLevel="0" collapsed="false">
      <c r="A6" s="27" t="s">
        <v>22</v>
      </c>
      <c r="B6" s="28" t="s">
        <v>23</v>
      </c>
      <c r="C6" s="28" t="s">
        <v>24</v>
      </c>
      <c r="D6" s="29" t="n">
        <v>5</v>
      </c>
      <c r="E6" s="30" t="n">
        <v>0.77</v>
      </c>
      <c r="F6" s="31" t="n">
        <v>8.3</v>
      </c>
      <c r="G6" s="32" t="n">
        <v>89.5</v>
      </c>
      <c r="H6" s="33" t="n">
        <v>1.25</v>
      </c>
      <c r="I6" s="34" t="n">
        <f aca="false">D6*0.745/(G6/100)</f>
        <v>4.16201117318436</v>
      </c>
      <c r="J6" s="35" t="n">
        <f aca="false">I6/E6</f>
        <v>5.40520931582384</v>
      </c>
      <c r="K6" s="35" t="n">
        <f aca="false">SQRT(J6^2-I6^2)</f>
        <v>3.4487607545548</v>
      </c>
      <c r="L6" s="36" t="n">
        <f aca="false">J6*1000/(SQRT(3)*$B$2)</f>
        <v>8.21236593030834</v>
      </c>
      <c r="M6" s="36" t="n">
        <f aca="false">F6*L6</f>
        <v>68.1626372215592</v>
      </c>
      <c r="O6" s="38" t="s">
        <v>25</v>
      </c>
      <c r="P6" s="39" t="s">
        <v>26</v>
      </c>
      <c r="Q6" s="40" t="s">
        <v>27</v>
      </c>
      <c r="R6" s="41" t="n">
        <v>55.961</v>
      </c>
      <c r="S6" s="41" t="n">
        <v>40.5364242792726</v>
      </c>
      <c r="T6" s="41" t="n">
        <f aca="false">SQRT(R6^2+S6^2)</f>
        <v>69.1001824480167</v>
      </c>
      <c r="U6" s="42" t="n">
        <v>120.965390062164</v>
      </c>
    </row>
    <row r="7" s="37" customFormat="true" ht="9.75" hidden="false" customHeight="true" outlineLevel="0" collapsed="false">
      <c r="A7" s="27" t="s">
        <v>28</v>
      </c>
      <c r="B7" s="28"/>
      <c r="C7" s="28"/>
      <c r="D7" s="29" t="n">
        <v>5</v>
      </c>
      <c r="E7" s="30" t="n">
        <v>0.77</v>
      </c>
      <c r="F7" s="31" t="n">
        <v>8.3</v>
      </c>
      <c r="G7" s="32" t="n">
        <v>89.5</v>
      </c>
      <c r="H7" s="33" t="n">
        <v>1.25</v>
      </c>
      <c r="I7" s="34" t="n">
        <f aca="false">D7*0.745/(G7/100)</f>
        <v>4.16201117318436</v>
      </c>
      <c r="J7" s="35" t="n">
        <f aca="false">I7/E7</f>
        <v>5.40520931582384</v>
      </c>
      <c r="K7" s="35" t="n">
        <f aca="false">SQRT(J7^2-I7^2)</f>
        <v>3.4487607545548</v>
      </c>
      <c r="L7" s="36" t="n">
        <f aca="false">J7*1000/(SQRT(3)*$B$2)</f>
        <v>8.21236593030834</v>
      </c>
      <c r="M7" s="36" t="n">
        <f aca="false">F7*L7</f>
        <v>68.1626372215592</v>
      </c>
      <c r="O7" s="43" t="s">
        <v>29</v>
      </c>
      <c r="P7" s="39"/>
      <c r="Q7" s="44" t="s">
        <v>30</v>
      </c>
      <c r="R7" s="45" t="n">
        <v>77.6251</v>
      </c>
      <c r="S7" s="45" t="n">
        <v>54.4000250643333</v>
      </c>
      <c r="T7" s="45" t="n">
        <f aca="false">SQRT(R7^2+S7^2)</f>
        <v>94.7893394692151</v>
      </c>
      <c r="U7" s="46" t="n">
        <v>161.924544707008</v>
      </c>
    </row>
    <row r="8" s="37" customFormat="true" ht="9.75" hidden="false" customHeight="true" outlineLevel="0" collapsed="false">
      <c r="A8" s="27" t="s">
        <v>31</v>
      </c>
      <c r="B8" s="28"/>
      <c r="C8" s="28"/>
      <c r="D8" s="29" t="n">
        <v>5</v>
      </c>
      <c r="E8" s="30" t="n">
        <v>0.77</v>
      </c>
      <c r="F8" s="31" t="n">
        <v>8.3</v>
      </c>
      <c r="G8" s="32" t="n">
        <v>89.5</v>
      </c>
      <c r="H8" s="33" t="n">
        <v>1.25</v>
      </c>
      <c r="I8" s="34" t="n">
        <f aca="false">D8*0.745/(G8/100)</f>
        <v>4.16201117318436</v>
      </c>
      <c r="J8" s="35" t="n">
        <f aca="false">I8/E8</f>
        <v>5.40520931582384</v>
      </c>
      <c r="K8" s="35" t="n">
        <f aca="false">SQRT(J8^2-I8^2)</f>
        <v>3.4487607545548</v>
      </c>
      <c r="L8" s="36" t="n">
        <f aca="false">J8*1000/(SQRT(3)*$B$2)</f>
        <v>8.21236593030834</v>
      </c>
      <c r="M8" s="36" t="n">
        <f aca="false">F8*L8</f>
        <v>68.1626372215592</v>
      </c>
      <c r="O8" s="43" t="s">
        <v>32</v>
      </c>
      <c r="P8" s="39"/>
      <c r="Q8" s="44" t="s">
        <v>33</v>
      </c>
      <c r="R8" s="45" t="n">
        <v>19.5458</v>
      </c>
      <c r="S8" s="45" t="n">
        <v>9.08241600599657</v>
      </c>
      <c r="T8" s="45" t="n">
        <f aca="false">SQRT(R8^2+S8^2)</f>
        <v>21.5529250484936</v>
      </c>
      <c r="U8" s="46" t="n">
        <v>42.5450585552223</v>
      </c>
    </row>
    <row r="9" s="37" customFormat="true" ht="9.75" hidden="false" customHeight="true" outlineLevel="0" collapsed="false">
      <c r="A9" s="27" t="s">
        <v>34</v>
      </c>
      <c r="B9" s="28"/>
      <c r="C9" s="28"/>
      <c r="D9" s="29" t="n">
        <v>5</v>
      </c>
      <c r="E9" s="30" t="n">
        <v>0.77</v>
      </c>
      <c r="F9" s="31" t="n">
        <v>8.3</v>
      </c>
      <c r="G9" s="32" t="n">
        <v>89.5</v>
      </c>
      <c r="H9" s="33" t="n">
        <v>1.25</v>
      </c>
      <c r="I9" s="34" t="n">
        <f aca="false">D9*0.745/(G9/100)</f>
        <v>4.16201117318436</v>
      </c>
      <c r="J9" s="35" t="n">
        <f aca="false">I9/E9</f>
        <v>5.40520931582384</v>
      </c>
      <c r="K9" s="35" t="n">
        <f aca="false">SQRT(J9^2-I9^2)</f>
        <v>3.4487607545548</v>
      </c>
      <c r="L9" s="36" t="n">
        <f aca="false">J9*1000/(SQRT(3)*$B$2)</f>
        <v>8.21236593030834</v>
      </c>
      <c r="M9" s="36" t="n">
        <f aca="false">F9*L9</f>
        <v>68.1626372215592</v>
      </c>
      <c r="O9" s="47" t="s">
        <v>35</v>
      </c>
      <c r="P9" s="39"/>
      <c r="Q9" s="48" t="s">
        <v>36</v>
      </c>
      <c r="R9" s="49" t="n">
        <v>22.596</v>
      </c>
      <c r="S9" s="49" t="n">
        <v>9.48075327935214</v>
      </c>
      <c r="T9" s="49" t="n">
        <f aca="false">SQRT(R9^2+S9^2)</f>
        <v>24.5043648916667</v>
      </c>
      <c r="U9" s="50" t="n">
        <v>53.0234538328167</v>
      </c>
    </row>
    <row r="10" s="37" customFormat="true" ht="9.75" hidden="false" customHeight="true" outlineLevel="0" collapsed="false">
      <c r="A10" s="27" t="s">
        <v>37</v>
      </c>
      <c r="B10" s="28"/>
      <c r="C10" s="28"/>
      <c r="D10" s="29" t="n">
        <v>15</v>
      </c>
      <c r="E10" s="30" t="n">
        <v>0.83</v>
      </c>
      <c r="F10" s="31" t="n">
        <v>8.3</v>
      </c>
      <c r="G10" s="32" t="n">
        <v>92.4</v>
      </c>
      <c r="H10" s="33" t="n">
        <v>1.25</v>
      </c>
      <c r="I10" s="34" t="n">
        <f aca="false">D10*0.745/(G10/100)</f>
        <v>12.0941558441558</v>
      </c>
      <c r="J10" s="35" t="n">
        <f aca="false">I10/E10</f>
        <v>14.5712721013926</v>
      </c>
      <c r="K10" s="35" t="n">
        <f aca="false">SQRT(J10^2-I10^2)</f>
        <v>8.12732213401763</v>
      </c>
      <c r="L10" s="36" t="n">
        <f aca="false">J10*1000/(SQRT(3)*$B$2)</f>
        <v>22.1387575530902</v>
      </c>
      <c r="M10" s="36" t="n">
        <f aca="false">F10*L10</f>
        <v>183.751687690649</v>
      </c>
      <c r="O10" s="38" t="s">
        <v>38</v>
      </c>
      <c r="P10" s="39"/>
      <c r="Q10" s="40" t="s">
        <v>23</v>
      </c>
      <c r="R10" s="41" t="n">
        <f aca="false">SUM(I6:I13)</f>
        <v>65.0246680693608</v>
      </c>
      <c r="S10" s="41" t="n">
        <f aca="false">SUM(K6:K13)</f>
        <v>46.3043315542897</v>
      </c>
      <c r="T10" s="41" t="n">
        <f aca="false">SQRT(R10^2+S10^2)</f>
        <v>79.8266783614359</v>
      </c>
      <c r="U10" s="42" t="n">
        <f aca="false">T10*1000/(SQRT(3)*$B$2)</f>
        <v>121.284090106549</v>
      </c>
    </row>
    <row r="11" s="37" customFormat="true" ht="9.75" hidden="false" customHeight="true" outlineLevel="0" collapsed="false">
      <c r="A11" s="27" t="s">
        <v>39</v>
      </c>
      <c r="B11" s="28"/>
      <c r="C11" s="28"/>
      <c r="D11" s="29" t="n">
        <v>15</v>
      </c>
      <c r="E11" s="30" t="n">
        <v>0.83</v>
      </c>
      <c r="F11" s="31" t="n">
        <v>8.3</v>
      </c>
      <c r="G11" s="32" t="n">
        <v>92.4</v>
      </c>
      <c r="H11" s="33" t="n">
        <v>1.25</v>
      </c>
      <c r="I11" s="34" t="n">
        <f aca="false">D11*0.745/(G11/100)</f>
        <v>12.0941558441558</v>
      </c>
      <c r="J11" s="35" t="n">
        <f aca="false">I11/E11</f>
        <v>14.5712721013926</v>
      </c>
      <c r="K11" s="35" t="n">
        <f aca="false">SQRT(J11^2-I11^2)</f>
        <v>8.12732213401763</v>
      </c>
      <c r="L11" s="36" t="n">
        <f aca="false">J11*1000/(SQRT(3)*$B$2)</f>
        <v>22.1387575530902</v>
      </c>
      <c r="M11" s="36" t="n">
        <f aca="false">F11*L11</f>
        <v>183.751687690649</v>
      </c>
      <c r="O11" s="43" t="s">
        <v>40</v>
      </c>
      <c r="P11" s="39"/>
      <c r="Q11" s="44" t="s">
        <v>41</v>
      </c>
      <c r="R11" s="45" t="n">
        <f aca="false">SUM(I14:I19)</f>
        <v>79.9444958371878</v>
      </c>
      <c r="S11" s="45" t="n">
        <f aca="false">SUM(K14:K19)</f>
        <v>55.3506319918056</v>
      </c>
      <c r="T11" s="45" t="n">
        <f aca="false">SQRT(R11^2+S11^2)</f>
        <v>97.2358723751396</v>
      </c>
      <c r="U11" s="46" t="n">
        <f aca="false">T11*1000/(SQRT(3)*$B$2)</f>
        <v>147.734623922829</v>
      </c>
    </row>
    <row r="12" s="37" customFormat="true" ht="9.75" hidden="false" customHeight="true" outlineLevel="0" collapsed="false">
      <c r="A12" s="27" t="s">
        <v>42</v>
      </c>
      <c r="B12" s="28"/>
      <c r="C12" s="28"/>
      <c r="D12" s="29" t="n">
        <v>15</v>
      </c>
      <c r="E12" s="30" t="n">
        <v>0.83</v>
      </c>
      <c r="F12" s="31" t="n">
        <v>8.3</v>
      </c>
      <c r="G12" s="32" t="n">
        <v>92.4</v>
      </c>
      <c r="H12" s="33" t="n">
        <v>1.25</v>
      </c>
      <c r="I12" s="34" t="n">
        <f aca="false">D12*0.745/(G12/100)</f>
        <v>12.0941558441558</v>
      </c>
      <c r="J12" s="35" t="n">
        <f aca="false">I12/E12</f>
        <v>14.5712721013926</v>
      </c>
      <c r="K12" s="35" t="n">
        <f aca="false">SQRT(J12^2-I12^2)</f>
        <v>8.12732213401763</v>
      </c>
      <c r="L12" s="36" t="n">
        <f aca="false">J12*1000/(SQRT(3)*$B$2)</f>
        <v>22.1387575530902</v>
      </c>
      <c r="M12" s="36" t="n">
        <f aca="false">F12*L12</f>
        <v>183.751687690649</v>
      </c>
      <c r="O12" s="43" t="s">
        <v>43</v>
      </c>
      <c r="P12" s="39"/>
      <c r="Q12" s="44" t="s">
        <v>44</v>
      </c>
      <c r="R12" s="45" t="n">
        <f aca="false">SUM(I20:I27)</f>
        <v>119.739043533467</v>
      </c>
      <c r="S12" s="45" t="n">
        <f aca="false">SUM(K20:K27)</f>
        <v>83.684688295958</v>
      </c>
      <c r="T12" s="45" t="n">
        <f aca="false">SQRT(R12^2+S12^2)</f>
        <v>146.084104547692</v>
      </c>
      <c r="U12" s="46" t="n">
        <f aca="false">T12*1000/(SQRT(3)*$B$2)</f>
        <v>221.951834434041</v>
      </c>
    </row>
    <row r="13" s="37" customFormat="true" ht="9.75" hidden="false" customHeight="true" outlineLevel="0" collapsed="false">
      <c r="A13" s="27" t="s">
        <v>45</v>
      </c>
      <c r="B13" s="28"/>
      <c r="C13" s="28"/>
      <c r="D13" s="29" t="n">
        <v>15</v>
      </c>
      <c r="E13" s="30" t="n">
        <v>0.83</v>
      </c>
      <c r="F13" s="31" t="n">
        <v>8.3</v>
      </c>
      <c r="G13" s="32" t="n">
        <v>92.4</v>
      </c>
      <c r="H13" s="33" t="n">
        <v>1.25</v>
      </c>
      <c r="I13" s="34" t="n">
        <f aca="false">D13*0.745/(G13/100)</f>
        <v>12.0941558441558</v>
      </c>
      <c r="J13" s="35" t="n">
        <f aca="false">I13/E13</f>
        <v>14.5712721013926</v>
      </c>
      <c r="K13" s="35" t="n">
        <f aca="false">SQRT(J13^2-I13^2)</f>
        <v>8.12732213401763</v>
      </c>
      <c r="L13" s="36" t="n">
        <f aca="false">J13*1000/(SQRT(3)*$B$2)</f>
        <v>22.1387575530902</v>
      </c>
      <c r="M13" s="36" t="n">
        <f aca="false">F13*L13</f>
        <v>183.751687690649</v>
      </c>
      <c r="O13" s="47" t="s">
        <v>46</v>
      </c>
      <c r="P13" s="39"/>
      <c r="Q13" s="48" t="s">
        <v>47</v>
      </c>
      <c r="R13" s="49" t="n">
        <f aca="false">SUM(I28:I29)</f>
        <v>117.138364779874</v>
      </c>
      <c r="S13" s="49" t="n">
        <f aca="false">SUM(K28:K29)</f>
        <v>66.3853705742622</v>
      </c>
      <c r="T13" s="49" t="n">
        <f aca="false">SQRT(R13^2+S13^2)</f>
        <v>134.641798597557</v>
      </c>
      <c r="U13" s="50" t="n">
        <f aca="false">T13*1000/(SQRT(3)*$B$2)</f>
        <v>204.567049117039</v>
      </c>
    </row>
    <row r="14" s="37" customFormat="true" ht="9.75" hidden="false" customHeight="true" outlineLevel="0" collapsed="false">
      <c r="A14" s="27" t="s">
        <v>48</v>
      </c>
      <c r="B14" s="28" t="s">
        <v>41</v>
      </c>
      <c r="C14" s="28" t="s">
        <v>49</v>
      </c>
      <c r="D14" s="29" t="n">
        <v>10</v>
      </c>
      <c r="E14" s="30" t="n">
        <v>0.84</v>
      </c>
      <c r="F14" s="31" t="n">
        <v>8.2</v>
      </c>
      <c r="G14" s="32" t="n">
        <v>92</v>
      </c>
      <c r="H14" s="33" t="n">
        <v>1.25</v>
      </c>
      <c r="I14" s="34" t="n">
        <f aca="false">D14*0.745/(G14/100)</f>
        <v>8.09782608695652</v>
      </c>
      <c r="J14" s="35" t="n">
        <f aca="false">I14/E14</f>
        <v>9.64026915113872</v>
      </c>
      <c r="K14" s="35" t="n">
        <f aca="false">SQRT(J14^2-I14^2)</f>
        <v>5.23067892073326</v>
      </c>
      <c r="L14" s="36" t="n">
        <f aca="false">J14*1000/(SQRT(3)*$B$2)</f>
        <v>14.646873656501</v>
      </c>
      <c r="M14" s="36" t="n">
        <f aca="false">F14*L14</f>
        <v>120.104363983308</v>
      </c>
      <c r="P14" s="51"/>
      <c r="R14" s="52"/>
      <c r="S14" s="52"/>
      <c r="T14" s="52"/>
      <c r="U14" s="52"/>
    </row>
    <row r="15" s="37" customFormat="true" ht="9.75" hidden="false" customHeight="true" outlineLevel="0" collapsed="false">
      <c r="A15" s="27" t="s">
        <v>50</v>
      </c>
      <c r="B15" s="28"/>
      <c r="C15" s="28"/>
      <c r="D15" s="29" t="n">
        <v>10</v>
      </c>
      <c r="E15" s="30" t="n">
        <v>0.84</v>
      </c>
      <c r="F15" s="31" t="n">
        <v>8.2</v>
      </c>
      <c r="G15" s="32" t="n">
        <v>92</v>
      </c>
      <c r="H15" s="33" t="n">
        <v>1.25</v>
      </c>
      <c r="I15" s="34" t="n">
        <f aca="false">D15*0.745/(G15/100)</f>
        <v>8.09782608695652</v>
      </c>
      <c r="J15" s="35" t="n">
        <f aca="false">I15/E15</f>
        <v>9.64026915113872</v>
      </c>
      <c r="K15" s="35" t="n">
        <f aca="false">SQRT(J15^2-I15^2)</f>
        <v>5.23067892073326</v>
      </c>
      <c r="L15" s="36" t="n">
        <f aca="false">J15*1000/(SQRT(3)*$B$2)</f>
        <v>14.646873656501</v>
      </c>
      <c r="M15" s="36" t="n">
        <f aca="false">F15*L15</f>
        <v>120.104363983308</v>
      </c>
      <c r="R15" s="52"/>
      <c r="S15" s="52"/>
      <c r="T15" s="52"/>
      <c r="U15" s="52"/>
    </row>
    <row r="16" s="37" customFormat="true" ht="9.75" hidden="false" customHeight="true" outlineLevel="0" collapsed="false">
      <c r="A16" s="27" t="s">
        <v>51</v>
      </c>
      <c r="B16" s="28"/>
      <c r="C16" s="28"/>
      <c r="D16" s="29" t="n">
        <v>10</v>
      </c>
      <c r="E16" s="30" t="n">
        <v>0.84</v>
      </c>
      <c r="F16" s="31" t="n">
        <v>8.2</v>
      </c>
      <c r="G16" s="32" t="n">
        <v>92</v>
      </c>
      <c r="H16" s="33" t="n">
        <v>1.25</v>
      </c>
      <c r="I16" s="34" t="n">
        <f aca="false">D16*0.745/(G16/100)</f>
        <v>8.09782608695652</v>
      </c>
      <c r="J16" s="35" t="n">
        <f aca="false">I16/E16</f>
        <v>9.64026915113872</v>
      </c>
      <c r="K16" s="35" t="n">
        <f aca="false">SQRT(J16^2-I16^2)</f>
        <v>5.23067892073326</v>
      </c>
      <c r="L16" s="36" t="n">
        <f aca="false">J16*1000/(SQRT(3)*$B$2)</f>
        <v>14.646873656501</v>
      </c>
      <c r="M16" s="36" t="n">
        <f aca="false">F16*L16</f>
        <v>120.104363983308</v>
      </c>
      <c r="R16" s="52"/>
      <c r="S16" s="52"/>
      <c r="T16" s="52"/>
      <c r="U16" s="52"/>
    </row>
    <row r="17" s="37" customFormat="true" ht="9.75" hidden="false" customHeight="true" outlineLevel="0" collapsed="false">
      <c r="A17" s="27" t="s">
        <v>52</v>
      </c>
      <c r="B17" s="28"/>
      <c r="C17" s="28"/>
      <c r="D17" s="29" t="n">
        <v>10</v>
      </c>
      <c r="E17" s="30" t="n">
        <v>0.84</v>
      </c>
      <c r="F17" s="31" t="n">
        <v>8.2</v>
      </c>
      <c r="G17" s="32" t="n">
        <v>92</v>
      </c>
      <c r="H17" s="33" t="n">
        <v>1.25</v>
      </c>
      <c r="I17" s="34" t="n">
        <f aca="false">D17*0.745/(G17/100)</f>
        <v>8.09782608695652</v>
      </c>
      <c r="J17" s="35" t="n">
        <f aca="false">I17/E17</f>
        <v>9.64026915113872</v>
      </c>
      <c r="K17" s="35" t="n">
        <f aca="false">SQRT(J17^2-I17^2)</f>
        <v>5.23067892073326</v>
      </c>
      <c r="L17" s="36" t="n">
        <f aca="false">J17*1000/(SQRT(3)*$B$2)</f>
        <v>14.646873656501</v>
      </c>
      <c r="M17" s="36" t="n">
        <f aca="false">F17*L17</f>
        <v>120.104363983308</v>
      </c>
      <c r="R17" s="52"/>
      <c r="S17" s="52"/>
      <c r="T17" s="52"/>
      <c r="U17" s="52"/>
    </row>
    <row r="18" s="37" customFormat="true" ht="9.75" hidden="false" customHeight="true" outlineLevel="0" collapsed="false">
      <c r="A18" s="27" t="s">
        <v>53</v>
      </c>
      <c r="B18" s="28"/>
      <c r="C18" s="28"/>
      <c r="D18" s="29" t="n">
        <v>30</v>
      </c>
      <c r="E18" s="30" t="n">
        <v>0.81</v>
      </c>
      <c r="F18" s="31" t="n">
        <v>8</v>
      </c>
      <c r="G18" s="32" t="n">
        <v>94</v>
      </c>
      <c r="H18" s="33" t="n">
        <v>1.25</v>
      </c>
      <c r="I18" s="34" t="n">
        <f aca="false">D18*0.745/(G18/100)</f>
        <v>23.7765957446809</v>
      </c>
      <c r="J18" s="35" t="n">
        <f aca="false">I18/E18</f>
        <v>29.3538219070134</v>
      </c>
      <c r="K18" s="35" t="n">
        <f aca="false">SQRT(J18^2-I18^2)</f>
        <v>17.2139581544363</v>
      </c>
      <c r="L18" s="36" t="n">
        <f aca="false">J18*1000/(SQRT(3)*$B$2)</f>
        <v>44.5985183677856</v>
      </c>
      <c r="M18" s="36" t="n">
        <f aca="false">F18*L18</f>
        <v>356.788146942285</v>
      </c>
      <c r="R18" s="52"/>
      <c r="S18" s="52"/>
      <c r="T18" s="52"/>
      <c r="U18" s="52"/>
    </row>
    <row r="19" s="37" customFormat="true" ht="9.75" hidden="false" customHeight="true" outlineLevel="0" collapsed="false">
      <c r="A19" s="27" t="s">
        <v>54</v>
      </c>
      <c r="B19" s="28"/>
      <c r="C19" s="28"/>
      <c r="D19" s="29" t="n">
        <v>30</v>
      </c>
      <c r="E19" s="30" t="n">
        <v>0.81</v>
      </c>
      <c r="F19" s="31" t="n">
        <v>8</v>
      </c>
      <c r="G19" s="32" t="n">
        <v>94</v>
      </c>
      <c r="H19" s="33" t="n">
        <v>1.25</v>
      </c>
      <c r="I19" s="34" t="n">
        <f aca="false">D19*0.745/(G19/100)</f>
        <v>23.7765957446809</v>
      </c>
      <c r="J19" s="35" t="n">
        <f aca="false">I19/E19</f>
        <v>29.3538219070134</v>
      </c>
      <c r="K19" s="35" t="n">
        <f aca="false">SQRT(J19^2-I19^2)</f>
        <v>17.2139581544363</v>
      </c>
      <c r="L19" s="36" t="n">
        <f aca="false">J19*1000/(SQRT(3)*$B$2)</f>
        <v>44.5985183677856</v>
      </c>
      <c r="M19" s="36" t="n">
        <f aca="false">F19*L19</f>
        <v>356.788146942285</v>
      </c>
    </row>
    <row r="20" s="37" customFormat="true" ht="9.75" hidden="false" customHeight="true" outlineLevel="0" collapsed="false">
      <c r="A20" s="27" t="s">
        <v>55</v>
      </c>
      <c r="B20" s="28" t="s">
        <v>44</v>
      </c>
      <c r="C20" s="28" t="s">
        <v>56</v>
      </c>
      <c r="D20" s="29" t="n">
        <v>7.5</v>
      </c>
      <c r="E20" s="30" t="n">
        <v>0.78</v>
      </c>
      <c r="F20" s="31" t="n">
        <v>7.3</v>
      </c>
      <c r="G20" s="32" t="n">
        <v>91</v>
      </c>
      <c r="H20" s="33" t="n">
        <v>1.25</v>
      </c>
      <c r="I20" s="34" t="n">
        <f aca="false">D20*0.745/(G20/100)</f>
        <v>6.14010989010989</v>
      </c>
      <c r="J20" s="35" t="n">
        <f aca="false">I20/E20</f>
        <v>7.87193575655114</v>
      </c>
      <c r="K20" s="35" t="n">
        <f aca="false">SQRT(J20^2-I20^2)</f>
        <v>4.92609613108018</v>
      </c>
      <c r="L20" s="36" t="n">
        <f aca="false">J20*1000/(SQRT(3)*$B$2)</f>
        <v>11.9601690212848</v>
      </c>
      <c r="M20" s="36" t="n">
        <f aca="false">F20*L20</f>
        <v>87.3092338553794</v>
      </c>
    </row>
    <row r="21" s="37" customFormat="true" ht="9.75" hidden="false" customHeight="true" outlineLevel="0" collapsed="false">
      <c r="A21" s="27" t="s">
        <v>57</v>
      </c>
      <c r="B21" s="28"/>
      <c r="C21" s="28"/>
      <c r="D21" s="29" t="n">
        <v>7.5</v>
      </c>
      <c r="E21" s="30" t="n">
        <v>0.78</v>
      </c>
      <c r="F21" s="31" t="n">
        <v>7.3</v>
      </c>
      <c r="G21" s="32" t="n">
        <v>91</v>
      </c>
      <c r="H21" s="33" t="n">
        <v>1.25</v>
      </c>
      <c r="I21" s="34" t="n">
        <f aca="false">D21*0.745/(G21/100)</f>
        <v>6.14010989010989</v>
      </c>
      <c r="J21" s="35" t="n">
        <f aca="false">I21/E21</f>
        <v>7.87193575655114</v>
      </c>
      <c r="K21" s="35" t="n">
        <f aca="false">SQRT(J21^2-I21^2)</f>
        <v>4.92609613108018</v>
      </c>
      <c r="L21" s="36" t="n">
        <f aca="false">J21*1000/(SQRT(3)*$B$2)</f>
        <v>11.9601690212848</v>
      </c>
      <c r="M21" s="36" t="n">
        <f aca="false">F21*L21</f>
        <v>87.3092338553794</v>
      </c>
    </row>
    <row r="22" s="37" customFormat="true" ht="9.75" hidden="false" customHeight="true" outlineLevel="0" collapsed="false">
      <c r="A22" s="27" t="s">
        <v>58</v>
      </c>
      <c r="B22" s="28"/>
      <c r="C22" s="28"/>
      <c r="D22" s="29" t="n">
        <v>7.5</v>
      </c>
      <c r="E22" s="30" t="n">
        <v>0.78</v>
      </c>
      <c r="F22" s="31" t="n">
        <v>7.3</v>
      </c>
      <c r="G22" s="32" t="n">
        <v>91</v>
      </c>
      <c r="H22" s="33" t="n">
        <v>1.25</v>
      </c>
      <c r="I22" s="34" t="n">
        <f aca="false">D22*0.745/(G22/100)</f>
        <v>6.14010989010989</v>
      </c>
      <c r="J22" s="35" t="n">
        <f aca="false">I22/E22</f>
        <v>7.87193575655114</v>
      </c>
      <c r="K22" s="35" t="n">
        <f aca="false">SQRT(J22^2-I22^2)</f>
        <v>4.92609613108018</v>
      </c>
      <c r="L22" s="36" t="n">
        <f aca="false">J22*1000/(SQRT(3)*$B$2)</f>
        <v>11.9601690212848</v>
      </c>
      <c r="M22" s="36" t="n">
        <f aca="false">F22*L22</f>
        <v>87.3092338553794</v>
      </c>
    </row>
    <row r="23" s="37" customFormat="true" ht="9.75" hidden="false" customHeight="true" outlineLevel="0" collapsed="false">
      <c r="A23" s="27" t="s">
        <v>59</v>
      </c>
      <c r="B23" s="28"/>
      <c r="C23" s="28"/>
      <c r="D23" s="29" t="n">
        <v>7.5</v>
      </c>
      <c r="E23" s="30" t="n">
        <v>0.78</v>
      </c>
      <c r="F23" s="31" t="n">
        <v>7.3</v>
      </c>
      <c r="G23" s="32" t="n">
        <v>91</v>
      </c>
      <c r="H23" s="33" t="n">
        <v>1.25</v>
      </c>
      <c r="I23" s="34" t="n">
        <f aca="false">D23*0.745/(G23/100)</f>
        <v>6.14010989010989</v>
      </c>
      <c r="J23" s="35" t="n">
        <f aca="false">I23/E23</f>
        <v>7.87193575655114</v>
      </c>
      <c r="K23" s="35" t="n">
        <f aca="false">SQRT(J23^2-I23^2)</f>
        <v>4.92609613108018</v>
      </c>
      <c r="L23" s="36" t="n">
        <f aca="false">J23*1000/(SQRT(3)*$B$2)</f>
        <v>11.9601690212848</v>
      </c>
      <c r="M23" s="36" t="n">
        <f aca="false">F23*L23</f>
        <v>87.3092338553794</v>
      </c>
    </row>
    <row r="24" s="37" customFormat="true" ht="9.75" hidden="false" customHeight="true" outlineLevel="0" collapsed="false">
      <c r="A24" s="27" t="s">
        <v>60</v>
      </c>
      <c r="B24" s="28"/>
      <c r="C24" s="28"/>
      <c r="D24" s="29" t="n">
        <v>20</v>
      </c>
      <c r="E24" s="30" t="n">
        <v>0.81</v>
      </c>
      <c r="F24" s="31" t="n">
        <v>9</v>
      </c>
      <c r="G24" s="32" t="n">
        <v>93</v>
      </c>
      <c r="H24" s="33" t="n">
        <v>1.25</v>
      </c>
      <c r="I24" s="34" t="n">
        <f aca="false">D24*0.745/(G24/100)</f>
        <v>16.0215053763441</v>
      </c>
      <c r="J24" s="35" t="n">
        <f aca="false">I24/E24</f>
        <v>19.7796362670915</v>
      </c>
      <c r="K24" s="35" t="n">
        <f aca="false">SQRT(J24^2-I24^2)</f>
        <v>11.5993696524517</v>
      </c>
      <c r="L24" s="36" t="n">
        <f aca="false">J24*1000/(SQRT(3)*$B$2)</f>
        <v>30.052048219153</v>
      </c>
      <c r="M24" s="36" t="n">
        <f aca="false">F24*L24</f>
        <v>270.468433972377</v>
      </c>
    </row>
    <row r="25" s="37" customFormat="true" ht="9.75" hidden="false" customHeight="true" outlineLevel="0" collapsed="false">
      <c r="A25" s="27" t="s">
        <v>61</v>
      </c>
      <c r="B25" s="28"/>
      <c r="C25" s="28"/>
      <c r="D25" s="29" t="n">
        <v>20</v>
      </c>
      <c r="E25" s="30" t="n">
        <v>0.81</v>
      </c>
      <c r="F25" s="31" t="n">
        <v>9</v>
      </c>
      <c r="G25" s="32" t="n">
        <v>93</v>
      </c>
      <c r="H25" s="33" t="n">
        <v>1.25</v>
      </c>
      <c r="I25" s="34" t="n">
        <f aca="false">D25*0.745/(G25/100)</f>
        <v>16.0215053763441</v>
      </c>
      <c r="J25" s="35" t="n">
        <f aca="false">I25/E25</f>
        <v>19.7796362670915</v>
      </c>
      <c r="K25" s="35" t="n">
        <f aca="false">SQRT(J25^2-I25^2)</f>
        <v>11.5993696524517</v>
      </c>
      <c r="L25" s="36" t="n">
        <f aca="false">J25*1000/(SQRT(3)*$B$2)</f>
        <v>30.052048219153</v>
      </c>
      <c r="M25" s="36" t="n">
        <f aca="false">F25*L25</f>
        <v>270.468433972377</v>
      </c>
    </row>
    <row r="26" s="37" customFormat="true" ht="9.75" hidden="false" customHeight="true" outlineLevel="0" collapsed="false">
      <c r="A26" s="27" t="s">
        <v>62</v>
      </c>
      <c r="B26" s="28"/>
      <c r="C26" s="28"/>
      <c r="D26" s="29" t="n">
        <v>40</v>
      </c>
      <c r="E26" s="30" t="n">
        <v>0.84</v>
      </c>
      <c r="F26" s="31" t="n">
        <v>7</v>
      </c>
      <c r="G26" s="32" t="n">
        <v>94.4</v>
      </c>
      <c r="H26" s="33" t="n">
        <v>1.25</v>
      </c>
      <c r="I26" s="34" t="n">
        <f aca="false">D26*0.745/(G26/100)</f>
        <v>31.5677966101695</v>
      </c>
      <c r="J26" s="35" t="n">
        <f aca="false">I26/E26</f>
        <v>37.5807102502018</v>
      </c>
      <c r="K26" s="35" t="n">
        <f aca="false">SQRT(J26^2-I26^2)</f>
        <v>20.3907822333669</v>
      </c>
      <c r="L26" s="36" t="n">
        <f aca="false">J26*1000/(SQRT(3)*$B$2)</f>
        <v>57.0979820507666</v>
      </c>
      <c r="M26" s="36" t="n">
        <f aca="false">F26*L26</f>
        <v>399.685874355367</v>
      </c>
    </row>
    <row r="27" s="37" customFormat="true" ht="9.75" hidden="false" customHeight="true" outlineLevel="0" collapsed="false">
      <c r="A27" s="27" t="s">
        <v>63</v>
      </c>
      <c r="B27" s="28"/>
      <c r="C27" s="28"/>
      <c r="D27" s="29" t="n">
        <v>40</v>
      </c>
      <c r="E27" s="30" t="n">
        <v>0.84</v>
      </c>
      <c r="F27" s="31" t="n">
        <v>7</v>
      </c>
      <c r="G27" s="32" t="n">
        <v>94.4</v>
      </c>
      <c r="H27" s="33" t="n">
        <v>1.25</v>
      </c>
      <c r="I27" s="34" t="n">
        <f aca="false">D27*0.745/(G27/100)</f>
        <v>31.5677966101695</v>
      </c>
      <c r="J27" s="35" t="n">
        <f aca="false">I27/E27</f>
        <v>37.5807102502018</v>
      </c>
      <c r="K27" s="35" t="n">
        <f aca="false">SQRT(J27^2-I27^2)</f>
        <v>20.3907822333669</v>
      </c>
      <c r="L27" s="36" t="n">
        <f aca="false">J27*1000/(SQRT(3)*$B$2)</f>
        <v>57.0979820507666</v>
      </c>
      <c r="M27" s="36" t="n">
        <f aca="false">F27*L27</f>
        <v>399.685874355367</v>
      </c>
    </row>
    <row r="28" s="37" customFormat="true" ht="9.75" hidden="false" customHeight="true" outlineLevel="0" collapsed="false">
      <c r="A28" s="27" t="s">
        <v>64</v>
      </c>
      <c r="B28" s="28" t="s">
        <v>47</v>
      </c>
      <c r="C28" s="28" t="s">
        <v>65</v>
      </c>
      <c r="D28" s="29" t="n">
        <v>75</v>
      </c>
      <c r="E28" s="30" t="n">
        <v>0.87</v>
      </c>
      <c r="F28" s="31" t="n">
        <v>7.5</v>
      </c>
      <c r="G28" s="32" t="n">
        <v>95.4</v>
      </c>
      <c r="H28" s="33" t="n">
        <v>1.25</v>
      </c>
      <c r="I28" s="34" t="n">
        <f aca="false">D28*0.745/(G28/100)</f>
        <v>58.5691823899371</v>
      </c>
      <c r="J28" s="35" t="n">
        <f aca="false">I28/E28</f>
        <v>67.3208992987783</v>
      </c>
      <c r="K28" s="35" t="n">
        <f aca="false">SQRT(J28^2-I28^2)</f>
        <v>33.1926852871311</v>
      </c>
      <c r="L28" s="36" t="n">
        <f aca="false">J28*1000/(SQRT(3)*$B$2)</f>
        <v>102.283524558519</v>
      </c>
      <c r="M28" s="36" t="n">
        <f aca="false">F28*L28</f>
        <v>767.126434188895</v>
      </c>
    </row>
    <row r="29" customFormat="false" ht="11.25" hidden="false" customHeight="false" outlineLevel="0" collapsed="false">
      <c r="A29" s="27" t="s">
        <v>66</v>
      </c>
      <c r="B29" s="28"/>
      <c r="C29" s="28"/>
      <c r="D29" s="29" t="n">
        <v>75</v>
      </c>
      <c r="E29" s="30" t="n">
        <v>0.87</v>
      </c>
      <c r="F29" s="31" t="n">
        <v>7.5</v>
      </c>
      <c r="G29" s="32" t="n">
        <v>95.4</v>
      </c>
      <c r="H29" s="33" t="n">
        <v>1.25</v>
      </c>
      <c r="I29" s="34" t="n">
        <f aca="false">D29*0.745/(G29/100)</f>
        <v>58.5691823899371</v>
      </c>
      <c r="J29" s="35" t="n">
        <f aca="false">I29/E29</f>
        <v>67.3208992987783</v>
      </c>
      <c r="K29" s="35" t="n">
        <f aca="false">SQRT(J29^2-I29^2)</f>
        <v>33.1926852871311</v>
      </c>
      <c r="L29" s="36" t="n">
        <f aca="false">J29*1000/(SQRT(3)*$B$2)</f>
        <v>102.283524558519</v>
      </c>
      <c r="M29" s="36" t="n">
        <f aca="false">F29*L29</f>
        <v>767.126434188895</v>
      </c>
    </row>
    <row r="30" customFormat="false" ht="15" hidden="false" customHeight="true" outlineLevel="0" collapsed="false">
      <c r="A30" s="53"/>
      <c r="B30" s="54"/>
      <c r="C30" s="55"/>
      <c r="D30" s="56"/>
      <c r="E30" s="57"/>
      <c r="F30" s="58"/>
      <c r="G30" s="59"/>
      <c r="H30" s="60"/>
      <c r="I30" s="60"/>
      <c r="J30" s="56"/>
      <c r="K30" s="56"/>
      <c r="L30" s="61"/>
      <c r="M30" s="61"/>
    </row>
    <row r="31" customFormat="false" ht="15" hidden="false" customHeight="true" outlineLevel="0" collapsed="false">
      <c r="A31" s="53"/>
      <c r="B31" s="54"/>
      <c r="C31" s="55"/>
      <c r="D31" s="56"/>
      <c r="E31" s="57"/>
      <c r="F31" s="58"/>
      <c r="G31" s="59"/>
      <c r="H31" s="60"/>
      <c r="I31" s="60"/>
      <c r="J31" s="56"/>
      <c r="K31" s="56"/>
      <c r="L31" s="61"/>
      <c r="M31" s="61"/>
    </row>
    <row r="32" customFormat="false" ht="15" hidden="false" customHeight="true" outlineLevel="0" collapsed="false">
      <c r="A32" s="53"/>
      <c r="B32" s="54"/>
      <c r="C32" s="55"/>
      <c r="D32" s="56"/>
      <c r="E32" s="57"/>
      <c r="F32" s="58"/>
      <c r="G32" s="59"/>
      <c r="H32" s="60"/>
      <c r="I32" s="60"/>
      <c r="J32" s="56"/>
      <c r="K32" s="56"/>
      <c r="L32" s="61"/>
      <c r="M32" s="61"/>
    </row>
    <row r="33" customFormat="false" ht="15" hidden="false" customHeight="true" outlineLevel="0" collapsed="false">
      <c r="A33" s="53"/>
      <c r="B33" s="54"/>
      <c r="C33" s="55"/>
      <c r="D33" s="56"/>
      <c r="E33" s="57"/>
      <c r="F33" s="58"/>
      <c r="G33" s="59"/>
      <c r="H33" s="60"/>
      <c r="I33" s="60"/>
      <c r="J33" s="56"/>
      <c r="K33" s="56"/>
      <c r="L33" s="61"/>
      <c r="M33" s="61"/>
    </row>
    <row r="34" customFormat="false" ht="15.75" hidden="false" customHeight="true" outlineLevel="0" collapsed="false">
      <c r="A34" s="53"/>
      <c r="B34" s="54"/>
      <c r="C34" s="55"/>
      <c r="D34" s="56"/>
      <c r="E34" s="57"/>
      <c r="F34" s="58"/>
      <c r="G34" s="59"/>
      <c r="H34" s="60"/>
      <c r="I34" s="60"/>
      <c r="J34" s="56"/>
      <c r="K34" s="56"/>
      <c r="L34" s="61"/>
      <c r="M34" s="61"/>
    </row>
    <row r="35" customFormat="false" ht="11.25" hidden="false" customHeight="false" outlineLevel="0" collapsed="false">
      <c r="A35" s="53"/>
      <c r="B35" s="54"/>
      <c r="C35" s="55"/>
      <c r="D35" s="56"/>
      <c r="E35" s="57"/>
      <c r="F35" s="58"/>
      <c r="G35" s="59"/>
      <c r="H35" s="60"/>
      <c r="I35" s="60"/>
      <c r="J35" s="56"/>
      <c r="K35" s="56"/>
      <c r="L35" s="61"/>
      <c r="M35" s="61"/>
    </row>
    <row r="36" customFormat="false" ht="15" hidden="false" customHeight="true" outlineLevel="0" collapsed="false">
      <c r="A36" s="53"/>
      <c r="B36" s="54"/>
      <c r="C36" s="55"/>
      <c r="D36" s="56"/>
      <c r="E36" s="57"/>
      <c r="F36" s="58"/>
      <c r="G36" s="59"/>
      <c r="H36" s="60"/>
      <c r="I36" s="60"/>
      <c r="J36" s="56"/>
      <c r="K36" s="56"/>
      <c r="L36" s="61"/>
      <c r="M36" s="61"/>
    </row>
    <row r="37" customFormat="false" ht="15" hidden="false" customHeight="true" outlineLevel="0" collapsed="false">
      <c r="A37" s="53"/>
      <c r="B37" s="54"/>
      <c r="C37" s="55"/>
      <c r="D37" s="56"/>
      <c r="E37" s="57"/>
      <c r="F37" s="58"/>
      <c r="G37" s="59"/>
      <c r="H37" s="60"/>
      <c r="I37" s="60"/>
      <c r="J37" s="56"/>
      <c r="K37" s="56"/>
      <c r="L37" s="61"/>
      <c r="M37" s="61"/>
    </row>
    <row r="38" customFormat="false" ht="15" hidden="false" customHeight="true" outlineLevel="0" collapsed="false">
      <c r="A38" s="53"/>
      <c r="B38" s="54"/>
      <c r="C38" s="55"/>
      <c r="D38" s="56"/>
      <c r="E38" s="57"/>
      <c r="F38" s="58"/>
      <c r="G38" s="59"/>
      <c r="H38" s="60"/>
      <c r="I38" s="60"/>
      <c r="J38" s="56"/>
      <c r="K38" s="56"/>
      <c r="L38" s="61"/>
      <c r="M38" s="61"/>
    </row>
    <row r="39" customFormat="false" ht="15.75" hidden="false" customHeight="true" outlineLevel="0" collapsed="false">
      <c r="A39" s="53"/>
      <c r="B39" s="54"/>
      <c r="C39" s="55"/>
      <c r="D39" s="56"/>
      <c r="E39" s="57"/>
      <c r="F39" s="58"/>
      <c r="G39" s="59"/>
      <c r="H39" s="60"/>
      <c r="I39" s="60"/>
      <c r="J39" s="56"/>
      <c r="K39" s="56"/>
      <c r="L39" s="61"/>
      <c r="M39" s="61"/>
    </row>
  </sheetData>
  <mergeCells count="29">
    <mergeCell ref="A3:M3"/>
    <mergeCell ref="O3:U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M4"/>
    <mergeCell ref="O4:O5"/>
    <mergeCell ref="P4:P5"/>
    <mergeCell ref="Q4:Q5"/>
    <mergeCell ref="R4:R5"/>
    <mergeCell ref="S4:S5"/>
    <mergeCell ref="T4:T5"/>
    <mergeCell ref="B6:B13"/>
    <mergeCell ref="C6:C13"/>
    <mergeCell ref="P6:P13"/>
    <mergeCell ref="B14:B19"/>
    <mergeCell ref="C14:C19"/>
    <mergeCell ref="B20:B27"/>
    <mergeCell ref="C20:C27"/>
    <mergeCell ref="B28:B29"/>
    <mergeCell ref="C28:C29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A1:L3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9.109375" defaultRowHeight="12" zeroHeight="false" outlineLevelRow="0" outlineLevelCol="0"/>
  <cols>
    <col collapsed="false" customWidth="true" hidden="false" outlineLevel="0" max="1" min="1" style="62" width="19.56"/>
    <col collapsed="false" customWidth="true" hidden="false" outlineLevel="0" max="2" min="2" style="62" width="11.11"/>
    <col collapsed="false" customWidth="true" hidden="false" outlineLevel="0" max="3" min="3" style="62" width="14"/>
    <col collapsed="false" customWidth="true" hidden="false" outlineLevel="0" max="4" min="4" style="62" width="10"/>
    <col collapsed="false" customWidth="true" hidden="false" outlineLevel="0" max="5" min="5" style="62" width="8.56"/>
    <col collapsed="false" customWidth="true" hidden="false" outlineLevel="0" max="6" min="6" style="62" width="9.56"/>
    <col collapsed="false" customWidth="true" hidden="false" outlineLevel="0" max="7" min="7" style="62" width="10.66"/>
    <col collapsed="false" customWidth="true" hidden="false" outlineLevel="0" max="8" min="8" style="62" width="9.56"/>
    <col collapsed="false" customWidth="false" hidden="false" outlineLevel="0" max="9" min="9" style="62" width="9.11"/>
    <col collapsed="false" customWidth="true" hidden="false" outlineLevel="0" max="10" min="10" style="62" width="9.88"/>
    <col collapsed="false" customWidth="true" hidden="false" outlineLevel="0" max="11" min="11" style="62" width="11"/>
    <col collapsed="false" customWidth="true" hidden="false" outlineLevel="0" max="12" min="12" style="62" width="10.44"/>
    <col collapsed="false" customWidth="false" hidden="false" outlineLevel="0" max="16384" min="13" style="62" width="9.11"/>
  </cols>
  <sheetData>
    <row r="1" customFormat="false" ht="13.8" hidden="false" customHeight="false" outlineLevel="0" collapsed="false">
      <c r="A1" s="63"/>
      <c r="B1" s="63"/>
      <c r="C1" s="63"/>
      <c r="D1" s="64"/>
      <c r="E1" s="64"/>
      <c r="F1" s="64"/>
      <c r="G1" s="64"/>
      <c r="H1" s="64"/>
      <c r="I1" s="64"/>
      <c r="J1" s="64"/>
      <c r="K1" s="64"/>
      <c r="L1" s="64"/>
    </row>
    <row r="2" customFormat="false" ht="14.9" hidden="false" customHeight="true" outlineLevel="0" collapsed="false">
      <c r="A2" s="65" t="s">
        <v>67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</row>
    <row r="3" customFormat="false" ht="27" hidden="false" customHeight="true" outlineLevel="0" collapsed="false">
      <c r="A3" s="66" t="s">
        <v>68</v>
      </c>
      <c r="B3" s="67" t="s">
        <v>6</v>
      </c>
      <c r="C3" s="67" t="s">
        <v>7</v>
      </c>
      <c r="D3" s="67" t="s">
        <v>69</v>
      </c>
      <c r="E3" s="67" t="s">
        <v>70</v>
      </c>
      <c r="F3" s="67" t="s">
        <v>71</v>
      </c>
      <c r="G3" s="67" t="s">
        <v>72</v>
      </c>
      <c r="H3" s="67" t="s">
        <v>73</v>
      </c>
      <c r="I3" s="67" t="s">
        <v>74</v>
      </c>
      <c r="J3" s="68" t="s">
        <v>75</v>
      </c>
      <c r="K3" s="68" t="s">
        <v>76</v>
      </c>
      <c r="L3" s="69" t="s">
        <v>77</v>
      </c>
    </row>
    <row r="4" s="76" customFormat="true" ht="9.75" hidden="false" customHeight="true" outlineLevel="0" collapsed="false">
      <c r="A4" s="70" t="str">
        <f aca="false">'Previsão de Cargas'!A6</f>
        <v>50 - TUE M1</v>
      </c>
      <c r="B4" s="71" t="str">
        <f aca="false">'Previsão de Cargas'!B6</f>
        <v>CCM1</v>
      </c>
      <c r="C4" s="72" t="s">
        <v>78</v>
      </c>
      <c r="D4" s="73" t="n">
        <f aca="false">'Previsão de Cargas'!L6</f>
        <v>8.21236593030834</v>
      </c>
      <c r="E4" s="74" t="n">
        <v>1</v>
      </c>
      <c r="F4" s="75" t="n">
        <v>12</v>
      </c>
      <c r="G4" s="74" t="n">
        <v>0.72</v>
      </c>
      <c r="H4" s="74" t="n">
        <f aca="false">D4/(E4*G4)</f>
        <v>11.4060637920949</v>
      </c>
      <c r="I4" s="75" t="s">
        <v>79</v>
      </c>
      <c r="J4" s="75" t="s">
        <v>80</v>
      </c>
      <c r="K4" s="75" t="n">
        <v>3</v>
      </c>
      <c r="L4" s="75" t="n">
        <v>1.5</v>
      </c>
    </row>
    <row r="5" s="76" customFormat="true" ht="9.75" hidden="false" customHeight="true" outlineLevel="0" collapsed="false">
      <c r="A5" s="70" t="str">
        <f aca="false">'Previsão de Cargas'!A7</f>
        <v>51 - TUE M2</v>
      </c>
      <c r="B5" s="71"/>
      <c r="C5" s="72" t="s">
        <v>81</v>
      </c>
      <c r="D5" s="73" t="n">
        <f aca="false">'Previsão de Cargas'!L7</f>
        <v>8.21236593030834</v>
      </c>
      <c r="E5" s="74" t="n">
        <v>1</v>
      </c>
      <c r="F5" s="75" t="n">
        <v>12</v>
      </c>
      <c r="G5" s="74" t="n">
        <v>0.72</v>
      </c>
      <c r="H5" s="74" t="n">
        <f aca="false">D5/(E5*G5)</f>
        <v>11.4060637920949</v>
      </c>
      <c r="I5" s="75" t="s">
        <v>79</v>
      </c>
      <c r="J5" s="75" t="s">
        <v>80</v>
      </c>
      <c r="K5" s="75" t="n">
        <v>3</v>
      </c>
      <c r="L5" s="75" t="n">
        <v>1.5</v>
      </c>
    </row>
    <row r="6" s="76" customFormat="true" ht="9.75" hidden="false" customHeight="true" outlineLevel="0" collapsed="false">
      <c r="A6" s="70" t="str">
        <f aca="false">'Previsão de Cargas'!A8</f>
        <v>52 - TUE M3</v>
      </c>
      <c r="B6" s="71"/>
      <c r="C6" s="72" t="s">
        <v>82</v>
      </c>
      <c r="D6" s="73" t="n">
        <f aca="false">'Previsão de Cargas'!L8</f>
        <v>8.21236593030834</v>
      </c>
      <c r="E6" s="74" t="n">
        <v>1</v>
      </c>
      <c r="F6" s="75" t="n">
        <v>12</v>
      </c>
      <c r="G6" s="74" t="n">
        <v>0.72</v>
      </c>
      <c r="H6" s="74" t="n">
        <f aca="false">D6/(E6*G6)</f>
        <v>11.4060637920949</v>
      </c>
      <c r="I6" s="75" t="s">
        <v>79</v>
      </c>
      <c r="J6" s="75" t="s">
        <v>80</v>
      </c>
      <c r="K6" s="75" t="n">
        <v>3</v>
      </c>
      <c r="L6" s="75" t="n">
        <v>1.5</v>
      </c>
    </row>
    <row r="7" s="76" customFormat="true" ht="9.75" hidden="false" customHeight="true" outlineLevel="0" collapsed="false">
      <c r="A7" s="70" t="str">
        <f aca="false">'Previsão de Cargas'!A9</f>
        <v>53 - TUE M4</v>
      </c>
      <c r="B7" s="71"/>
      <c r="C7" s="72" t="s">
        <v>83</v>
      </c>
      <c r="D7" s="73" t="n">
        <f aca="false">'Previsão de Cargas'!L9</f>
        <v>8.21236593030834</v>
      </c>
      <c r="E7" s="74" t="n">
        <v>1</v>
      </c>
      <c r="F7" s="75" t="n">
        <v>12</v>
      </c>
      <c r="G7" s="74" t="n">
        <v>0.72</v>
      </c>
      <c r="H7" s="74" t="n">
        <f aca="false">D7/(E7*G7)</f>
        <v>11.4060637920949</v>
      </c>
      <c r="I7" s="75" t="s">
        <v>79</v>
      </c>
      <c r="J7" s="75" t="s">
        <v>80</v>
      </c>
      <c r="K7" s="75" t="n">
        <v>3</v>
      </c>
      <c r="L7" s="75" t="n">
        <v>1.5</v>
      </c>
    </row>
    <row r="8" s="76" customFormat="true" ht="9.75" hidden="false" customHeight="true" outlineLevel="0" collapsed="false">
      <c r="A8" s="70" t="str">
        <f aca="false">'Previsão de Cargas'!A10</f>
        <v>54 - TUE M5</v>
      </c>
      <c r="B8" s="71"/>
      <c r="C8" s="72" t="s">
        <v>84</v>
      </c>
      <c r="D8" s="73" t="n">
        <f aca="false">'Previsão de Cargas'!L10</f>
        <v>22.1387575530902</v>
      </c>
      <c r="E8" s="74" t="n">
        <v>1</v>
      </c>
      <c r="F8" s="75" t="n">
        <v>12</v>
      </c>
      <c r="G8" s="74" t="n">
        <v>0.72</v>
      </c>
      <c r="H8" s="74" t="n">
        <f aca="false">D8/(E8*G8)</f>
        <v>30.748274379292</v>
      </c>
      <c r="I8" s="75" t="s">
        <v>79</v>
      </c>
      <c r="J8" s="75" t="s">
        <v>80</v>
      </c>
      <c r="K8" s="75" t="n">
        <v>3</v>
      </c>
      <c r="L8" s="75" t="n">
        <v>4</v>
      </c>
    </row>
    <row r="9" s="76" customFormat="true" ht="9.75" hidden="false" customHeight="true" outlineLevel="0" collapsed="false">
      <c r="A9" s="70" t="str">
        <f aca="false">'Previsão de Cargas'!A11</f>
        <v>55 - TUE M6</v>
      </c>
      <c r="B9" s="71"/>
      <c r="C9" s="72" t="s">
        <v>85</v>
      </c>
      <c r="D9" s="73" t="n">
        <f aca="false">'Previsão de Cargas'!L11</f>
        <v>22.1387575530902</v>
      </c>
      <c r="E9" s="74" t="n">
        <v>1</v>
      </c>
      <c r="F9" s="75" t="n">
        <v>12</v>
      </c>
      <c r="G9" s="74" t="n">
        <v>0.72</v>
      </c>
      <c r="H9" s="74" t="n">
        <f aca="false">D9/(E9*G9)</f>
        <v>30.748274379292</v>
      </c>
      <c r="I9" s="75" t="s">
        <v>79</v>
      </c>
      <c r="J9" s="75" t="s">
        <v>80</v>
      </c>
      <c r="K9" s="75" t="n">
        <v>3</v>
      </c>
      <c r="L9" s="75" t="n">
        <v>4</v>
      </c>
    </row>
    <row r="10" s="76" customFormat="true" ht="9.75" hidden="false" customHeight="true" outlineLevel="0" collapsed="false">
      <c r="A10" s="70" t="str">
        <f aca="false">'Previsão de Cargas'!A12</f>
        <v>56 - TUE M7</v>
      </c>
      <c r="B10" s="71"/>
      <c r="C10" s="72" t="s">
        <v>86</v>
      </c>
      <c r="D10" s="73" t="n">
        <f aca="false">'Previsão de Cargas'!L12</f>
        <v>22.1387575530902</v>
      </c>
      <c r="E10" s="74" t="n">
        <v>1</v>
      </c>
      <c r="F10" s="75" t="n">
        <v>12</v>
      </c>
      <c r="G10" s="74" t="n">
        <v>0.72</v>
      </c>
      <c r="H10" s="74" t="n">
        <f aca="false">D10/(E10*G10)</f>
        <v>30.748274379292</v>
      </c>
      <c r="I10" s="75" t="s">
        <v>79</v>
      </c>
      <c r="J10" s="75" t="s">
        <v>80</v>
      </c>
      <c r="K10" s="75" t="n">
        <v>3</v>
      </c>
      <c r="L10" s="75" t="n">
        <v>4</v>
      </c>
    </row>
    <row r="11" s="76" customFormat="true" ht="9.75" hidden="false" customHeight="true" outlineLevel="0" collapsed="false">
      <c r="A11" s="70" t="str">
        <f aca="false">'Previsão de Cargas'!A13</f>
        <v>57 - TUE M8</v>
      </c>
      <c r="B11" s="71"/>
      <c r="C11" s="72" t="s">
        <v>87</v>
      </c>
      <c r="D11" s="73" t="n">
        <f aca="false">'Previsão de Cargas'!L13</f>
        <v>22.1387575530902</v>
      </c>
      <c r="E11" s="74" t="n">
        <v>1</v>
      </c>
      <c r="F11" s="75" t="n">
        <v>12</v>
      </c>
      <c r="G11" s="74" t="n">
        <v>0.72</v>
      </c>
      <c r="H11" s="74" t="n">
        <f aca="false">D11/(E11*G11)</f>
        <v>30.748274379292</v>
      </c>
      <c r="I11" s="75" t="s">
        <v>79</v>
      </c>
      <c r="J11" s="75" t="s">
        <v>80</v>
      </c>
      <c r="K11" s="75" t="n">
        <v>3</v>
      </c>
      <c r="L11" s="75" t="n">
        <v>4</v>
      </c>
    </row>
    <row r="12" s="76" customFormat="true" ht="9.75" hidden="false" customHeight="true" outlineLevel="0" collapsed="false">
      <c r="A12" s="70" t="str">
        <f aca="false">'Previsão de Cargas'!A14</f>
        <v>58 - TUE M9</v>
      </c>
      <c r="B12" s="71" t="str">
        <f aca="false">'Previsão de Cargas'!B14</f>
        <v>CCM2</v>
      </c>
      <c r="C12" s="72" t="s">
        <v>88</v>
      </c>
      <c r="D12" s="73" t="n">
        <f aca="false">'Previsão de Cargas'!L14</f>
        <v>14.646873656501</v>
      </c>
      <c r="E12" s="74" t="n">
        <v>1</v>
      </c>
      <c r="F12" s="75" t="n">
        <v>8</v>
      </c>
      <c r="G12" s="74" t="n">
        <v>0.72</v>
      </c>
      <c r="H12" s="74" t="n">
        <f aca="false">D12/(E12*G12)</f>
        <v>20.3428800784736</v>
      </c>
      <c r="I12" s="75" t="s">
        <v>79</v>
      </c>
      <c r="J12" s="75" t="s">
        <v>80</v>
      </c>
      <c r="K12" s="75" t="n">
        <v>3</v>
      </c>
      <c r="L12" s="75" t="n">
        <v>2.5</v>
      </c>
    </row>
    <row r="13" s="76" customFormat="true" ht="9.75" hidden="false" customHeight="true" outlineLevel="0" collapsed="false">
      <c r="A13" s="70" t="str">
        <f aca="false">'Previsão de Cargas'!A15</f>
        <v>59 - TUE M10</v>
      </c>
      <c r="B13" s="71"/>
      <c r="C13" s="72" t="s">
        <v>89</v>
      </c>
      <c r="D13" s="73" t="n">
        <f aca="false">'Previsão de Cargas'!L15</f>
        <v>14.646873656501</v>
      </c>
      <c r="E13" s="74" t="n">
        <v>1</v>
      </c>
      <c r="F13" s="75" t="n">
        <v>8</v>
      </c>
      <c r="G13" s="74" t="n">
        <v>0.72</v>
      </c>
      <c r="H13" s="74" t="n">
        <f aca="false">D13/(E13*G13)</f>
        <v>20.3428800784736</v>
      </c>
      <c r="I13" s="75" t="s">
        <v>79</v>
      </c>
      <c r="J13" s="75" t="s">
        <v>80</v>
      </c>
      <c r="K13" s="75" t="n">
        <v>3</v>
      </c>
      <c r="L13" s="75" t="n">
        <v>2.5</v>
      </c>
    </row>
    <row r="14" s="76" customFormat="true" ht="9.75" hidden="false" customHeight="true" outlineLevel="0" collapsed="false">
      <c r="A14" s="70" t="str">
        <f aca="false">'Previsão de Cargas'!A16</f>
        <v>60 - TUE M11</v>
      </c>
      <c r="B14" s="71"/>
      <c r="C14" s="72" t="s">
        <v>90</v>
      </c>
      <c r="D14" s="73" t="n">
        <f aca="false">'Previsão de Cargas'!L16</f>
        <v>14.646873656501</v>
      </c>
      <c r="E14" s="74" t="n">
        <v>1</v>
      </c>
      <c r="F14" s="75" t="n">
        <v>8</v>
      </c>
      <c r="G14" s="75" t="n">
        <v>0.72</v>
      </c>
      <c r="H14" s="74" t="n">
        <f aca="false">D14/(E14*G14)</f>
        <v>20.3428800784736</v>
      </c>
      <c r="I14" s="75" t="s">
        <v>79</v>
      </c>
      <c r="J14" s="75" t="s">
        <v>80</v>
      </c>
      <c r="K14" s="75" t="n">
        <v>3</v>
      </c>
      <c r="L14" s="75" t="n">
        <v>2.5</v>
      </c>
    </row>
    <row r="15" s="76" customFormat="true" ht="9.75" hidden="false" customHeight="true" outlineLevel="0" collapsed="false">
      <c r="A15" s="70" t="str">
        <f aca="false">'Previsão de Cargas'!A17</f>
        <v>61 - TUE M12</v>
      </c>
      <c r="B15" s="71"/>
      <c r="C15" s="72" t="s">
        <v>91</v>
      </c>
      <c r="D15" s="73" t="n">
        <f aca="false">'Previsão de Cargas'!L17</f>
        <v>14.646873656501</v>
      </c>
      <c r="E15" s="74" t="n">
        <v>1</v>
      </c>
      <c r="F15" s="75" t="n">
        <v>8</v>
      </c>
      <c r="G15" s="75" t="n">
        <v>0.72</v>
      </c>
      <c r="H15" s="74" t="n">
        <f aca="false">D15/(E15*G15)</f>
        <v>20.3428800784736</v>
      </c>
      <c r="I15" s="75" t="s">
        <v>79</v>
      </c>
      <c r="J15" s="75" t="s">
        <v>80</v>
      </c>
      <c r="K15" s="75" t="n">
        <v>3</v>
      </c>
      <c r="L15" s="75" t="n">
        <v>2.5</v>
      </c>
    </row>
    <row r="16" s="76" customFormat="true" ht="9.75" hidden="false" customHeight="true" outlineLevel="0" collapsed="false">
      <c r="A16" s="70" t="str">
        <f aca="false">'Previsão de Cargas'!A18</f>
        <v>62 - TUE M13</v>
      </c>
      <c r="B16" s="71"/>
      <c r="C16" s="72" t="s">
        <v>92</v>
      </c>
      <c r="D16" s="73" t="n">
        <f aca="false">'Previsão de Cargas'!L18</f>
        <v>44.5985183677856</v>
      </c>
      <c r="E16" s="74" t="n">
        <v>1</v>
      </c>
      <c r="F16" s="75" t="n">
        <v>8</v>
      </c>
      <c r="G16" s="75" t="n">
        <v>0.72</v>
      </c>
      <c r="H16" s="74" t="n">
        <f aca="false">D16/(E16*G16)</f>
        <v>61.9423866219244</v>
      </c>
      <c r="I16" s="75" t="s">
        <v>79</v>
      </c>
      <c r="J16" s="75" t="s">
        <v>80</v>
      </c>
      <c r="K16" s="75" t="n">
        <v>3</v>
      </c>
      <c r="L16" s="75" t="n">
        <v>16</v>
      </c>
    </row>
    <row r="17" s="76" customFormat="true" ht="9.75" hidden="false" customHeight="true" outlineLevel="0" collapsed="false">
      <c r="A17" s="70" t="str">
        <f aca="false">'Previsão de Cargas'!A19</f>
        <v>63 - TUE M14</v>
      </c>
      <c r="B17" s="71"/>
      <c r="C17" s="72" t="s">
        <v>93</v>
      </c>
      <c r="D17" s="73" t="n">
        <f aca="false">'Previsão de Cargas'!L19</f>
        <v>44.5985183677856</v>
      </c>
      <c r="E17" s="74" t="n">
        <v>1</v>
      </c>
      <c r="F17" s="75" t="n">
        <v>8</v>
      </c>
      <c r="G17" s="75" t="n">
        <v>0.72</v>
      </c>
      <c r="H17" s="74" t="n">
        <f aca="false">D17/(E17*G17)</f>
        <v>61.9423866219244</v>
      </c>
      <c r="I17" s="75" t="s">
        <v>79</v>
      </c>
      <c r="J17" s="75" t="s">
        <v>80</v>
      </c>
      <c r="K17" s="75" t="n">
        <v>3</v>
      </c>
      <c r="L17" s="75" t="n">
        <v>16</v>
      </c>
    </row>
    <row r="18" s="76" customFormat="true" ht="9.75" hidden="false" customHeight="true" outlineLevel="0" collapsed="false">
      <c r="A18" s="70" t="str">
        <f aca="false">'Previsão de Cargas'!A20</f>
        <v>64 - TUE M15</v>
      </c>
      <c r="B18" s="71" t="str">
        <f aca="false">'Previsão de Cargas'!B20</f>
        <v>CCM3</v>
      </c>
      <c r="C18" s="72" t="s">
        <v>94</v>
      </c>
      <c r="D18" s="73" t="n">
        <f aca="false">'Previsão de Cargas'!L20</f>
        <v>11.9601690212848</v>
      </c>
      <c r="E18" s="74" t="n">
        <v>1</v>
      </c>
      <c r="F18" s="75" t="n">
        <v>12</v>
      </c>
      <c r="G18" s="75" t="n">
        <v>0.72</v>
      </c>
      <c r="H18" s="74" t="n">
        <f aca="false">D18/(E18*G18)</f>
        <v>16.6113458628956</v>
      </c>
      <c r="I18" s="75" t="s">
        <v>79</v>
      </c>
      <c r="J18" s="75" t="s">
        <v>80</v>
      </c>
      <c r="K18" s="75" t="n">
        <v>3</v>
      </c>
      <c r="L18" s="75" t="n">
        <v>1.5</v>
      </c>
    </row>
    <row r="19" s="76" customFormat="true" ht="9.75" hidden="false" customHeight="true" outlineLevel="0" collapsed="false">
      <c r="A19" s="70" t="str">
        <f aca="false">'Previsão de Cargas'!A21</f>
        <v>65 - TUE M16</v>
      </c>
      <c r="B19" s="71"/>
      <c r="C19" s="72" t="s">
        <v>95</v>
      </c>
      <c r="D19" s="73" t="n">
        <f aca="false">'Previsão de Cargas'!L21</f>
        <v>11.9601690212848</v>
      </c>
      <c r="E19" s="74" t="n">
        <v>1</v>
      </c>
      <c r="F19" s="75" t="n">
        <v>12</v>
      </c>
      <c r="G19" s="75" t="n">
        <v>0.72</v>
      </c>
      <c r="H19" s="74" t="n">
        <f aca="false">D19/(E19*G19)</f>
        <v>16.6113458628956</v>
      </c>
      <c r="I19" s="75" t="s">
        <v>79</v>
      </c>
      <c r="J19" s="75" t="s">
        <v>80</v>
      </c>
      <c r="K19" s="75" t="n">
        <v>3</v>
      </c>
      <c r="L19" s="75" t="n">
        <v>1.5</v>
      </c>
    </row>
    <row r="20" s="76" customFormat="true" ht="9.75" hidden="false" customHeight="true" outlineLevel="0" collapsed="false">
      <c r="A20" s="70" t="str">
        <f aca="false">'Previsão de Cargas'!A22</f>
        <v>66 - TUE M17</v>
      </c>
      <c r="B20" s="71"/>
      <c r="C20" s="72" t="s">
        <v>96</v>
      </c>
      <c r="D20" s="73" t="n">
        <f aca="false">'Previsão de Cargas'!L22</f>
        <v>11.9601690212848</v>
      </c>
      <c r="E20" s="74" t="n">
        <v>1</v>
      </c>
      <c r="F20" s="75" t="n">
        <v>12</v>
      </c>
      <c r="G20" s="75" t="n">
        <v>0.72</v>
      </c>
      <c r="H20" s="74" t="n">
        <f aca="false">D20/(E20*G20)</f>
        <v>16.6113458628956</v>
      </c>
      <c r="I20" s="75" t="s">
        <v>79</v>
      </c>
      <c r="J20" s="75" t="s">
        <v>80</v>
      </c>
      <c r="K20" s="75" t="n">
        <v>3</v>
      </c>
      <c r="L20" s="75" t="n">
        <v>1.5</v>
      </c>
    </row>
    <row r="21" s="76" customFormat="true" ht="9.75" hidden="false" customHeight="true" outlineLevel="0" collapsed="false">
      <c r="A21" s="70" t="str">
        <f aca="false">'Previsão de Cargas'!A23</f>
        <v>67 - TUE M18</v>
      </c>
      <c r="B21" s="71"/>
      <c r="C21" s="72" t="s">
        <v>97</v>
      </c>
      <c r="D21" s="73" t="n">
        <f aca="false">'Previsão de Cargas'!L23</f>
        <v>11.9601690212848</v>
      </c>
      <c r="E21" s="74" t="n">
        <v>1</v>
      </c>
      <c r="F21" s="75" t="n">
        <v>12</v>
      </c>
      <c r="G21" s="75" t="n">
        <v>0.72</v>
      </c>
      <c r="H21" s="74" t="n">
        <f aca="false">D21/(E21*G21)</f>
        <v>16.6113458628956</v>
      </c>
      <c r="I21" s="75" t="s">
        <v>79</v>
      </c>
      <c r="J21" s="75" t="s">
        <v>80</v>
      </c>
      <c r="K21" s="75" t="n">
        <v>3</v>
      </c>
      <c r="L21" s="75" t="n">
        <v>1.5</v>
      </c>
    </row>
    <row r="22" s="76" customFormat="true" ht="9.75" hidden="false" customHeight="true" outlineLevel="0" collapsed="false">
      <c r="A22" s="70" t="str">
        <f aca="false">'Previsão de Cargas'!A24</f>
        <v>68 - TUE M19</v>
      </c>
      <c r="B22" s="71"/>
      <c r="C22" s="72" t="s">
        <v>98</v>
      </c>
      <c r="D22" s="73" t="n">
        <f aca="false">'Previsão de Cargas'!L24</f>
        <v>30.052048219153</v>
      </c>
      <c r="E22" s="77" t="n">
        <v>1</v>
      </c>
      <c r="F22" s="78" t="n">
        <v>12</v>
      </c>
      <c r="G22" s="75" t="n">
        <v>0.72</v>
      </c>
      <c r="H22" s="74" t="n">
        <f aca="false">D22/(E22*G22)</f>
        <v>41.7389558599347</v>
      </c>
      <c r="I22" s="78" t="s">
        <v>79</v>
      </c>
      <c r="J22" s="75" t="s">
        <v>80</v>
      </c>
      <c r="K22" s="78" t="n">
        <v>3</v>
      </c>
      <c r="L22" s="78" t="n">
        <v>6</v>
      </c>
    </row>
    <row r="23" s="76" customFormat="true" ht="9.75" hidden="false" customHeight="true" outlineLevel="0" collapsed="false">
      <c r="A23" s="70" t="str">
        <f aca="false">'Previsão de Cargas'!A25</f>
        <v>69 - TUE M20</v>
      </c>
      <c r="B23" s="71"/>
      <c r="C23" s="72" t="s">
        <v>99</v>
      </c>
      <c r="D23" s="73" t="n">
        <f aca="false">'Previsão de Cargas'!L25</f>
        <v>30.052048219153</v>
      </c>
      <c r="E23" s="77" t="n">
        <v>1</v>
      </c>
      <c r="F23" s="78" t="n">
        <v>12</v>
      </c>
      <c r="G23" s="75" t="n">
        <v>0.72</v>
      </c>
      <c r="H23" s="74" t="n">
        <f aca="false">D23/(E23*G23)</f>
        <v>41.7389558599347</v>
      </c>
      <c r="I23" s="78" t="s">
        <v>79</v>
      </c>
      <c r="J23" s="75" t="s">
        <v>80</v>
      </c>
      <c r="K23" s="78" t="n">
        <v>3</v>
      </c>
      <c r="L23" s="78" t="n">
        <v>6</v>
      </c>
    </row>
    <row r="24" s="76" customFormat="true" ht="9.75" hidden="false" customHeight="true" outlineLevel="0" collapsed="false">
      <c r="A24" s="70" t="str">
        <f aca="false">'Previsão de Cargas'!A26</f>
        <v>70 - TUE M21</v>
      </c>
      <c r="B24" s="71"/>
      <c r="C24" s="72" t="s">
        <v>100</v>
      </c>
      <c r="D24" s="73" t="n">
        <f aca="false">'Previsão de Cargas'!L26</f>
        <v>57.0979820507666</v>
      </c>
      <c r="E24" s="77" t="n">
        <v>1</v>
      </c>
      <c r="F24" s="78" t="n">
        <v>12</v>
      </c>
      <c r="G24" s="75" t="n">
        <v>0.72</v>
      </c>
      <c r="H24" s="74" t="n">
        <f aca="false">D24/(E24*G24)</f>
        <v>79.302752848287</v>
      </c>
      <c r="I24" s="78" t="s">
        <v>79</v>
      </c>
      <c r="J24" s="75" t="s">
        <v>80</v>
      </c>
      <c r="K24" s="78" t="n">
        <v>3</v>
      </c>
      <c r="L24" s="78" t="n">
        <v>16</v>
      </c>
    </row>
    <row r="25" s="76" customFormat="true" ht="9.75" hidden="false" customHeight="true" outlineLevel="0" collapsed="false">
      <c r="A25" s="70" t="str">
        <f aca="false">'Previsão de Cargas'!A27</f>
        <v>71 - TUE M22</v>
      </c>
      <c r="B25" s="71"/>
      <c r="C25" s="72" t="s">
        <v>101</v>
      </c>
      <c r="D25" s="73" t="n">
        <f aca="false">'Previsão de Cargas'!L27</f>
        <v>57.0979820507666</v>
      </c>
      <c r="E25" s="77" t="n">
        <v>1</v>
      </c>
      <c r="F25" s="78" t="n">
        <v>12</v>
      </c>
      <c r="G25" s="75" t="n">
        <v>0.72</v>
      </c>
      <c r="H25" s="74" t="n">
        <f aca="false">D25/(E25*G25)</f>
        <v>79.302752848287</v>
      </c>
      <c r="I25" s="78" t="s">
        <v>79</v>
      </c>
      <c r="J25" s="75" t="s">
        <v>80</v>
      </c>
      <c r="K25" s="78" t="n">
        <v>3</v>
      </c>
      <c r="L25" s="78" t="n">
        <v>16</v>
      </c>
    </row>
    <row r="26" s="76" customFormat="true" ht="9.75" hidden="false" customHeight="true" outlineLevel="0" collapsed="false">
      <c r="A26" s="70" t="str">
        <f aca="false">'Previsão de Cargas'!A28</f>
        <v>72 - TUE M23</v>
      </c>
      <c r="B26" s="71" t="str">
        <f aca="false">'Previsão de Cargas'!B28</f>
        <v>CCM4</v>
      </c>
      <c r="C26" s="72" t="s">
        <v>102</v>
      </c>
      <c r="D26" s="73" t="n">
        <f aca="false">'Previsão de Cargas'!L28</f>
        <v>102.283524558519</v>
      </c>
      <c r="E26" s="77" t="n">
        <v>1</v>
      </c>
      <c r="F26" s="78" t="n">
        <v>2</v>
      </c>
      <c r="G26" s="75" t="n">
        <v>0.88</v>
      </c>
      <c r="H26" s="74" t="n">
        <f aca="false">D26/(E26*G26)</f>
        <v>116.231277907408</v>
      </c>
      <c r="I26" s="78" t="s">
        <v>103</v>
      </c>
      <c r="J26" s="75" t="s">
        <v>104</v>
      </c>
      <c r="K26" s="78" t="n">
        <v>3</v>
      </c>
      <c r="L26" s="78" t="n">
        <v>25</v>
      </c>
    </row>
    <row r="27" s="76" customFormat="true" ht="9.75" hidden="false" customHeight="true" outlineLevel="0" collapsed="false">
      <c r="A27" s="70" t="str">
        <f aca="false">'Previsão de Cargas'!A29</f>
        <v>73 - TUE M24</v>
      </c>
      <c r="B27" s="71"/>
      <c r="C27" s="71" t="s">
        <v>105</v>
      </c>
      <c r="D27" s="79" t="n">
        <f aca="false">'Previsão de Cargas'!L29</f>
        <v>102.283524558519</v>
      </c>
      <c r="E27" s="77" t="n">
        <v>1</v>
      </c>
      <c r="F27" s="78" t="n">
        <v>2</v>
      </c>
      <c r="G27" s="75" t="n">
        <v>0.88</v>
      </c>
      <c r="H27" s="74" t="n">
        <f aca="false">D27/(E27*G27)</f>
        <v>116.231277907408</v>
      </c>
      <c r="I27" s="78" t="s">
        <v>103</v>
      </c>
      <c r="J27" s="75" t="s">
        <v>104</v>
      </c>
      <c r="K27" s="78" t="n">
        <v>3</v>
      </c>
      <c r="L27" s="78" t="n">
        <v>25</v>
      </c>
    </row>
    <row r="28" s="76" customFormat="true" ht="9.75" hidden="false" customHeight="true" outlineLevel="0" collapsed="false">
      <c r="A28" s="70" t="str">
        <f aca="false">'Previsão de Cargas'!O6</f>
        <v>Alimentador QD1</v>
      </c>
      <c r="B28" s="71" t="s">
        <v>26</v>
      </c>
      <c r="C28" s="71" t="str">
        <f aca="false">'Previsão de Cargas'!Q6</f>
        <v>QD1</v>
      </c>
      <c r="D28" s="79" t="n">
        <f aca="false">'Previsão de Cargas'!U6</f>
        <v>120.965390062164</v>
      </c>
      <c r="E28" s="77" t="n">
        <v>1</v>
      </c>
      <c r="F28" s="78" t="n">
        <v>6</v>
      </c>
      <c r="G28" s="75" t="n">
        <v>0.79</v>
      </c>
      <c r="H28" s="74" t="n">
        <f aca="false">D28/(E28*G28)</f>
        <v>153.120746914132</v>
      </c>
      <c r="I28" s="78" t="s">
        <v>103</v>
      </c>
      <c r="J28" s="75" t="s">
        <v>104</v>
      </c>
      <c r="K28" s="78" t="n">
        <v>3</v>
      </c>
      <c r="L28" s="78" t="n">
        <v>35</v>
      </c>
    </row>
    <row r="29" s="76" customFormat="true" ht="9.75" hidden="false" customHeight="true" outlineLevel="0" collapsed="false">
      <c r="A29" s="70" t="str">
        <f aca="false">'Previsão de Cargas'!O7</f>
        <v>Alimentador QD2</v>
      </c>
      <c r="B29" s="71"/>
      <c r="C29" s="71" t="str">
        <f aca="false">'Previsão de Cargas'!Q7</f>
        <v>QD2</v>
      </c>
      <c r="D29" s="79" t="n">
        <f aca="false">'Previsão de Cargas'!U7</f>
        <v>161.924544707008</v>
      </c>
      <c r="E29" s="77" t="n">
        <v>1</v>
      </c>
      <c r="F29" s="78" t="n">
        <v>6</v>
      </c>
      <c r="G29" s="75" t="n">
        <v>0.79</v>
      </c>
      <c r="H29" s="74" t="n">
        <f aca="false">D29/(E29*G29)</f>
        <v>204.967778110137</v>
      </c>
      <c r="I29" s="78" t="s">
        <v>103</v>
      </c>
      <c r="J29" s="75" t="s">
        <v>104</v>
      </c>
      <c r="K29" s="78" t="n">
        <v>3</v>
      </c>
      <c r="L29" s="78" t="n">
        <v>50</v>
      </c>
    </row>
    <row r="30" s="76" customFormat="true" ht="9.75" hidden="false" customHeight="true" outlineLevel="0" collapsed="false">
      <c r="A30" s="70" t="str">
        <f aca="false">'Previsão de Cargas'!O8</f>
        <v>Alimentador QD3</v>
      </c>
      <c r="B30" s="71"/>
      <c r="C30" s="71" t="str">
        <f aca="false">'Previsão de Cargas'!Q8</f>
        <v>QD3</v>
      </c>
      <c r="D30" s="79" t="n">
        <f aca="false">'Previsão de Cargas'!U8</f>
        <v>42.5450585552223</v>
      </c>
      <c r="E30" s="77" t="n">
        <v>1</v>
      </c>
      <c r="F30" s="78" t="n">
        <v>1</v>
      </c>
      <c r="G30" s="75" t="n">
        <v>1</v>
      </c>
      <c r="H30" s="74" t="n">
        <f aca="false">D30/(E30*G30)</f>
        <v>42.5450585552223</v>
      </c>
      <c r="I30" s="78" t="s">
        <v>106</v>
      </c>
      <c r="J30" s="75" t="s">
        <v>107</v>
      </c>
      <c r="K30" s="78" t="n">
        <v>3</v>
      </c>
      <c r="L30" s="78" t="n">
        <v>10</v>
      </c>
    </row>
    <row r="31" s="76" customFormat="true" ht="9.75" hidden="false" customHeight="true" outlineLevel="0" collapsed="false">
      <c r="A31" s="70" t="str">
        <f aca="false">'Previsão de Cargas'!O9</f>
        <v>Alimentador QD4</v>
      </c>
      <c r="B31" s="71"/>
      <c r="C31" s="71" t="str">
        <f aca="false">'Previsão de Cargas'!Q9</f>
        <v>QD4</v>
      </c>
      <c r="D31" s="79" t="n">
        <f aca="false">'Previsão de Cargas'!U9</f>
        <v>53.0234538328167</v>
      </c>
      <c r="E31" s="77" t="n">
        <v>1</v>
      </c>
      <c r="F31" s="78" t="n">
        <v>1</v>
      </c>
      <c r="G31" s="75" t="n">
        <v>1</v>
      </c>
      <c r="H31" s="74" t="n">
        <f aca="false">D31/(E31*G31)</f>
        <v>53.0234538328167</v>
      </c>
      <c r="I31" s="78" t="s">
        <v>106</v>
      </c>
      <c r="J31" s="75" t="s">
        <v>107</v>
      </c>
      <c r="K31" s="78" t="n">
        <v>3</v>
      </c>
      <c r="L31" s="78" t="n">
        <v>16</v>
      </c>
    </row>
    <row r="32" s="76" customFormat="true" ht="9.75" hidden="false" customHeight="true" outlineLevel="0" collapsed="false">
      <c r="A32" s="70" t="str">
        <f aca="false">'Previsão de Cargas'!O10</f>
        <v>Alimentador CCM1</v>
      </c>
      <c r="B32" s="71"/>
      <c r="C32" s="71" t="str">
        <f aca="false">'Previsão de Cargas'!Q10</f>
        <v>CCM1</v>
      </c>
      <c r="D32" s="79" t="n">
        <f aca="false">Demanda!E34</f>
        <v>80.5326358307487</v>
      </c>
      <c r="E32" s="77" t="n">
        <v>1</v>
      </c>
      <c r="F32" s="78" t="n">
        <v>6</v>
      </c>
      <c r="G32" s="75" t="n">
        <v>0.79</v>
      </c>
      <c r="H32" s="74" t="n">
        <f aca="false">D32/(E32*G32)</f>
        <v>101.940045355378</v>
      </c>
      <c r="I32" s="78" t="s">
        <v>103</v>
      </c>
      <c r="J32" s="75" t="s">
        <v>104</v>
      </c>
      <c r="K32" s="78" t="n">
        <v>3</v>
      </c>
      <c r="L32" s="78" t="n">
        <v>16</v>
      </c>
    </row>
    <row r="33" s="76" customFormat="true" ht="9.75" hidden="false" customHeight="true" outlineLevel="0" collapsed="false">
      <c r="A33" s="70" t="str">
        <f aca="false">'Previsão de Cargas'!O11</f>
        <v>Alimentador CCM2</v>
      </c>
      <c r="B33" s="71"/>
      <c r="C33" s="71" t="str">
        <f aca="false">'Previsão de Cargas'!Q11</f>
        <v>CCM2</v>
      </c>
      <c r="D33" s="79" t="n">
        <f aca="false">Demanda!E35</f>
        <v>99.5226308753054</v>
      </c>
      <c r="E33" s="77" t="n">
        <v>1</v>
      </c>
      <c r="F33" s="78" t="n">
        <v>6</v>
      </c>
      <c r="G33" s="75" t="n">
        <v>0.79</v>
      </c>
      <c r="H33" s="74" t="n">
        <f aca="false">D33/(E33*G33)</f>
        <v>125.978013766209</v>
      </c>
      <c r="I33" s="78" t="s">
        <v>103</v>
      </c>
      <c r="J33" s="75" t="s">
        <v>104</v>
      </c>
      <c r="K33" s="78" t="n">
        <v>3</v>
      </c>
      <c r="L33" s="78" t="n">
        <v>25</v>
      </c>
    </row>
    <row r="34" s="76" customFormat="true" ht="9.75" hidden="false" customHeight="true" outlineLevel="0" collapsed="false">
      <c r="A34" s="70" t="str">
        <f aca="false">'Previsão de Cargas'!O12</f>
        <v>Alimentador CCM3</v>
      </c>
      <c r="B34" s="71"/>
      <c r="C34" s="71" t="str">
        <f aca="false">'Previsão de Cargas'!Q12</f>
        <v>CCM3</v>
      </c>
      <c r="D34" s="79" t="n">
        <f aca="false">Demanda!E36</f>
        <v>150.16347916849</v>
      </c>
      <c r="E34" s="77" t="n">
        <v>1</v>
      </c>
      <c r="F34" s="78" t="n">
        <v>6</v>
      </c>
      <c r="G34" s="75" t="n">
        <v>0.79</v>
      </c>
      <c r="H34" s="74" t="n">
        <f aca="false">D34/(E34*G34)</f>
        <v>190.080353377836</v>
      </c>
      <c r="I34" s="78" t="s">
        <v>103</v>
      </c>
      <c r="J34" s="75" t="s">
        <v>104</v>
      </c>
      <c r="K34" s="78" t="n">
        <v>3</v>
      </c>
      <c r="L34" s="78" t="n">
        <v>50</v>
      </c>
    </row>
    <row r="35" s="76" customFormat="true" ht="9.75" hidden="false" customHeight="true" outlineLevel="0" collapsed="false">
      <c r="A35" s="70" t="str">
        <f aca="false">'Previsão de Cargas'!O13</f>
        <v>Alimentador CCM4</v>
      </c>
      <c r="B35" s="71"/>
      <c r="C35" s="71" t="str">
        <f aca="false">'Previsão de Cargas'!Q13</f>
        <v>CCM4</v>
      </c>
      <c r="D35" s="79" t="n">
        <f aca="false">Demanda!E37</f>
        <v>160.175999458641</v>
      </c>
      <c r="E35" s="77" t="n">
        <v>1</v>
      </c>
      <c r="F35" s="78" t="n">
        <v>6</v>
      </c>
      <c r="G35" s="75" t="n">
        <v>0.79</v>
      </c>
      <c r="H35" s="74" t="n">
        <f aca="false">D35/(E35*G35)</f>
        <v>202.754429694483</v>
      </c>
      <c r="I35" s="78" t="s">
        <v>103</v>
      </c>
      <c r="J35" s="75" t="s">
        <v>104</v>
      </c>
      <c r="K35" s="78" t="n">
        <v>3</v>
      </c>
      <c r="L35" s="78" t="n">
        <v>50</v>
      </c>
    </row>
  </sheetData>
  <mergeCells count="6">
    <mergeCell ref="A2:L2"/>
    <mergeCell ref="B4:B11"/>
    <mergeCell ref="B12:B17"/>
    <mergeCell ref="B18:B25"/>
    <mergeCell ref="B26:B27"/>
    <mergeCell ref="B28:B35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K5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9.109375" defaultRowHeight="11.25" zeroHeight="false" outlineLevelRow="0" outlineLevelCol="0"/>
  <cols>
    <col collapsed="false" customWidth="true" hidden="false" outlineLevel="0" max="1" min="1" style="80" width="22"/>
    <col collapsed="false" customWidth="true" hidden="false" outlineLevel="0" max="2" min="2" style="80" width="9.33"/>
    <col collapsed="false" customWidth="true" hidden="false" outlineLevel="0" max="3" min="3" style="81" width="17.56"/>
    <col collapsed="false" customWidth="true" hidden="false" outlineLevel="0" max="4" min="4" style="80" width="12.11"/>
    <col collapsed="false" customWidth="true" hidden="false" outlineLevel="0" max="5" min="5" style="80" width="8.56"/>
    <col collapsed="false" customWidth="true" hidden="false" outlineLevel="0" max="6" min="6" style="80" width="9.56"/>
    <col collapsed="false" customWidth="true" hidden="false" outlineLevel="0" max="7" min="7" style="80" width="13.67"/>
    <col collapsed="false" customWidth="true" hidden="false" outlineLevel="0" max="8" min="8" style="80" width="12.11"/>
    <col collapsed="false" customWidth="false" hidden="false" outlineLevel="0" max="9" min="9" style="80" width="9.11"/>
    <col collapsed="false" customWidth="true" hidden="false" outlineLevel="0" max="10" min="10" style="80" width="16.89"/>
    <col collapsed="false" customWidth="true" hidden="false" outlineLevel="0" max="11" min="11" style="80" width="11"/>
    <col collapsed="false" customWidth="true" hidden="false" outlineLevel="0" max="12" min="12" style="80" width="10.44"/>
    <col collapsed="false" customWidth="false" hidden="false" outlineLevel="0" max="16384" min="13" style="80" width="9.11"/>
  </cols>
  <sheetData>
    <row r="1" customFormat="false" ht="13.8" hidden="false" customHeight="false" outlineLevel="0" collapsed="false">
      <c r="A1" s="63"/>
      <c r="B1" s="63"/>
      <c r="C1" s="82"/>
      <c r="D1" s="83"/>
      <c r="E1" s="83"/>
      <c r="F1" s="83"/>
      <c r="G1" s="83"/>
      <c r="H1" s="83"/>
      <c r="I1" s="83"/>
      <c r="J1" s="83"/>
      <c r="K1" s="83"/>
    </row>
    <row r="2" customFormat="false" ht="14.9" hidden="false" customHeight="true" outlineLevel="0" collapsed="false">
      <c r="A2" s="84" t="s">
        <v>108</v>
      </c>
      <c r="B2" s="84"/>
      <c r="C2" s="84"/>
      <c r="D2" s="84"/>
      <c r="E2" s="84"/>
      <c r="F2" s="84"/>
      <c r="G2" s="84"/>
      <c r="H2" s="84"/>
      <c r="I2" s="84"/>
      <c r="J2" s="84"/>
      <c r="K2" s="84"/>
    </row>
    <row r="3" customFormat="false" ht="37.5" hidden="false" customHeight="true" outlineLevel="0" collapsed="false">
      <c r="A3" s="66" t="s">
        <v>68</v>
      </c>
      <c r="B3" s="67" t="s">
        <v>6</v>
      </c>
      <c r="C3" s="67" t="s">
        <v>7</v>
      </c>
      <c r="D3" s="67" t="s">
        <v>69</v>
      </c>
      <c r="E3" s="67" t="s">
        <v>109</v>
      </c>
      <c r="F3" s="67" t="s">
        <v>110</v>
      </c>
      <c r="G3" s="67" t="s">
        <v>111</v>
      </c>
      <c r="H3" s="67" t="s">
        <v>112</v>
      </c>
      <c r="I3" s="67" t="s">
        <v>113</v>
      </c>
      <c r="J3" s="67" t="s">
        <v>114</v>
      </c>
      <c r="K3" s="69" t="s">
        <v>115</v>
      </c>
    </row>
    <row r="4" s="90" customFormat="true" ht="9.75" hidden="false" customHeight="true" outlineLevel="0" collapsed="false">
      <c r="A4" s="70" t="str">
        <f aca="false">'Capac.Cond.Corre.'!A4</f>
        <v>50 - TUE M1</v>
      </c>
      <c r="B4" s="71" t="str">
        <f aca="false">'Previsão de Cargas'!B6</f>
        <v>CCM1</v>
      </c>
      <c r="C4" s="72" t="s">
        <v>78</v>
      </c>
      <c r="D4" s="85" t="n">
        <f aca="false">'Capac.Cond.Corre.'!D4</f>
        <v>8.21236593030834</v>
      </c>
      <c r="E4" s="86" t="n">
        <f aca="false">_Vnom</f>
        <v>380</v>
      </c>
      <c r="F4" s="86" t="n">
        <f aca="false">SQRT(3)</f>
        <v>1.73205080756888</v>
      </c>
      <c r="G4" s="86" t="n">
        <v>0.0178</v>
      </c>
      <c r="H4" s="87" t="n">
        <v>19</v>
      </c>
      <c r="I4" s="88" t="n">
        <v>2.5</v>
      </c>
      <c r="J4" s="85" t="n">
        <f aca="false">F4*G4*H4*D4/((I4/100)*E4)</f>
        <v>0.506382767482444</v>
      </c>
      <c r="K4" s="89" t="n">
        <v>2.5</v>
      </c>
    </row>
    <row r="5" s="90" customFormat="true" ht="9.75" hidden="false" customHeight="true" outlineLevel="0" collapsed="false">
      <c r="A5" s="70" t="str">
        <f aca="false">'Capac.Cond.Corre.'!A5</f>
        <v>51 - TUE M2</v>
      </c>
      <c r="B5" s="71"/>
      <c r="C5" s="72" t="s">
        <v>81</v>
      </c>
      <c r="D5" s="85" t="n">
        <f aca="false">'Capac.Cond.Corre.'!D5</f>
        <v>8.21236593030834</v>
      </c>
      <c r="E5" s="86" t="n">
        <f aca="false">_Vnom</f>
        <v>380</v>
      </c>
      <c r="F5" s="86" t="n">
        <f aca="false">SQRT(3)</f>
        <v>1.73205080756888</v>
      </c>
      <c r="G5" s="86" t="n">
        <v>0.0178</v>
      </c>
      <c r="H5" s="87" t="n">
        <v>17.2</v>
      </c>
      <c r="I5" s="88" t="n">
        <v>2.5</v>
      </c>
      <c r="J5" s="85" t="n">
        <f aca="false">F5*G5*H5*D5/((I5/100)*E5)</f>
        <v>0.458409663194634</v>
      </c>
      <c r="K5" s="89" t="n">
        <v>2.5</v>
      </c>
    </row>
    <row r="6" s="90" customFormat="true" ht="9.75" hidden="false" customHeight="true" outlineLevel="0" collapsed="false">
      <c r="A6" s="70" t="str">
        <f aca="false">'Capac.Cond.Corre.'!A6</f>
        <v>52 - TUE M3</v>
      </c>
      <c r="B6" s="71"/>
      <c r="C6" s="72" t="s">
        <v>82</v>
      </c>
      <c r="D6" s="85" t="n">
        <f aca="false">'Capac.Cond.Corre.'!D6</f>
        <v>8.21236593030834</v>
      </c>
      <c r="E6" s="86" t="n">
        <f aca="false">_Vnom</f>
        <v>380</v>
      </c>
      <c r="F6" s="86" t="n">
        <f aca="false">SQRT(3)</f>
        <v>1.73205080756888</v>
      </c>
      <c r="G6" s="86" t="n">
        <v>0.0178</v>
      </c>
      <c r="H6" s="87" t="n">
        <v>17.6</v>
      </c>
      <c r="I6" s="88" t="n">
        <v>2.5</v>
      </c>
      <c r="J6" s="85" t="n">
        <f aca="false">F6*G6*H6*D6/((I6/100)*E6)</f>
        <v>0.469070353036369</v>
      </c>
      <c r="K6" s="89" t="n">
        <v>2.5</v>
      </c>
    </row>
    <row r="7" s="90" customFormat="true" ht="9.75" hidden="false" customHeight="true" outlineLevel="0" collapsed="false">
      <c r="A7" s="70" t="str">
        <f aca="false">'Capac.Cond.Corre.'!A7</f>
        <v>53 - TUE M4</v>
      </c>
      <c r="B7" s="71"/>
      <c r="C7" s="72" t="s">
        <v>83</v>
      </c>
      <c r="D7" s="85" t="n">
        <f aca="false">'Capac.Cond.Corre.'!D7</f>
        <v>8.21236593030834</v>
      </c>
      <c r="E7" s="86" t="n">
        <f aca="false">_Vnom</f>
        <v>380</v>
      </c>
      <c r="F7" s="86" t="n">
        <f aca="false">SQRT(3)</f>
        <v>1.73205080756888</v>
      </c>
      <c r="G7" s="86" t="n">
        <v>0.0178</v>
      </c>
      <c r="H7" s="87" t="n">
        <v>19.3</v>
      </c>
      <c r="I7" s="88" t="n">
        <v>2.5</v>
      </c>
      <c r="J7" s="85" t="n">
        <f aca="false">F7*G7*H7*D7/((I7/100)*E7)</f>
        <v>0.514378284863746</v>
      </c>
      <c r="K7" s="89" t="n">
        <v>2.5</v>
      </c>
    </row>
    <row r="8" s="90" customFormat="true" ht="9.75" hidden="false" customHeight="true" outlineLevel="0" collapsed="false">
      <c r="A8" s="70" t="str">
        <f aca="false">'Capac.Cond.Corre.'!A8</f>
        <v>54 - TUE M5</v>
      </c>
      <c r="B8" s="71"/>
      <c r="C8" s="72" t="s">
        <v>84</v>
      </c>
      <c r="D8" s="85" t="n">
        <f aca="false">'Capac.Cond.Corre.'!D8</f>
        <v>22.1387575530902</v>
      </c>
      <c r="E8" s="86" t="n">
        <f aca="false">_Vnom</f>
        <v>380</v>
      </c>
      <c r="F8" s="86" t="n">
        <f aca="false">SQRT(3)</f>
        <v>1.73205080756888</v>
      </c>
      <c r="G8" s="86" t="n">
        <v>0.0178</v>
      </c>
      <c r="H8" s="87" t="n">
        <v>23.5</v>
      </c>
      <c r="I8" s="88" t="n">
        <v>2.5</v>
      </c>
      <c r="J8" s="85" t="n">
        <f aca="false">F8*G8*H8*D8/((I8/100)*E8)</f>
        <v>1.68841083656856</v>
      </c>
      <c r="K8" s="89" t="n">
        <v>4</v>
      </c>
    </row>
    <row r="9" s="90" customFormat="true" ht="9.75" hidden="false" customHeight="true" outlineLevel="0" collapsed="false">
      <c r="A9" s="70" t="str">
        <f aca="false">'Capac.Cond.Corre.'!A9</f>
        <v>55 - TUE M6</v>
      </c>
      <c r="B9" s="71"/>
      <c r="C9" s="72" t="s">
        <v>85</v>
      </c>
      <c r="D9" s="85" t="n">
        <f aca="false">'Capac.Cond.Corre.'!D9</f>
        <v>22.1387575530902</v>
      </c>
      <c r="E9" s="86" t="n">
        <f aca="false">_Vnom</f>
        <v>380</v>
      </c>
      <c r="F9" s="86" t="n">
        <f aca="false">SQRT(3)</f>
        <v>1.73205080756888</v>
      </c>
      <c r="G9" s="86" t="n">
        <v>0.0178</v>
      </c>
      <c r="H9" s="87" t="n">
        <v>21.7</v>
      </c>
      <c r="I9" s="88" t="n">
        <v>2.5</v>
      </c>
      <c r="J9" s="85" t="n">
        <f aca="false">F9*G9*H9*D9/((I9/100)*E9)</f>
        <v>1.55908575121438</v>
      </c>
      <c r="K9" s="89" t="n">
        <v>4</v>
      </c>
    </row>
    <row r="10" s="90" customFormat="true" ht="9.75" hidden="false" customHeight="true" outlineLevel="0" collapsed="false">
      <c r="A10" s="70" t="str">
        <f aca="false">'Capac.Cond.Corre.'!A10</f>
        <v>56 - TUE M7</v>
      </c>
      <c r="B10" s="71"/>
      <c r="C10" s="72" t="s">
        <v>86</v>
      </c>
      <c r="D10" s="85" t="n">
        <f aca="false">'Capac.Cond.Corre.'!D10</f>
        <v>22.1387575530902</v>
      </c>
      <c r="E10" s="86" t="n">
        <f aca="false">_Vnom</f>
        <v>380</v>
      </c>
      <c r="F10" s="86" t="n">
        <f aca="false">SQRT(3)</f>
        <v>1.73205080756888</v>
      </c>
      <c r="G10" s="86" t="n">
        <v>0.0178</v>
      </c>
      <c r="H10" s="87" t="n">
        <v>19.9</v>
      </c>
      <c r="I10" s="88" t="n">
        <v>2.5</v>
      </c>
      <c r="J10" s="85" t="n">
        <f aca="false">F10*G10*H10*D10/((I10/100)*E10)</f>
        <v>1.42976066586019</v>
      </c>
      <c r="K10" s="89" t="n">
        <v>4</v>
      </c>
    </row>
    <row r="11" s="90" customFormat="true" ht="9.75" hidden="false" customHeight="true" outlineLevel="0" collapsed="false">
      <c r="A11" s="70" t="str">
        <f aca="false">'Capac.Cond.Corre.'!A11</f>
        <v>57 - TUE M8</v>
      </c>
      <c r="B11" s="71"/>
      <c r="C11" s="72" t="s">
        <v>87</v>
      </c>
      <c r="D11" s="85" t="n">
        <f aca="false">'Capac.Cond.Corre.'!D11</f>
        <v>22.1387575530902</v>
      </c>
      <c r="E11" s="86" t="n">
        <f aca="false">_Vnom</f>
        <v>380</v>
      </c>
      <c r="F11" s="86" t="n">
        <f aca="false">SQRT(3)</f>
        <v>1.73205080756888</v>
      </c>
      <c r="G11" s="86" t="n">
        <v>0.0178</v>
      </c>
      <c r="H11" s="87" t="n">
        <v>18.1</v>
      </c>
      <c r="I11" s="88" t="n">
        <v>2.5</v>
      </c>
      <c r="J11" s="85" t="n">
        <f aca="false">F11*G11*H11*D11/((I11/100)*E11)</f>
        <v>1.300435580506</v>
      </c>
      <c r="K11" s="89" t="n">
        <v>4</v>
      </c>
    </row>
    <row r="12" s="90" customFormat="true" ht="9.75" hidden="false" customHeight="true" outlineLevel="0" collapsed="false">
      <c r="A12" s="70" t="str">
        <f aca="false">'Capac.Cond.Corre.'!A12</f>
        <v>58 - TUE M9</v>
      </c>
      <c r="B12" s="71" t="str">
        <f aca="false">'Previsão de Cargas'!B14</f>
        <v>CCM2</v>
      </c>
      <c r="C12" s="72" t="s">
        <v>88</v>
      </c>
      <c r="D12" s="85" t="n">
        <f aca="false">'Capac.Cond.Corre.'!D12</f>
        <v>14.646873656501</v>
      </c>
      <c r="E12" s="86" t="n">
        <f aca="false">_Vnom</f>
        <v>380</v>
      </c>
      <c r="F12" s="86" t="n">
        <f aca="false">SQRT(3)</f>
        <v>1.73205080756888</v>
      </c>
      <c r="G12" s="86" t="n">
        <v>0.0178</v>
      </c>
      <c r="H12" s="87" t="n">
        <v>14</v>
      </c>
      <c r="I12" s="88" t="n">
        <v>2.5</v>
      </c>
      <c r="J12" s="85" t="n">
        <f aca="false">F12*G12*H12*D12/((I12/100)*E12)</f>
        <v>0.665472319242041</v>
      </c>
      <c r="K12" s="89" t="n">
        <v>4</v>
      </c>
    </row>
    <row r="13" s="90" customFormat="true" ht="9.75" hidden="false" customHeight="true" outlineLevel="0" collapsed="false">
      <c r="A13" s="70" t="str">
        <f aca="false">'Capac.Cond.Corre.'!A13</f>
        <v>59 - TUE M10</v>
      </c>
      <c r="B13" s="71"/>
      <c r="C13" s="72" t="s">
        <v>89</v>
      </c>
      <c r="D13" s="85" t="n">
        <f aca="false">'Capac.Cond.Corre.'!D13</f>
        <v>14.646873656501</v>
      </c>
      <c r="E13" s="86" t="n">
        <f aca="false">_Vnom</f>
        <v>380</v>
      </c>
      <c r="F13" s="86" t="n">
        <f aca="false">SQRT(3)</f>
        <v>1.73205080756888</v>
      </c>
      <c r="G13" s="86" t="n">
        <v>0.0178</v>
      </c>
      <c r="H13" s="87" t="n">
        <v>16</v>
      </c>
      <c r="I13" s="88" t="n">
        <v>2.5</v>
      </c>
      <c r="J13" s="85" t="n">
        <f aca="false">F13*G13*H13*D13/((I13/100)*E13)</f>
        <v>0.760539793419475</v>
      </c>
      <c r="K13" s="89" t="n">
        <v>4</v>
      </c>
    </row>
    <row r="14" s="90" customFormat="true" ht="9.75" hidden="false" customHeight="true" outlineLevel="0" collapsed="false">
      <c r="A14" s="70" t="str">
        <f aca="false">'Capac.Cond.Corre.'!A14</f>
        <v>60 - TUE M11</v>
      </c>
      <c r="B14" s="71"/>
      <c r="C14" s="72" t="s">
        <v>90</v>
      </c>
      <c r="D14" s="85" t="n">
        <f aca="false">'Capac.Cond.Corre.'!D14</f>
        <v>14.646873656501</v>
      </c>
      <c r="E14" s="86" t="n">
        <f aca="false">_Vnom</f>
        <v>380</v>
      </c>
      <c r="F14" s="86" t="n">
        <f aca="false">SQRT(3)</f>
        <v>1.73205080756888</v>
      </c>
      <c r="G14" s="86" t="n">
        <v>0.0178</v>
      </c>
      <c r="H14" s="87" t="n">
        <v>16.2</v>
      </c>
      <c r="I14" s="88" t="n">
        <v>2.5</v>
      </c>
      <c r="J14" s="85" t="n">
        <f aca="false">F14*G14*H14*D14/((I14/100)*E14)</f>
        <v>0.770046540837219</v>
      </c>
      <c r="K14" s="89" t="n">
        <v>4</v>
      </c>
    </row>
    <row r="15" s="90" customFormat="true" ht="9.75" hidden="false" customHeight="true" outlineLevel="0" collapsed="false">
      <c r="A15" s="70" t="str">
        <f aca="false">'Capac.Cond.Corre.'!A15</f>
        <v>61 - TUE M12</v>
      </c>
      <c r="B15" s="71"/>
      <c r="C15" s="72" t="s">
        <v>91</v>
      </c>
      <c r="D15" s="85" t="n">
        <f aca="false">'Capac.Cond.Corre.'!D15</f>
        <v>14.646873656501</v>
      </c>
      <c r="E15" s="86" t="n">
        <f aca="false">_Vnom</f>
        <v>380</v>
      </c>
      <c r="F15" s="86" t="n">
        <f aca="false">SQRT(3)</f>
        <v>1.73205080756888</v>
      </c>
      <c r="G15" s="86" t="n">
        <v>0.0178</v>
      </c>
      <c r="H15" s="87" t="n">
        <v>18.2</v>
      </c>
      <c r="I15" s="88" t="n">
        <v>2.5</v>
      </c>
      <c r="J15" s="85" t="n">
        <f aca="false">F15*G15*H15*D15/((I15/100)*E15)</f>
        <v>0.865114015014654</v>
      </c>
      <c r="K15" s="89" t="n">
        <v>4</v>
      </c>
    </row>
    <row r="16" s="90" customFormat="true" ht="9.75" hidden="false" customHeight="true" outlineLevel="0" collapsed="false">
      <c r="A16" s="70" t="str">
        <f aca="false">'Capac.Cond.Corre.'!A16</f>
        <v>62 - TUE M13</v>
      </c>
      <c r="B16" s="71"/>
      <c r="C16" s="72" t="s">
        <v>92</v>
      </c>
      <c r="D16" s="85" t="n">
        <f aca="false">'Capac.Cond.Corre.'!D16</f>
        <v>44.5985183677856</v>
      </c>
      <c r="E16" s="86" t="n">
        <f aca="false">_Vnom</f>
        <v>380</v>
      </c>
      <c r="F16" s="86" t="n">
        <f aca="false">SQRT(3)</f>
        <v>1.73205080756888</v>
      </c>
      <c r="G16" s="86" t="n">
        <v>0.0178</v>
      </c>
      <c r="H16" s="87" t="n">
        <v>17.4</v>
      </c>
      <c r="I16" s="88" t="n">
        <v>2.5</v>
      </c>
      <c r="J16" s="85" t="n">
        <f aca="false">F16*G16*H16*D16/((I16/100)*E16)</f>
        <v>2.51841155707485</v>
      </c>
      <c r="K16" s="89" t="n">
        <v>16</v>
      </c>
    </row>
    <row r="17" s="90" customFormat="true" ht="9.75" hidden="false" customHeight="true" outlineLevel="0" collapsed="false">
      <c r="A17" s="70" t="str">
        <f aca="false">'Capac.Cond.Corre.'!A17</f>
        <v>63 - TUE M14</v>
      </c>
      <c r="B17" s="71"/>
      <c r="C17" s="72" t="s">
        <v>93</v>
      </c>
      <c r="D17" s="85" t="n">
        <f aca="false">'Capac.Cond.Corre.'!D17</f>
        <v>44.5985183677856</v>
      </c>
      <c r="E17" s="86" t="n">
        <f aca="false">_Vnom</f>
        <v>380</v>
      </c>
      <c r="F17" s="86" t="n">
        <f aca="false">SQRT(3)</f>
        <v>1.73205080756888</v>
      </c>
      <c r="G17" s="86" t="n">
        <v>0.0178</v>
      </c>
      <c r="H17" s="87" t="n">
        <v>15.6</v>
      </c>
      <c r="I17" s="88" t="n">
        <v>2.5</v>
      </c>
      <c r="J17" s="85" t="n">
        <f aca="false">F17*G17*H17*D17/((I17/100)*E17)</f>
        <v>2.25788622358434</v>
      </c>
      <c r="K17" s="89" t="n">
        <v>16</v>
      </c>
    </row>
    <row r="18" s="90" customFormat="true" ht="9.75" hidden="false" customHeight="true" outlineLevel="0" collapsed="false">
      <c r="A18" s="70" t="str">
        <f aca="false">'Capac.Cond.Corre.'!A18</f>
        <v>64 - TUE M15</v>
      </c>
      <c r="B18" s="71" t="str">
        <f aca="false">'Previsão de Cargas'!B20</f>
        <v>CCM3</v>
      </c>
      <c r="C18" s="72" t="s">
        <v>94</v>
      </c>
      <c r="D18" s="85" t="n">
        <f aca="false">'Capac.Cond.Corre.'!D18</f>
        <v>11.9601690212848</v>
      </c>
      <c r="E18" s="86" t="n">
        <f aca="false">_Vnom</f>
        <v>380</v>
      </c>
      <c r="F18" s="86" t="n">
        <f aca="false">SQRT(3)</f>
        <v>1.73205080756888</v>
      </c>
      <c r="G18" s="86" t="n">
        <v>0.0178</v>
      </c>
      <c r="H18" s="87" t="n">
        <v>19.8</v>
      </c>
      <c r="I18" s="88" t="n">
        <v>2.5</v>
      </c>
      <c r="J18" s="85" t="n">
        <f aca="false">F18*G18*H18*D18/((I18/100)*E18)</f>
        <v>0.768527711368112</v>
      </c>
      <c r="K18" s="89" t="n">
        <v>2.5</v>
      </c>
    </row>
    <row r="19" s="90" customFormat="true" ht="9.75" hidden="false" customHeight="true" outlineLevel="0" collapsed="false">
      <c r="A19" s="70" t="str">
        <f aca="false">'Capac.Cond.Corre.'!A19</f>
        <v>65 - TUE M16</v>
      </c>
      <c r="B19" s="71"/>
      <c r="C19" s="72" t="s">
        <v>95</v>
      </c>
      <c r="D19" s="85" t="n">
        <f aca="false">'Capac.Cond.Corre.'!D19</f>
        <v>11.9601690212848</v>
      </c>
      <c r="E19" s="86" t="n">
        <f aca="false">_Vnom</f>
        <v>380</v>
      </c>
      <c r="F19" s="86" t="n">
        <f aca="false">SQRT(3)</f>
        <v>1.73205080756888</v>
      </c>
      <c r="G19" s="86" t="n">
        <v>0.0178</v>
      </c>
      <c r="H19" s="87" t="n">
        <v>18.3</v>
      </c>
      <c r="I19" s="88" t="n">
        <v>2.5</v>
      </c>
      <c r="J19" s="85" t="n">
        <f aca="false">F19*G19*H19*D19/((I19/100)*E19)</f>
        <v>0.710305915052346</v>
      </c>
      <c r="K19" s="89" t="n">
        <v>2.5</v>
      </c>
    </row>
    <row r="20" s="90" customFormat="true" ht="9.75" hidden="false" customHeight="true" outlineLevel="0" collapsed="false">
      <c r="A20" s="70" t="str">
        <f aca="false">'Capac.Cond.Corre.'!A20</f>
        <v>66 - TUE M17</v>
      </c>
      <c r="B20" s="71"/>
      <c r="C20" s="72" t="s">
        <v>96</v>
      </c>
      <c r="D20" s="85" t="n">
        <f aca="false">'Capac.Cond.Corre.'!D20</f>
        <v>11.9601690212848</v>
      </c>
      <c r="E20" s="86" t="n">
        <f aca="false">_Vnom</f>
        <v>380</v>
      </c>
      <c r="F20" s="86" t="n">
        <f aca="false">SQRT(3)</f>
        <v>1.73205080756888</v>
      </c>
      <c r="G20" s="86" t="n">
        <v>0.0178</v>
      </c>
      <c r="H20" s="87" t="n">
        <v>16.6</v>
      </c>
      <c r="I20" s="88" t="n">
        <v>2.5</v>
      </c>
      <c r="J20" s="85" t="n">
        <f aca="false">F20*G20*H20*D20/((I20/100)*E20)</f>
        <v>0.644321212561145</v>
      </c>
      <c r="K20" s="89" t="n">
        <v>2.5</v>
      </c>
    </row>
    <row r="21" s="90" customFormat="true" ht="9.75" hidden="false" customHeight="true" outlineLevel="0" collapsed="false">
      <c r="A21" s="70" t="str">
        <f aca="false">'Capac.Cond.Corre.'!A21</f>
        <v>67 - TUE M18</v>
      </c>
      <c r="B21" s="71"/>
      <c r="C21" s="72" t="s">
        <v>97</v>
      </c>
      <c r="D21" s="85" t="n">
        <f aca="false">'Capac.Cond.Corre.'!D21</f>
        <v>11.9601690212848</v>
      </c>
      <c r="E21" s="86" t="n">
        <f aca="false">_Vnom</f>
        <v>380</v>
      </c>
      <c r="F21" s="86" t="n">
        <f aca="false">SQRT(3)</f>
        <v>1.73205080756888</v>
      </c>
      <c r="G21" s="86" t="n">
        <v>0.0178</v>
      </c>
      <c r="H21" s="87" t="n">
        <v>15.2</v>
      </c>
      <c r="I21" s="88" t="n">
        <v>2.5</v>
      </c>
      <c r="J21" s="85" t="n">
        <f aca="false">F21*G21*H21*D21/((I21/100)*E21)</f>
        <v>0.589980869333096</v>
      </c>
      <c r="K21" s="89" t="n">
        <v>2.5</v>
      </c>
    </row>
    <row r="22" s="90" customFormat="true" ht="9.75" hidden="false" customHeight="true" outlineLevel="0" collapsed="false">
      <c r="A22" s="70" t="str">
        <f aca="false">'Capac.Cond.Corre.'!A22</f>
        <v>68 - TUE M19</v>
      </c>
      <c r="B22" s="71"/>
      <c r="C22" s="72" t="s">
        <v>98</v>
      </c>
      <c r="D22" s="85" t="n">
        <f aca="false">'Capac.Cond.Corre.'!D22</f>
        <v>30.052048219153</v>
      </c>
      <c r="E22" s="86" t="n">
        <f aca="false">_Vnom</f>
        <v>380</v>
      </c>
      <c r="F22" s="91" t="n">
        <f aca="false">SQRT(3)</f>
        <v>1.73205080756888</v>
      </c>
      <c r="G22" s="86" t="n">
        <v>0.0178</v>
      </c>
      <c r="H22" s="87" t="n">
        <v>21.3</v>
      </c>
      <c r="I22" s="88" t="n">
        <v>2.5</v>
      </c>
      <c r="J22" s="85" t="n">
        <f aca="false">F22*G22*H22*D22/((I22/100)*E22)</f>
        <v>2.07735492917038</v>
      </c>
      <c r="K22" s="89" t="n">
        <v>6</v>
      </c>
    </row>
    <row r="23" s="90" customFormat="true" ht="9.75" hidden="false" customHeight="true" outlineLevel="0" collapsed="false">
      <c r="A23" s="70" t="str">
        <f aca="false">'Capac.Cond.Corre.'!A23</f>
        <v>69 - TUE M20</v>
      </c>
      <c r="B23" s="71"/>
      <c r="C23" s="72" t="s">
        <v>99</v>
      </c>
      <c r="D23" s="85" t="n">
        <f aca="false">'Capac.Cond.Corre.'!D23</f>
        <v>30.052048219153</v>
      </c>
      <c r="E23" s="86" t="n">
        <f aca="false">_Vnom</f>
        <v>380</v>
      </c>
      <c r="F23" s="91" t="n">
        <f aca="false">SQRT(3)</f>
        <v>1.73205080756888</v>
      </c>
      <c r="G23" s="86" t="n">
        <v>0.0178</v>
      </c>
      <c r="H23" s="87" t="n">
        <v>18.2</v>
      </c>
      <c r="I23" s="88" t="n">
        <v>2.5</v>
      </c>
      <c r="J23" s="85" t="n">
        <f aca="false">F23*G23*H23*D23/((I23/100)*E23)</f>
        <v>1.77501688783572</v>
      </c>
      <c r="K23" s="89" t="n">
        <v>6</v>
      </c>
    </row>
    <row r="24" s="90" customFormat="true" ht="9.75" hidden="false" customHeight="true" outlineLevel="0" collapsed="false">
      <c r="A24" s="70" t="str">
        <f aca="false">'Capac.Cond.Corre.'!A24</f>
        <v>70 - TUE M21</v>
      </c>
      <c r="B24" s="71"/>
      <c r="C24" s="72" t="s">
        <v>100</v>
      </c>
      <c r="D24" s="85" t="n">
        <f aca="false">'Capac.Cond.Corre.'!D24</f>
        <v>57.0979820507666</v>
      </c>
      <c r="E24" s="86" t="n">
        <f aca="false">_Vnom</f>
        <v>380</v>
      </c>
      <c r="F24" s="91" t="n">
        <f aca="false">SQRT(3)</f>
        <v>1.73205080756888</v>
      </c>
      <c r="G24" s="86" t="n">
        <v>0.0178</v>
      </c>
      <c r="H24" s="87" t="n">
        <v>22.8</v>
      </c>
      <c r="I24" s="88" t="n">
        <v>2.5</v>
      </c>
      <c r="J24" s="85" t="n">
        <f aca="false">F24*G24*H24*D24/((I24/100)*E24)</f>
        <v>4.22486300497005</v>
      </c>
      <c r="K24" s="89" t="n">
        <v>16</v>
      </c>
    </row>
    <row r="25" s="90" customFormat="true" ht="9.75" hidden="false" customHeight="true" outlineLevel="0" collapsed="false">
      <c r="A25" s="70" t="str">
        <f aca="false">'Capac.Cond.Corre.'!A25</f>
        <v>71 - TUE M22</v>
      </c>
      <c r="B25" s="71"/>
      <c r="C25" s="72" t="s">
        <v>101</v>
      </c>
      <c r="D25" s="85" t="n">
        <f aca="false">'Capac.Cond.Corre.'!D25</f>
        <v>57.0979820507666</v>
      </c>
      <c r="E25" s="86" t="n">
        <f aca="false">_Vnom</f>
        <v>380</v>
      </c>
      <c r="F25" s="91" t="n">
        <f aca="false">SQRT(3)</f>
        <v>1.73205080756888</v>
      </c>
      <c r="G25" s="86" t="n">
        <v>0.0178</v>
      </c>
      <c r="H25" s="87" t="n">
        <v>19.7</v>
      </c>
      <c r="I25" s="88" t="n">
        <v>2.5</v>
      </c>
      <c r="J25" s="85" t="n">
        <f aca="false">F25*G25*H25*D25/((I25/100)*E25)</f>
        <v>3.65042987710132</v>
      </c>
      <c r="K25" s="89" t="n">
        <v>16</v>
      </c>
    </row>
    <row r="26" s="90" customFormat="true" ht="9.75" hidden="false" customHeight="true" outlineLevel="0" collapsed="false">
      <c r="A26" s="70" t="str">
        <f aca="false">'Capac.Cond.Corre.'!A26</f>
        <v>72 - TUE M23</v>
      </c>
      <c r="B26" s="71" t="str">
        <f aca="false">'Previsão de Cargas'!B28</f>
        <v>CCM4</v>
      </c>
      <c r="C26" s="72" t="s">
        <v>102</v>
      </c>
      <c r="D26" s="85" t="n">
        <f aca="false">'Capac.Cond.Corre.'!D26</f>
        <v>102.283524558519</v>
      </c>
      <c r="E26" s="86" t="n">
        <f aca="false">_Vnom</f>
        <v>380</v>
      </c>
      <c r="F26" s="91" t="n">
        <f aca="false">SQRT(3)</f>
        <v>1.73205080756888</v>
      </c>
      <c r="G26" s="86" t="n">
        <v>0.0178</v>
      </c>
      <c r="H26" s="87" t="n">
        <v>20.8</v>
      </c>
      <c r="I26" s="88" t="n">
        <v>2.5</v>
      </c>
      <c r="J26" s="85" t="n">
        <f aca="false">F26*G26*H26*D26/((I26/100)*E26)</f>
        <v>6.90440159456501</v>
      </c>
      <c r="K26" s="89" t="n">
        <v>35</v>
      </c>
    </row>
    <row r="27" s="90" customFormat="true" ht="9.75" hidden="false" customHeight="true" outlineLevel="0" collapsed="false">
      <c r="A27" s="70" t="str">
        <f aca="false">'Capac.Cond.Corre.'!A27</f>
        <v>73 - TUE M24</v>
      </c>
      <c r="B27" s="71"/>
      <c r="C27" s="71" t="s">
        <v>105</v>
      </c>
      <c r="D27" s="85" t="n">
        <f aca="false">'Capac.Cond.Corre.'!D27</f>
        <v>102.283524558519</v>
      </c>
      <c r="E27" s="86" t="n">
        <f aca="false">_Vnom</f>
        <v>380</v>
      </c>
      <c r="F27" s="91" t="n">
        <f aca="false">SQRT(3)</f>
        <v>1.73205080756888</v>
      </c>
      <c r="G27" s="86" t="n">
        <v>0.0178</v>
      </c>
      <c r="H27" s="87" t="n">
        <v>17</v>
      </c>
      <c r="I27" s="88" t="n">
        <v>2.5</v>
      </c>
      <c r="J27" s="85" t="n">
        <f aca="false">F27*G27*H27*D27/((I27/100)*E27)</f>
        <v>5.64302053401948</v>
      </c>
      <c r="K27" s="89" t="n">
        <v>35</v>
      </c>
    </row>
    <row r="28" s="90" customFormat="true" ht="9.75" hidden="false" customHeight="true" outlineLevel="0" collapsed="false">
      <c r="A28" s="70" t="str">
        <f aca="false">'Capac.Cond.Corre.'!A28</f>
        <v>Alimentador QD1</v>
      </c>
      <c r="B28" s="71" t="s">
        <v>26</v>
      </c>
      <c r="C28" s="71" t="str">
        <f aca="false">'Previsão de Cargas'!Q6</f>
        <v>QD1</v>
      </c>
      <c r="D28" s="85" t="n">
        <f aca="false">'Capac.Cond.Corre.'!D28</f>
        <v>120.965390062164</v>
      </c>
      <c r="E28" s="86" t="n">
        <f aca="false">_Vnom</f>
        <v>380</v>
      </c>
      <c r="F28" s="91" t="n">
        <f aca="false">SQRT(3)</f>
        <v>1.73205080756888</v>
      </c>
      <c r="G28" s="86" t="n">
        <v>0.0178</v>
      </c>
      <c r="H28" s="87" t="n">
        <v>61.3</v>
      </c>
      <c r="I28" s="88" t="n">
        <v>2.5</v>
      </c>
      <c r="J28" s="85" t="n">
        <f aca="false">F28*G28*H28*D28/((I28/100)*E28)</f>
        <v>24.0645989930391</v>
      </c>
      <c r="K28" s="89" t="n">
        <v>35</v>
      </c>
    </row>
    <row r="29" s="90" customFormat="true" ht="9.75" hidden="false" customHeight="true" outlineLevel="0" collapsed="false">
      <c r="A29" s="70" t="str">
        <f aca="false">'Capac.Cond.Corre.'!A29</f>
        <v>Alimentador QD2</v>
      </c>
      <c r="B29" s="71"/>
      <c r="C29" s="71" t="str">
        <f aca="false">'Previsão de Cargas'!Q7</f>
        <v>QD2</v>
      </c>
      <c r="D29" s="85" t="n">
        <f aca="false">'Capac.Cond.Corre.'!D29</f>
        <v>161.924544707008</v>
      </c>
      <c r="E29" s="86" t="n">
        <f aca="false">_Vnom</f>
        <v>380</v>
      </c>
      <c r="F29" s="91" t="n">
        <f aca="false">SQRT(3)</f>
        <v>1.73205080756888</v>
      </c>
      <c r="G29" s="86" t="n">
        <v>0.0178</v>
      </c>
      <c r="H29" s="87" t="n">
        <v>36.3</v>
      </c>
      <c r="I29" s="88" t="n">
        <v>2.5</v>
      </c>
      <c r="J29" s="85" t="n">
        <f aca="false">F29*G29*H29*D29/((I29/100)*E29)</f>
        <v>19.0755177303081</v>
      </c>
      <c r="K29" s="89" t="n">
        <v>70</v>
      </c>
    </row>
    <row r="30" s="90" customFormat="true" ht="9.75" hidden="false" customHeight="true" outlineLevel="0" collapsed="false">
      <c r="A30" s="70" t="str">
        <f aca="false">'Capac.Cond.Corre.'!A30</f>
        <v>Alimentador QD3</v>
      </c>
      <c r="B30" s="71"/>
      <c r="C30" s="71" t="str">
        <f aca="false">'Previsão de Cargas'!Q8</f>
        <v>QD3</v>
      </c>
      <c r="D30" s="85" t="n">
        <f aca="false">'Capac.Cond.Corre.'!D30</f>
        <v>42.5450585552223</v>
      </c>
      <c r="E30" s="86" t="n">
        <f aca="false">_Vnom</f>
        <v>380</v>
      </c>
      <c r="F30" s="91" t="n">
        <f aca="false">SQRT(3)</f>
        <v>1.73205080756888</v>
      </c>
      <c r="G30" s="86" t="n">
        <v>0.0178</v>
      </c>
      <c r="H30" s="87" t="n">
        <v>25.1</v>
      </c>
      <c r="I30" s="88" t="n">
        <v>2.5</v>
      </c>
      <c r="J30" s="85" t="n">
        <f aca="false">F30*G30*H30*D30/((I30/100)*E30)</f>
        <v>3.46561146411946</v>
      </c>
      <c r="K30" s="89" t="n">
        <v>10</v>
      </c>
    </row>
    <row r="31" s="90" customFormat="true" ht="9.75" hidden="false" customHeight="true" outlineLevel="0" collapsed="false">
      <c r="A31" s="70" t="str">
        <f aca="false">'Capac.Cond.Corre.'!A31</f>
        <v>Alimentador QD4</v>
      </c>
      <c r="B31" s="71"/>
      <c r="C31" s="71" t="str">
        <f aca="false">'Previsão de Cargas'!Q9</f>
        <v>QD4</v>
      </c>
      <c r="D31" s="85" t="n">
        <f aca="false">'Capac.Cond.Corre.'!D31</f>
        <v>53.0234538328167</v>
      </c>
      <c r="E31" s="86" t="n">
        <f aca="false">_Vnom</f>
        <v>380</v>
      </c>
      <c r="F31" s="91" t="n">
        <f aca="false">SQRT(3)</f>
        <v>1.73205080756888</v>
      </c>
      <c r="G31" s="86" t="n">
        <v>0.0178</v>
      </c>
      <c r="H31" s="87" t="n">
        <v>15.9</v>
      </c>
      <c r="I31" s="88" t="n">
        <v>2.5</v>
      </c>
      <c r="J31" s="85" t="n">
        <f aca="false">F31*G31*H31*D31/((I31/100)*E31)</f>
        <v>2.73603823401645</v>
      </c>
      <c r="K31" s="89" t="n">
        <v>16</v>
      </c>
    </row>
    <row r="32" s="90" customFormat="true" ht="9.75" hidden="false" customHeight="true" outlineLevel="0" collapsed="false">
      <c r="A32" s="70" t="str">
        <f aca="false">'Capac.Cond.Corre.'!A32</f>
        <v>Alimentador CCM1</v>
      </c>
      <c r="B32" s="71"/>
      <c r="C32" s="71" t="str">
        <f aca="false">'Previsão de Cargas'!Q10</f>
        <v>CCM1</v>
      </c>
      <c r="D32" s="85" t="n">
        <f aca="false">'Capac.Cond.Corre.'!D32</f>
        <v>80.5326358307487</v>
      </c>
      <c r="E32" s="86" t="n">
        <f aca="false">_Vnom</f>
        <v>380</v>
      </c>
      <c r="F32" s="91" t="n">
        <f aca="false">SQRT(3)</f>
        <v>1.73205080756888</v>
      </c>
      <c r="G32" s="86" t="n">
        <v>0.0178</v>
      </c>
      <c r="H32" s="87" t="n">
        <v>44.2</v>
      </c>
      <c r="I32" s="88" t="n">
        <v>2.5</v>
      </c>
      <c r="J32" s="85" t="n">
        <f aca="false">F32*G32*H32*D32/((I32/100)*E32)</f>
        <v>11.5518411297826</v>
      </c>
      <c r="K32" s="89" t="n">
        <v>25</v>
      </c>
    </row>
    <row r="33" s="90" customFormat="true" ht="9.75" hidden="false" customHeight="true" outlineLevel="0" collapsed="false">
      <c r="A33" s="70" t="str">
        <f aca="false">'Capac.Cond.Corre.'!A33</f>
        <v>Alimentador CCM2</v>
      </c>
      <c r="B33" s="71"/>
      <c r="C33" s="71" t="str">
        <f aca="false">'Previsão de Cargas'!Q11</f>
        <v>CCM2</v>
      </c>
      <c r="D33" s="85" t="n">
        <f aca="false">'Capac.Cond.Corre.'!D33</f>
        <v>99.5226308753054</v>
      </c>
      <c r="E33" s="86" t="n">
        <f aca="false">_Vnom</f>
        <v>380</v>
      </c>
      <c r="F33" s="91" t="n">
        <f aca="false">SQRT(3)</f>
        <v>1.73205080756888</v>
      </c>
      <c r="G33" s="86" t="n">
        <v>0.0178</v>
      </c>
      <c r="H33" s="87" t="n">
        <v>64.9</v>
      </c>
      <c r="I33" s="88" t="n">
        <v>2.5</v>
      </c>
      <c r="J33" s="85" t="n">
        <f aca="false">F33*G33*H33*D33/((I33/100)*E33)</f>
        <v>20.9615584881462</v>
      </c>
      <c r="K33" s="89" t="n">
        <v>25</v>
      </c>
    </row>
    <row r="34" s="90" customFormat="true" ht="9.75" hidden="false" customHeight="true" outlineLevel="0" collapsed="false">
      <c r="A34" s="70" t="str">
        <f aca="false">'Capac.Cond.Corre.'!A34</f>
        <v>Alimentador CCM3</v>
      </c>
      <c r="B34" s="71"/>
      <c r="C34" s="71" t="str">
        <f aca="false">'Previsão de Cargas'!Q12</f>
        <v>CCM3</v>
      </c>
      <c r="D34" s="85" t="n">
        <f aca="false">'Capac.Cond.Corre.'!D34</f>
        <v>150.16347916849</v>
      </c>
      <c r="E34" s="86" t="n">
        <f aca="false">_Vnom</f>
        <v>380</v>
      </c>
      <c r="F34" s="91" t="n">
        <f aca="false">SQRT(3)</f>
        <v>1.73205080756888</v>
      </c>
      <c r="G34" s="86" t="n">
        <v>0.0178</v>
      </c>
      <c r="H34" s="87" t="n">
        <v>41.4</v>
      </c>
      <c r="I34" s="88" t="n">
        <v>2.5</v>
      </c>
      <c r="J34" s="85" t="n">
        <f aca="false">F34*G34*H34*D34/((I34/100)*E34)</f>
        <v>20.1753783346451</v>
      </c>
      <c r="K34" s="89" t="n">
        <v>50</v>
      </c>
    </row>
    <row r="35" s="90" customFormat="true" ht="9.75" hidden="false" customHeight="true" outlineLevel="0" collapsed="false">
      <c r="A35" s="70" t="str">
        <f aca="false">'Capac.Cond.Corre.'!A35</f>
        <v>Alimentador CCM4</v>
      </c>
      <c r="B35" s="71"/>
      <c r="C35" s="71" t="str">
        <f aca="false">'Previsão de Cargas'!Q13</f>
        <v>CCM4</v>
      </c>
      <c r="D35" s="85" t="n">
        <f aca="false">'Capac.Cond.Corre.'!D35</f>
        <v>160.175999458641</v>
      </c>
      <c r="E35" s="86" t="n">
        <f aca="false">_Vnom</f>
        <v>380</v>
      </c>
      <c r="F35" s="91" t="n">
        <f aca="false">SQRT(3)</f>
        <v>1.73205080756888</v>
      </c>
      <c r="G35" s="86" t="n">
        <v>0.0178</v>
      </c>
      <c r="H35" s="87" t="n">
        <v>25.2</v>
      </c>
      <c r="I35" s="88" t="n">
        <v>2.5</v>
      </c>
      <c r="J35" s="85" t="n">
        <f aca="false">F35*G35*H35*D35/((I35/100)*E35)</f>
        <v>13.0995087022422</v>
      </c>
      <c r="K35" s="89" t="n">
        <v>70</v>
      </c>
    </row>
    <row r="36" s="90" customFormat="true" ht="9" hidden="false" customHeight="false" outlineLevel="0" collapsed="false">
      <c r="A36" s="53"/>
      <c r="B36" s="92"/>
      <c r="C36" s="55"/>
      <c r="D36" s="93"/>
      <c r="E36" s="94"/>
      <c r="F36" s="95"/>
      <c r="G36" s="96"/>
      <c r="H36" s="95"/>
    </row>
    <row r="37" s="90" customFormat="true" ht="9" hidden="false" customHeight="false" outlineLevel="0" collapsed="false">
      <c r="A37" s="53"/>
      <c r="B37" s="92"/>
      <c r="C37" s="55"/>
      <c r="D37" s="93"/>
      <c r="E37" s="94"/>
      <c r="F37" s="95"/>
      <c r="G37" s="96"/>
      <c r="H37" s="95"/>
    </row>
    <row r="38" s="90" customFormat="true" ht="9" hidden="false" customHeight="false" outlineLevel="0" collapsed="false">
      <c r="A38" s="53"/>
      <c r="B38" s="92"/>
      <c r="C38" s="55"/>
      <c r="D38" s="93"/>
      <c r="E38" s="94"/>
      <c r="F38" s="95"/>
      <c r="G38" s="96"/>
      <c r="H38" s="95"/>
    </row>
    <row r="39" s="90" customFormat="true" ht="9" hidden="false" customHeight="false" outlineLevel="0" collapsed="false">
      <c r="A39" s="53"/>
      <c r="B39" s="92"/>
      <c r="C39" s="55"/>
      <c r="D39" s="93"/>
      <c r="E39" s="94"/>
      <c r="F39" s="95"/>
      <c r="G39" s="96"/>
      <c r="H39" s="95"/>
    </row>
    <row r="40" s="90" customFormat="true" ht="9" hidden="false" customHeight="false" outlineLevel="0" collapsed="false">
      <c r="A40" s="53"/>
      <c r="B40" s="92"/>
      <c r="C40" s="92"/>
      <c r="D40" s="93"/>
      <c r="E40" s="94"/>
      <c r="F40" s="95"/>
      <c r="G40" s="96"/>
      <c r="H40" s="95"/>
    </row>
    <row r="41" s="90" customFormat="true" ht="9" hidden="false" customHeight="false" outlineLevel="0" collapsed="false">
      <c r="A41" s="53"/>
      <c r="B41" s="92"/>
      <c r="C41" s="92"/>
      <c r="D41" s="93"/>
      <c r="E41" s="94"/>
      <c r="F41" s="95"/>
      <c r="G41" s="96"/>
      <c r="H41" s="95"/>
    </row>
    <row r="42" s="90" customFormat="true" ht="9" hidden="false" customHeight="false" outlineLevel="0" collapsed="false">
      <c r="A42" s="53"/>
      <c r="B42" s="92"/>
      <c r="C42" s="92"/>
    </row>
    <row r="43" s="90" customFormat="true" ht="9" hidden="false" customHeight="false" outlineLevel="0" collapsed="false">
      <c r="A43" s="53"/>
      <c r="B43" s="92"/>
      <c r="C43" s="92"/>
    </row>
    <row r="44" s="90" customFormat="true" ht="9" hidden="false" customHeight="false" outlineLevel="0" collapsed="false">
      <c r="A44" s="53"/>
      <c r="B44" s="92"/>
      <c r="C44" s="92"/>
    </row>
    <row r="45" s="90" customFormat="true" ht="9" hidden="false" customHeight="false" outlineLevel="0" collapsed="false">
      <c r="A45" s="53"/>
      <c r="B45" s="92"/>
      <c r="C45" s="92"/>
    </row>
    <row r="46" s="90" customFormat="true" ht="9" hidden="false" customHeight="false" outlineLevel="0" collapsed="false">
      <c r="A46" s="53"/>
      <c r="B46" s="92"/>
      <c r="C46" s="92"/>
    </row>
    <row r="47" s="90" customFormat="true" ht="9" hidden="false" customHeight="false" outlineLevel="0" collapsed="false">
      <c r="A47" s="53"/>
      <c r="B47" s="92"/>
      <c r="C47" s="92"/>
    </row>
    <row r="48" s="90" customFormat="true" ht="9" hidden="false" customHeight="false" outlineLevel="0" collapsed="false">
      <c r="A48" s="53"/>
      <c r="B48" s="92"/>
      <c r="C48" s="92"/>
    </row>
    <row r="49" s="90" customFormat="true" ht="9" hidden="false" customHeight="false" outlineLevel="0" collapsed="false">
      <c r="A49" s="53"/>
      <c r="B49" s="92"/>
      <c r="C49" s="92"/>
    </row>
    <row r="50" s="90" customFormat="true" ht="9" hidden="false" customHeight="false" outlineLevel="0" collapsed="false">
      <c r="A50" s="53"/>
      <c r="B50" s="92"/>
      <c r="C50" s="92"/>
    </row>
    <row r="51" s="90" customFormat="true" ht="9" hidden="false" customHeight="false" outlineLevel="0" collapsed="false">
      <c r="A51" s="53"/>
      <c r="B51" s="92"/>
      <c r="C51" s="92"/>
    </row>
    <row r="52" s="90" customFormat="true" ht="9" hidden="false" customHeight="false" outlineLevel="0" collapsed="false">
      <c r="A52" s="53"/>
      <c r="B52" s="92"/>
      <c r="C52" s="92"/>
    </row>
    <row r="53" s="90" customFormat="true" ht="9" hidden="false" customHeight="false" outlineLevel="0" collapsed="false">
      <c r="A53" s="53"/>
      <c r="B53" s="92"/>
      <c r="C53" s="92"/>
    </row>
    <row r="54" s="90" customFormat="true" ht="9" hidden="false" customHeight="false" outlineLevel="0" collapsed="false">
      <c r="A54" s="53"/>
      <c r="B54" s="92"/>
      <c r="C54" s="92"/>
    </row>
  </sheetData>
  <mergeCells count="6">
    <mergeCell ref="A2:K2"/>
    <mergeCell ref="B4:B11"/>
    <mergeCell ref="B12:B17"/>
    <mergeCell ref="B18:B25"/>
    <mergeCell ref="B26:B27"/>
    <mergeCell ref="B28:B35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3:AD4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9.109375" defaultRowHeight="12" zeroHeight="false" outlineLevelRow="0" outlineLevelCol="0"/>
  <cols>
    <col collapsed="false" customWidth="true" hidden="false" outlineLevel="0" max="1" min="1" style="97" width="20.88"/>
    <col collapsed="false" customWidth="true" hidden="false" outlineLevel="0" max="2" min="2" style="97" width="10.11"/>
    <col collapsed="false" customWidth="true" hidden="false" outlineLevel="0" max="3" min="3" style="97" width="13.88"/>
    <col collapsed="false" customWidth="true" hidden="false" outlineLevel="0" max="4" min="4" style="97" width="10.44"/>
    <col collapsed="false" customWidth="true" hidden="false" outlineLevel="0" max="5" min="5" style="97" width="10.11"/>
    <col collapsed="false" customWidth="true" hidden="false" outlineLevel="0" max="6" min="6" style="97" width="14.11"/>
    <col collapsed="false" customWidth="true" hidden="false" outlineLevel="0" max="7" min="7" style="97" width="10.33"/>
    <col collapsed="false" customWidth="true" hidden="false" outlineLevel="0" max="8" min="8" style="97" width="10.11"/>
    <col collapsed="false" customWidth="true" hidden="false" outlineLevel="0" max="9" min="9" style="98" width="9.44"/>
    <col collapsed="false" customWidth="true" hidden="false" outlineLevel="0" max="11" min="10" style="98" width="10.66"/>
    <col collapsed="false" customWidth="true" hidden="false" outlineLevel="0" max="12" min="12" style="98" width="9.56"/>
    <col collapsed="false" customWidth="true" hidden="false" outlineLevel="0" max="13" min="13" style="99" width="7"/>
    <col collapsed="false" customWidth="true" hidden="false" outlineLevel="0" max="14" min="14" style="99" width="11.89"/>
    <col collapsed="false" customWidth="true" hidden="false" outlineLevel="0" max="15" min="15" style="99" width="10.88"/>
    <col collapsed="false" customWidth="false" hidden="false" outlineLevel="0" max="16" min="16" style="99" width="9.11"/>
    <col collapsed="false" customWidth="true" hidden="false" outlineLevel="0" max="17" min="17" style="97" width="7.11"/>
    <col collapsed="false" customWidth="true" hidden="false" outlineLevel="0" max="18" min="18" style="97" width="10.44"/>
    <col collapsed="false" customWidth="true" hidden="false" outlineLevel="0" max="19" min="19" style="100" width="11.44"/>
    <col collapsed="false" customWidth="true" hidden="false" outlineLevel="0" max="20" min="20" style="97" width="13.11"/>
    <col collapsed="false" customWidth="true" hidden="false" outlineLevel="0" max="21" min="21" style="97" width="16.11"/>
    <col collapsed="false" customWidth="true" hidden="false" outlineLevel="0" max="23" min="22" style="97" width="16.33"/>
    <col collapsed="false" customWidth="true" hidden="false" outlineLevel="0" max="24" min="24" style="97" width="11.89"/>
    <col collapsed="false" customWidth="false" hidden="false" outlineLevel="0" max="25" min="25" style="97" width="9.11"/>
    <col collapsed="false" customWidth="true" hidden="false" outlineLevel="0" max="26" min="26" style="97" width="11.67"/>
    <col collapsed="false" customWidth="true" hidden="false" outlineLevel="0" max="27" min="27" style="97" width="11.89"/>
    <col collapsed="false" customWidth="false" hidden="false" outlineLevel="0" max="28" min="28" style="97" width="9.11"/>
    <col collapsed="false" customWidth="true" hidden="false" outlineLevel="0" max="29" min="29" style="97" width="11.89"/>
    <col collapsed="false" customWidth="false" hidden="false" outlineLevel="0" max="16384" min="30" style="97" width="9.11"/>
  </cols>
  <sheetData>
    <row r="3" customFormat="false" ht="12" hidden="false" customHeight="false" outlineLevel="0" collapsed="false">
      <c r="A3" s="101" t="s">
        <v>116</v>
      </c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</row>
    <row r="4" s="80" customFormat="true" ht="12.65" hidden="false" customHeight="true" outlineLevel="0" collapsed="false">
      <c r="A4" s="102" t="s">
        <v>117</v>
      </c>
      <c r="B4" s="102" t="s">
        <v>6</v>
      </c>
      <c r="C4" s="102" t="s">
        <v>7</v>
      </c>
      <c r="D4" s="102" t="str">
        <f aca="false">'Capac.Cond.Corre.'!D3</f>
        <v>IN
[A]</v>
      </c>
      <c r="E4" s="103" t="str">
        <f aca="false">'Previsão de Cargas'!D4:D5</f>
        <v>PN - Potência Nominal
 [HP]</v>
      </c>
      <c r="F4" s="102" t="s">
        <v>118</v>
      </c>
      <c r="G4" s="102" t="s">
        <v>119</v>
      </c>
      <c r="H4" s="102" t="s">
        <v>120</v>
      </c>
      <c r="I4" s="104" t="s">
        <v>121</v>
      </c>
      <c r="J4" s="104"/>
      <c r="K4" s="104"/>
      <c r="L4" s="104"/>
      <c r="M4" s="105" t="s">
        <v>122</v>
      </c>
      <c r="N4" s="105"/>
      <c r="O4" s="105"/>
      <c r="P4" s="106" t="s">
        <v>123</v>
      </c>
      <c r="Q4" s="106"/>
      <c r="R4" s="106"/>
      <c r="S4" s="106"/>
      <c r="T4" s="107" t="s">
        <v>124</v>
      </c>
      <c r="U4" s="107" t="s">
        <v>125</v>
      </c>
      <c r="V4" s="108" t="s">
        <v>126</v>
      </c>
      <c r="W4" s="108"/>
      <c r="X4" s="108"/>
      <c r="Y4" s="108"/>
      <c r="Z4" s="108"/>
      <c r="AA4" s="109" t="s">
        <v>127</v>
      </c>
      <c r="AB4" s="109"/>
      <c r="AC4" s="109" t="s">
        <v>128</v>
      </c>
      <c r="AD4" s="109"/>
    </row>
    <row r="5" s="80" customFormat="true" ht="57.45" hidden="false" customHeight="false" outlineLevel="0" collapsed="false">
      <c r="A5" s="102"/>
      <c r="B5" s="102"/>
      <c r="C5" s="102"/>
      <c r="D5" s="102"/>
      <c r="E5" s="102"/>
      <c r="F5" s="102"/>
      <c r="G5" s="102"/>
      <c r="H5" s="102"/>
      <c r="I5" s="110" t="s">
        <v>129</v>
      </c>
      <c r="J5" s="111" t="s">
        <v>130</v>
      </c>
      <c r="K5" s="111" t="s">
        <v>131</v>
      </c>
      <c r="L5" s="111" t="s">
        <v>132</v>
      </c>
      <c r="M5" s="112" t="s">
        <v>133</v>
      </c>
      <c r="N5" s="113" t="s">
        <v>130</v>
      </c>
      <c r="O5" s="113" t="s">
        <v>132</v>
      </c>
      <c r="P5" s="114" t="s">
        <v>134</v>
      </c>
      <c r="Q5" s="114" t="s">
        <v>135</v>
      </c>
      <c r="R5" s="114" t="s">
        <v>136</v>
      </c>
      <c r="S5" s="114" t="s">
        <v>137</v>
      </c>
      <c r="T5" s="107"/>
      <c r="U5" s="107"/>
      <c r="V5" s="115" t="s">
        <v>138</v>
      </c>
      <c r="W5" s="115" t="s">
        <v>139</v>
      </c>
      <c r="X5" s="115" t="s">
        <v>140</v>
      </c>
      <c r="Y5" s="115" t="s">
        <v>135</v>
      </c>
      <c r="Z5" s="115" t="s">
        <v>141</v>
      </c>
      <c r="AA5" s="110" t="s">
        <v>130</v>
      </c>
      <c r="AB5" s="110" t="s">
        <v>142</v>
      </c>
      <c r="AC5" s="110" t="s">
        <v>130</v>
      </c>
      <c r="AD5" s="110" t="s">
        <v>143</v>
      </c>
    </row>
    <row r="6" s="90" customFormat="true" ht="23.85" hidden="false" customHeight="true" outlineLevel="0" collapsed="false">
      <c r="A6" s="27" t="str">
        <f aca="false">'Previsão de Cargas'!A6</f>
        <v>50 - TUE M1</v>
      </c>
      <c r="B6" s="71" t="str">
        <f aca="false">'Previsão de Cargas'!B6</f>
        <v>CCM1</v>
      </c>
      <c r="C6" s="116" t="s">
        <v>78</v>
      </c>
      <c r="D6" s="117" t="n">
        <f aca="false">'Previsão de Cargas'!L6</f>
        <v>8.21236593030834</v>
      </c>
      <c r="E6" s="118" t="n">
        <f aca="false">'Previsão de Cargas'!D6</f>
        <v>5</v>
      </c>
      <c r="F6" s="28" t="s">
        <v>144</v>
      </c>
      <c r="G6" s="117" t="n">
        <f aca="false">'Previsão de Cargas'!M6</f>
        <v>68.1626372215592</v>
      </c>
      <c r="H6" s="28" t="n">
        <v>5</v>
      </c>
      <c r="I6" s="119" t="n">
        <f aca="false">'Previsão de Cargas'!H6*D6</f>
        <v>10.2654574128854</v>
      </c>
      <c r="J6" s="120" t="s">
        <v>145</v>
      </c>
      <c r="K6" s="121" t="s">
        <v>146</v>
      </c>
      <c r="L6" s="121" t="n">
        <v>20</v>
      </c>
      <c r="M6" s="122" t="n">
        <v>12</v>
      </c>
      <c r="N6" s="123" t="s">
        <v>147</v>
      </c>
      <c r="O6" s="122" t="n">
        <v>20</v>
      </c>
      <c r="P6" s="124" t="n">
        <f aca="false">1.2*I6</f>
        <v>12.3185488954625</v>
      </c>
      <c r="Q6" s="125" t="s">
        <v>148</v>
      </c>
      <c r="R6" s="126" t="n">
        <v>20</v>
      </c>
      <c r="S6" s="126" t="n">
        <v>9.2</v>
      </c>
      <c r="T6" s="127" t="str">
        <f aca="false">IF(S6&gt;H6,"Sim","Não")</f>
        <v>Sim</v>
      </c>
      <c r="U6" s="127" t="str">
        <f aca="false">IF(R6&lt;=MIN(L6,O6),"Sim","Não")</f>
        <v>Sim</v>
      </c>
      <c r="V6" s="128" t="n">
        <f aca="false">MAX(R6:R13)</f>
        <v>35</v>
      </c>
      <c r="W6" s="129" t="n">
        <f aca="false">SUM(D6:D13)-INDEX(D6:D13,MATCH(V6,R6:R13,0))</f>
        <v>99.2657363805041</v>
      </c>
      <c r="X6" s="129" t="n">
        <f aca="false">V6+W6</f>
        <v>134.265736380504</v>
      </c>
      <c r="Y6" s="128" t="s">
        <v>149</v>
      </c>
      <c r="Z6" s="128" t="n">
        <v>160</v>
      </c>
      <c r="AA6" s="128" t="s">
        <v>150</v>
      </c>
      <c r="AB6" s="128" t="n">
        <f aca="false">Z6</f>
        <v>160</v>
      </c>
      <c r="AC6" s="130" t="s">
        <v>151</v>
      </c>
      <c r="AD6" s="131" t="n">
        <v>100</v>
      </c>
    </row>
    <row r="7" s="132" customFormat="true" ht="23.85" hidden="false" customHeight="false" outlineLevel="0" collapsed="false">
      <c r="A7" s="27" t="str">
        <f aca="false">'Previsão de Cargas'!A7</f>
        <v>51 - TUE M2</v>
      </c>
      <c r="B7" s="71"/>
      <c r="C7" s="116" t="s">
        <v>81</v>
      </c>
      <c r="D7" s="117" t="n">
        <f aca="false">'Previsão de Cargas'!L7</f>
        <v>8.21236593030834</v>
      </c>
      <c r="E7" s="118" t="n">
        <f aca="false">'Previsão de Cargas'!D7</f>
        <v>5</v>
      </c>
      <c r="F7" s="28" t="s">
        <v>144</v>
      </c>
      <c r="G7" s="117" t="n">
        <f aca="false">'Previsão de Cargas'!M7</f>
        <v>68.1626372215592</v>
      </c>
      <c r="H7" s="28" t="n">
        <v>5</v>
      </c>
      <c r="I7" s="119" t="n">
        <f aca="false">'Previsão de Cargas'!H7*D7</f>
        <v>10.2654574128854</v>
      </c>
      <c r="J7" s="120" t="s">
        <v>145</v>
      </c>
      <c r="K7" s="121" t="s">
        <v>146</v>
      </c>
      <c r="L7" s="121" t="n">
        <v>20</v>
      </c>
      <c r="M7" s="122" t="n">
        <v>12</v>
      </c>
      <c r="N7" s="123" t="s">
        <v>147</v>
      </c>
      <c r="O7" s="122" t="n">
        <v>20</v>
      </c>
      <c r="P7" s="124" t="n">
        <f aca="false">1.2*I7</f>
        <v>12.3185488954625</v>
      </c>
      <c r="Q7" s="125" t="s">
        <v>148</v>
      </c>
      <c r="R7" s="126" t="n">
        <v>20</v>
      </c>
      <c r="S7" s="126" t="n">
        <v>9.2</v>
      </c>
      <c r="T7" s="127" t="str">
        <f aca="false">IF(S7&gt;H7,"Sim","Não")</f>
        <v>Sim</v>
      </c>
      <c r="U7" s="127" t="str">
        <f aca="false">IF(R7&lt;=MIN(L7,O7),"Sim","Não")</f>
        <v>Sim</v>
      </c>
      <c r="V7" s="128"/>
      <c r="W7" s="129"/>
      <c r="X7" s="129"/>
      <c r="Y7" s="128"/>
      <c r="Z7" s="128"/>
      <c r="AA7" s="128"/>
      <c r="AB7" s="128"/>
      <c r="AC7" s="130"/>
      <c r="AD7" s="131"/>
    </row>
    <row r="8" s="132" customFormat="true" ht="23.85" hidden="false" customHeight="false" outlineLevel="0" collapsed="false">
      <c r="A8" s="27" t="str">
        <f aca="false">'Previsão de Cargas'!A8</f>
        <v>52 - TUE M3</v>
      </c>
      <c r="B8" s="71"/>
      <c r="C8" s="116" t="s">
        <v>82</v>
      </c>
      <c r="D8" s="117" t="n">
        <f aca="false">'Previsão de Cargas'!L8</f>
        <v>8.21236593030834</v>
      </c>
      <c r="E8" s="118" t="n">
        <f aca="false">'Previsão de Cargas'!D8</f>
        <v>5</v>
      </c>
      <c r="F8" s="28" t="s">
        <v>144</v>
      </c>
      <c r="G8" s="117" t="n">
        <f aca="false">'Previsão de Cargas'!M8</f>
        <v>68.1626372215592</v>
      </c>
      <c r="H8" s="28" t="n">
        <v>5</v>
      </c>
      <c r="I8" s="119" t="n">
        <f aca="false">'Previsão de Cargas'!H8*D8</f>
        <v>10.2654574128854</v>
      </c>
      <c r="J8" s="120" t="s">
        <v>145</v>
      </c>
      <c r="K8" s="121" t="s">
        <v>146</v>
      </c>
      <c r="L8" s="121" t="n">
        <v>20</v>
      </c>
      <c r="M8" s="122" t="n">
        <v>12</v>
      </c>
      <c r="N8" s="123" t="s">
        <v>147</v>
      </c>
      <c r="O8" s="122" t="n">
        <v>20</v>
      </c>
      <c r="P8" s="124" t="n">
        <f aca="false">1.2*I8</f>
        <v>12.3185488954625</v>
      </c>
      <c r="Q8" s="125" t="s">
        <v>148</v>
      </c>
      <c r="R8" s="126" t="n">
        <v>20</v>
      </c>
      <c r="S8" s="126" t="n">
        <v>9.2</v>
      </c>
      <c r="T8" s="127" t="str">
        <f aca="false">IF(S8&gt;H8,"Sim","Não")</f>
        <v>Sim</v>
      </c>
      <c r="U8" s="127" t="str">
        <f aca="false">IF(R8&lt;=MIN(L8,O8),"Sim","Não")</f>
        <v>Sim</v>
      </c>
      <c r="V8" s="128"/>
      <c r="W8" s="129"/>
      <c r="X8" s="129"/>
      <c r="Y8" s="128"/>
      <c r="Z8" s="128"/>
      <c r="AA8" s="128"/>
      <c r="AB8" s="128"/>
      <c r="AC8" s="130"/>
      <c r="AD8" s="131"/>
    </row>
    <row r="9" s="132" customFormat="true" ht="23.85" hidden="false" customHeight="false" outlineLevel="0" collapsed="false">
      <c r="A9" s="27" t="str">
        <f aca="false">'Previsão de Cargas'!A9</f>
        <v>53 - TUE M4</v>
      </c>
      <c r="B9" s="71"/>
      <c r="C9" s="116" t="s">
        <v>83</v>
      </c>
      <c r="D9" s="117" t="n">
        <f aca="false">'Previsão de Cargas'!L9</f>
        <v>8.21236593030834</v>
      </c>
      <c r="E9" s="118" t="n">
        <f aca="false">'Previsão de Cargas'!D9</f>
        <v>5</v>
      </c>
      <c r="F9" s="28" t="s">
        <v>144</v>
      </c>
      <c r="G9" s="117" t="n">
        <f aca="false">'Previsão de Cargas'!M9</f>
        <v>68.1626372215592</v>
      </c>
      <c r="H9" s="28" t="n">
        <v>5</v>
      </c>
      <c r="I9" s="119" t="n">
        <f aca="false">'Previsão de Cargas'!H9*D9</f>
        <v>10.2654574128854</v>
      </c>
      <c r="J9" s="120" t="s">
        <v>145</v>
      </c>
      <c r="K9" s="121" t="s">
        <v>146</v>
      </c>
      <c r="L9" s="121" t="n">
        <v>20</v>
      </c>
      <c r="M9" s="122" t="n">
        <v>12</v>
      </c>
      <c r="N9" s="123" t="s">
        <v>147</v>
      </c>
      <c r="O9" s="122" t="n">
        <v>20</v>
      </c>
      <c r="P9" s="124" t="n">
        <f aca="false">1.2*I9</f>
        <v>12.3185488954625</v>
      </c>
      <c r="Q9" s="125" t="s">
        <v>148</v>
      </c>
      <c r="R9" s="126" t="n">
        <v>20</v>
      </c>
      <c r="S9" s="126" t="n">
        <v>9.2</v>
      </c>
      <c r="T9" s="127" t="str">
        <f aca="false">IF(S9&gt;H9,"Sim","Não")</f>
        <v>Sim</v>
      </c>
      <c r="U9" s="127" t="str">
        <f aca="false">IF(R9&lt;=MIN(L9,O9),"Sim","Não")</f>
        <v>Sim</v>
      </c>
      <c r="V9" s="128"/>
      <c r="W9" s="129"/>
      <c r="X9" s="129"/>
      <c r="Y9" s="128"/>
      <c r="Z9" s="128"/>
      <c r="AA9" s="128"/>
      <c r="AB9" s="128"/>
      <c r="AC9" s="130"/>
      <c r="AD9" s="131"/>
    </row>
    <row r="10" s="132" customFormat="true" ht="23.85" hidden="false" customHeight="false" outlineLevel="0" collapsed="false">
      <c r="A10" s="27" t="str">
        <f aca="false">'Previsão de Cargas'!A10</f>
        <v>54 - TUE M5</v>
      </c>
      <c r="B10" s="71"/>
      <c r="C10" s="116" t="s">
        <v>84</v>
      </c>
      <c r="D10" s="117" t="n">
        <f aca="false">'Previsão de Cargas'!L10</f>
        <v>22.1387575530902</v>
      </c>
      <c r="E10" s="118" t="n">
        <f aca="false">'Previsão de Cargas'!D10</f>
        <v>15</v>
      </c>
      <c r="F10" s="28" t="s">
        <v>152</v>
      </c>
      <c r="G10" s="117" t="n">
        <f aca="false">'Previsão de Cargas'!M10/3</f>
        <v>61.2505625635497</v>
      </c>
      <c r="H10" s="28" t="n">
        <v>5</v>
      </c>
      <c r="I10" s="119" t="n">
        <f aca="false">'Previsão de Cargas'!H10*D10/SQRT(3)</f>
        <v>15.9772720410006</v>
      </c>
      <c r="J10" s="120" t="s">
        <v>153</v>
      </c>
      <c r="K10" s="121" t="s">
        <v>154</v>
      </c>
      <c r="L10" s="121" t="n">
        <v>35</v>
      </c>
      <c r="M10" s="122" t="n">
        <v>25</v>
      </c>
      <c r="N10" s="123" t="s">
        <v>155</v>
      </c>
      <c r="O10" s="122" t="n">
        <v>35</v>
      </c>
      <c r="P10" s="124" t="n">
        <f aca="false">1.2*I10*SQRT(3)</f>
        <v>33.2081363296354</v>
      </c>
      <c r="Q10" s="125" t="s">
        <v>156</v>
      </c>
      <c r="R10" s="126" t="n">
        <v>35</v>
      </c>
      <c r="S10" s="126" t="n">
        <v>860</v>
      </c>
      <c r="T10" s="127" t="str">
        <f aca="false">IF(S10&gt;H10,"Sim","Não")</f>
        <v>Sim</v>
      </c>
      <c r="U10" s="127" t="str">
        <f aca="false">IF(R10&lt;=MIN(L10,O10),"Sim","Não")</f>
        <v>Sim</v>
      </c>
      <c r="V10" s="128"/>
      <c r="W10" s="129"/>
      <c r="X10" s="129"/>
      <c r="Y10" s="128"/>
      <c r="Z10" s="128"/>
      <c r="AA10" s="128"/>
      <c r="AB10" s="128"/>
      <c r="AC10" s="130"/>
      <c r="AD10" s="131"/>
    </row>
    <row r="11" s="132" customFormat="true" ht="23.85" hidden="false" customHeight="false" outlineLevel="0" collapsed="false">
      <c r="A11" s="27" t="str">
        <f aca="false">'Previsão de Cargas'!A11</f>
        <v>55 - TUE M6</v>
      </c>
      <c r="B11" s="71"/>
      <c r="C11" s="116" t="s">
        <v>85</v>
      </c>
      <c r="D11" s="117" t="n">
        <f aca="false">'Previsão de Cargas'!L11</f>
        <v>22.1387575530902</v>
      </c>
      <c r="E11" s="118" t="n">
        <f aca="false">'Previsão de Cargas'!D11</f>
        <v>15</v>
      </c>
      <c r="F11" s="28" t="s">
        <v>152</v>
      </c>
      <c r="G11" s="117" t="n">
        <f aca="false">'Previsão de Cargas'!M11/3</f>
        <v>61.2505625635497</v>
      </c>
      <c r="H11" s="28" t="n">
        <v>5</v>
      </c>
      <c r="I11" s="119" t="n">
        <f aca="false">'Previsão de Cargas'!H11*D11/SQRT(3)</f>
        <v>15.9772720410006</v>
      </c>
      <c r="J11" s="120" t="s">
        <v>153</v>
      </c>
      <c r="K11" s="121" t="s">
        <v>154</v>
      </c>
      <c r="L11" s="121" t="n">
        <v>35</v>
      </c>
      <c r="M11" s="122" t="n">
        <v>25</v>
      </c>
      <c r="N11" s="123" t="s">
        <v>155</v>
      </c>
      <c r="O11" s="122" t="n">
        <v>35</v>
      </c>
      <c r="P11" s="124" t="n">
        <f aca="false">1.2*I11*SQRT(3)</f>
        <v>33.2081363296354</v>
      </c>
      <c r="Q11" s="125" t="s">
        <v>156</v>
      </c>
      <c r="R11" s="126" t="n">
        <v>35</v>
      </c>
      <c r="S11" s="126" t="n">
        <v>860</v>
      </c>
      <c r="T11" s="127" t="str">
        <f aca="false">IF(S11&gt;H11,"Sim","Não")</f>
        <v>Sim</v>
      </c>
      <c r="U11" s="127" t="str">
        <f aca="false">IF(R11&lt;=MIN(L11,O11),"Sim","Não")</f>
        <v>Sim</v>
      </c>
      <c r="V11" s="128"/>
      <c r="W11" s="129"/>
      <c r="X11" s="129"/>
      <c r="Y11" s="128"/>
      <c r="Z11" s="128"/>
      <c r="AA11" s="128"/>
      <c r="AB11" s="128"/>
      <c r="AC11" s="130"/>
      <c r="AD11" s="131"/>
    </row>
    <row r="12" s="132" customFormat="true" ht="23.85" hidden="false" customHeight="false" outlineLevel="0" collapsed="false">
      <c r="A12" s="27" t="str">
        <f aca="false">'Previsão de Cargas'!A12</f>
        <v>56 - TUE M7</v>
      </c>
      <c r="B12" s="71"/>
      <c r="C12" s="116" t="s">
        <v>86</v>
      </c>
      <c r="D12" s="117" t="n">
        <f aca="false">'Previsão de Cargas'!L12</f>
        <v>22.1387575530902</v>
      </c>
      <c r="E12" s="118" t="n">
        <f aca="false">'Previsão de Cargas'!D12</f>
        <v>15</v>
      </c>
      <c r="F12" s="28" t="s">
        <v>152</v>
      </c>
      <c r="G12" s="117" t="n">
        <f aca="false">'Previsão de Cargas'!M12/3</f>
        <v>61.2505625635497</v>
      </c>
      <c r="H12" s="28" t="n">
        <v>5</v>
      </c>
      <c r="I12" s="119" t="n">
        <f aca="false">'Previsão de Cargas'!H12*D12/SQRT(3)</f>
        <v>15.9772720410006</v>
      </c>
      <c r="J12" s="120" t="s">
        <v>153</v>
      </c>
      <c r="K12" s="121" t="s">
        <v>154</v>
      </c>
      <c r="L12" s="121" t="n">
        <v>35</v>
      </c>
      <c r="M12" s="122" t="n">
        <v>25</v>
      </c>
      <c r="N12" s="123" t="s">
        <v>155</v>
      </c>
      <c r="O12" s="122" t="n">
        <v>35</v>
      </c>
      <c r="P12" s="124" t="n">
        <f aca="false">1.2*I12*SQRT(3)</f>
        <v>33.2081363296354</v>
      </c>
      <c r="Q12" s="125" t="s">
        <v>156</v>
      </c>
      <c r="R12" s="126" t="n">
        <v>35</v>
      </c>
      <c r="S12" s="126" t="n">
        <v>860</v>
      </c>
      <c r="T12" s="127" t="str">
        <f aca="false">IF(S12&gt;H12,"Sim","Não")</f>
        <v>Sim</v>
      </c>
      <c r="U12" s="127" t="str">
        <f aca="false">IF(R12&lt;=MIN(L12,O12),"Sim","Não")</f>
        <v>Sim</v>
      </c>
      <c r="V12" s="128"/>
      <c r="W12" s="129"/>
      <c r="X12" s="129"/>
      <c r="Y12" s="128"/>
      <c r="Z12" s="128"/>
      <c r="AA12" s="128"/>
      <c r="AB12" s="128"/>
      <c r="AC12" s="130"/>
      <c r="AD12" s="131"/>
    </row>
    <row r="13" s="132" customFormat="true" ht="23.85" hidden="false" customHeight="false" outlineLevel="0" collapsed="false">
      <c r="A13" s="27" t="str">
        <f aca="false">'Previsão de Cargas'!A13</f>
        <v>57 - TUE M8</v>
      </c>
      <c r="B13" s="71"/>
      <c r="C13" s="116" t="s">
        <v>87</v>
      </c>
      <c r="D13" s="117" t="n">
        <f aca="false">'Previsão de Cargas'!L13</f>
        <v>22.1387575530902</v>
      </c>
      <c r="E13" s="118" t="n">
        <f aca="false">'Previsão de Cargas'!D13</f>
        <v>15</v>
      </c>
      <c r="F13" s="28" t="s">
        <v>152</v>
      </c>
      <c r="G13" s="117" t="n">
        <f aca="false">'Previsão de Cargas'!M13/3</f>
        <v>61.2505625635497</v>
      </c>
      <c r="H13" s="28" t="n">
        <v>5</v>
      </c>
      <c r="I13" s="133" t="n">
        <f aca="false">'Previsão de Cargas'!H13*D13/SQRT(3)</f>
        <v>15.9772720410006</v>
      </c>
      <c r="J13" s="134" t="s">
        <v>153</v>
      </c>
      <c r="K13" s="135" t="s">
        <v>154</v>
      </c>
      <c r="L13" s="135" t="n">
        <v>35</v>
      </c>
      <c r="M13" s="122" t="n">
        <v>25</v>
      </c>
      <c r="N13" s="123" t="s">
        <v>155</v>
      </c>
      <c r="O13" s="122" t="n">
        <v>35</v>
      </c>
      <c r="P13" s="124" t="n">
        <f aca="false">1.2*I13*SQRT(3)</f>
        <v>33.2081363296354</v>
      </c>
      <c r="Q13" s="125" t="s">
        <v>156</v>
      </c>
      <c r="R13" s="126" t="n">
        <v>35</v>
      </c>
      <c r="S13" s="126" t="n">
        <v>860</v>
      </c>
      <c r="T13" s="136" t="str">
        <f aca="false">IF(S13&gt;H13,"Sim","Não")</f>
        <v>Sim</v>
      </c>
      <c r="U13" s="136" t="str">
        <f aca="false">IF(R13&lt;=MIN(L13,O13),"Sim","Não")</f>
        <v>Sim</v>
      </c>
      <c r="V13" s="128"/>
      <c r="W13" s="129"/>
      <c r="X13" s="129"/>
      <c r="Y13" s="128"/>
      <c r="Z13" s="128"/>
      <c r="AA13" s="128"/>
      <c r="AB13" s="128"/>
      <c r="AC13" s="130"/>
      <c r="AD13" s="131"/>
    </row>
    <row r="14" s="132" customFormat="true" ht="23.85" hidden="false" customHeight="true" outlineLevel="0" collapsed="false">
      <c r="A14" s="27" t="str">
        <f aca="false">'Previsão de Cargas'!A14</f>
        <v>58 - TUE M9</v>
      </c>
      <c r="B14" s="71" t="str">
        <f aca="false">'Previsão de Cargas'!B14</f>
        <v>CCM2</v>
      </c>
      <c r="C14" s="116" t="s">
        <v>88</v>
      </c>
      <c r="D14" s="117" t="n">
        <f aca="false">'Previsão de Cargas'!L14</f>
        <v>14.646873656501</v>
      </c>
      <c r="E14" s="118" t="n">
        <f aca="false">'Previsão de Cargas'!D14</f>
        <v>10</v>
      </c>
      <c r="F14" s="28" t="s">
        <v>144</v>
      </c>
      <c r="G14" s="117" t="n">
        <f aca="false">'Previsão de Cargas'!M14</f>
        <v>120.104363983308</v>
      </c>
      <c r="H14" s="28" t="n">
        <v>5</v>
      </c>
      <c r="I14" s="133" t="n">
        <f aca="false">'Previsão de Cargas'!H14*D14</f>
        <v>18.3085920706263</v>
      </c>
      <c r="J14" s="134" t="s">
        <v>157</v>
      </c>
      <c r="K14" s="135" t="s">
        <v>158</v>
      </c>
      <c r="L14" s="135" t="n">
        <v>35</v>
      </c>
      <c r="M14" s="122" t="n">
        <v>25</v>
      </c>
      <c r="N14" s="123" t="s">
        <v>159</v>
      </c>
      <c r="O14" s="122" t="n">
        <v>35</v>
      </c>
      <c r="P14" s="124" t="n">
        <f aca="false">1.2*I14</f>
        <v>21.9703104847515</v>
      </c>
      <c r="Q14" s="125" t="s">
        <v>156</v>
      </c>
      <c r="R14" s="126" t="n">
        <v>35</v>
      </c>
      <c r="S14" s="126" t="n">
        <v>8.5</v>
      </c>
      <c r="T14" s="136" t="str">
        <f aca="false">IF(S14&gt;H14,"Sim","Não")</f>
        <v>Sim</v>
      </c>
      <c r="U14" s="136" t="str">
        <f aca="false">IF(R14&lt;=MIN(L14,O14),"Sim","Não")</f>
        <v>Sim</v>
      </c>
      <c r="V14" s="128" t="n">
        <f aca="false">MAX(R14:R19)</f>
        <v>80</v>
      </c>
      <c r="W14" s="129" t="n">
        <f aca="false">SUM(D14:D19)-INDEX(D14:D19,MATCH(V14,R14:R19,0))</f>
        <v>103.18601299379</v>
      </c>
      <c r="X14" s="129" t="n">
        <f aca="false">V14+W14</f>
        <v>183.18601299379</v>
      </c>
      <c r="Y14" s="128" t="s">
        <v>160</v>
      </c>
      <c r="Z14" s="128" t="n">
        <v>200</v>
      </c>
      <c r="AA14" s="128" t="s">
        <v>161</v>
      </c>
      <c r="AB14" s="128" t="n">
        <f aca="false">Z14</f>
        <v>200</v>
      </c>
      <c r="AC14" s="130" t="s">
        <v>151</v>
      </c>
      <c r="AD14" s="131" t="n">
        <v>100</v>
      </c>
    </row>
    <row r="15" s="132" customFormat="true" ht="23.85" hidden="false" customHeight="false" outlineLevel="0" collapsed="false">
      <c r="A15" s="27" t="str">
        <f aca="false">'Previsão de Cargas'!A15</f>
        <v>59 - TUE M10</v>
      </c>
      <c r="B15" s="71"/>
      <c r="C15" s="116" t="s">
        <v>89</v>
      </c>
      <c r="D15" s="117" t="n">
        <f aca="false">'Previsão de Cargas'!L15</f>
        <v>14.646873656501</v>
      </c>
      <c r="E15" s="118" t="n">
        <f aca="false">'Previsão de Cargas'!D15</f>
        <v>10</v>
      </c>
      <c r="F15" s="28" t="s">
        <v>144</v>
      </c>
      <c r="G15" s="117" t="n">
        <f aca="false">'Previsão de Cargas'!M15</f>
        <v>120.104363983308</v>
      </c>
      <c r="H15" s="28" t="n">
        <v>5</v>
      </c>
      <c r="I15" s="119" t="n">
        <f aca="false">'Previsão de Cargas'!H15*D15</f>
        <v>18.3085920706263</v>
      </c>
      <c r="J15" s="120" t="s">
        <v>157</v>
      </c>
      <c r="K15" s="121" t="s">
        <v>158</v>
      </c>
      <c r="L15" s="121" t="n">
        <v>35</v>
      </c>
      <c r="M15" s="122" t="n">
        <v>25</v>
      </c>
      <c r="N15" s="123" t="s">
        <v>159</v>
      </c>
      <c r="O15" s="122" t="n">
        <v>35</v>
      </c>
      <c r="P15" s="124" t="n">
        <f aca="false">1.2*I15</f>
        <v>21.9703104847515</v>
      </c>
      <c r="Q15" s="125" t="s">
        <v>156</v>
      </c>
      <c r="R15" s="126" t="n">
        <v>35</v>
      </c>
      <c r="S15" s="126" t="n">
        <v>8.5</v>
      </c>
      <c r="T15" s="127" t="str">
        <f aca="false">IF(S15&gt;H15,"Sim","Não")</f>
        <v>Sim</v>
      </c>
      <c r="U15" s="127" t="str">
        <f aca="false">IF(R15&lt;=MIN(L15,O15),"Sim","Não")</f>
        <v>Sim</v>
      </c>
      <c r="V15" s="128"/>
      <c r="W15" s="129"/>
      <c r="X15" s="129"/>
      <c r="Y15" s="128"/>
      <c r="Z15" s="128"/>
      <c r="AA15" s="128"/>
      <c r="AB15" s="128"/>
      <c r="AC15" s="130"/>
      <c r="AD15" s="131"/>
    </row>
    <row r="16" s="132" customFormat="true" ht="23.85" hidden="false" customHeight="false" outlineLevel="0" collapsed="false">
      <c r="A16" s="27" t="str">
        <f aca="false">'Previsão de Cargas'!A16</f>
        <v>60 - TUE M11</v>
      </c>
      <c r="B16" s="71"/>
      <c r="C16" s="116" t="s">
        <v>90</v>
      </c>
      <c r="D16" s="117" t="n">
        <f aca="false">'Previsão de Cargas'!L16</f>
        <v>14.646873656501</v>
      </c>
      <c r="E16" s="118" t="n">
        <f aca="false">'Previsão de Cargas'!D16</f>
        <v>10</v>
      </c>
      <c r="F16" s="28" t="s">
        <v>144</v>
      </c>
      <c r="G16" s="117" t="n">
        <f aca="false">'Previsão de Cargas'!M16</f>
        <v>120.104363983308</v>
      </c>
      <c r="H16" s="28" t="n">
        <v>5</v>
      </c>
      <c r="I16" s="119" t="n">
        <f aca="false">'Previsão de Cargas'!H16*D16</f>
        <v>18.3085920706263</v>
      </c>
      <c r="J16" s="120" t="s">
        <v>157</v>
      </c>
      <c r="K16" s="121" t="s">
        <v>158</v>
      </c>
      <c r="L16" s="121" t="n">
        <v>35</v>
      </c>
      <c r="M16" s="122" t="n">
        <v>25</v>
      </c>
      <c r="N16" s="123" t="s">
        <v>159</v>
      </c>
      <c r="O16" s="122" t="n">
        <v>35</v>
      </c>
      <c r="P16" s="124" t="n">
        <f aca="false">1.2*I16</f>
        <v>21.9703104847515</v>
      </c>
      <c r="Q16" s="125" t="s">
        <v>156</v>
      </c>
      <c r="R16" s="126" t="n">
        <v>35</v>
      </c>
      <c r="S16" s="126" t="n">
        <v>8.5</v>
      </c>
      <c r="T16" s="127" t="str">
        <f aca="false">IF(S16&gt;H16,"Sim","Não")</f>
        <v>Sim</v>
      </c>
      <c r="U16" s="127" t="str">
        <f aca="false">IF(R16&lt;=MIN(L16,O16),"Sim","Não")</f>
        <v>Sim</v>
      </c>
      <c r="V16" s="128"/>
      <c r="W16" s="129"/>
      <c r="X16" s="129"/>
      <c r="Y16" s="128"/>
      <c r="Z16" s="128"/>
      <c r="AA16" s="128"/>
      <c r="AB16" s="128"/>
      <c r="AC16" s="130"/>
      <c r="AD16" s="131"/>
    </row>
    <row r="17" s="132" customFormat="true" ht="23.85" hidden="false" customHeight="false" outlineLevel="0" collapsed="false">
      <c r="A17" s="27" t="str">
        <f aca="false">'Previsão de Cargas'!A17</f>
        <v>61 - TUE M12</v>
      </c>
      <c r="B17" s="71"/>
      <c r="C17" s="116" t="s">
        <v>91</v>
      </c>
      <c r="D17" s="117" t="n">
        <f aca="false">'Previsão de Cargas'!L17</f>
        <v>14.646873656501</v>
      </c>
      <c r="E17" s="118" t="n">
        <f aca="false">'Previsão de Cargas'!D17</f>
        <v>10</v>
      </c>
      <c r="F17" s="28" t="s">
        <v>144</v>
      </c>
      <c r="G17" s="117" t="n">
        <f aca="false">'Previsão de Cargas'!M17</f>
        <v>120.104363983308</v>
      </c>
      <c r="H17" s="28" t="n">
        <v>5</v>
      </c>
      <c r="I17" s="119" t="n">
        <f aca="false">'Previsão de Cargas'!H17*D17</f>
        <v>18.3085920706263</v>
      </c>
      <c r="J17" s="120" t="s">
        <v>157</v>
      </c>
      <c r="K17" s="121" t="s">
        <v>158</v>
      </c>
      <c r="L17" s="121" t="n">
        <v>35</v>
      </c>
      <c r="M17" s="122" t="n">
        <v>25</v>
      </c>
      <c r="N17" s="123" t="s">
        <v>159</v>
      </c>
      <c r="O17" s="122" t="n">
        <v>35</v>
      </c>
      <c r="P17" s="124" t="n">
        <f aca="false">1.2*I17</f>
        <v>21.9703104847515</v>
      </c>
      <c r="Q17" s="125" t="s">
        <v>156</v>
      </c>
      <c r="R17" s="126" t="n">
        <v>35</v>
      </c>
      <c r="S17" s="126" t="n">
        <v>8.5</v>
      </c>
      <c r="T17" s="127" t="str">
        <f aca="false">IF(S17&gt;H17,"Sim","Não")</f>
        <v>Sim</v>
      </c>
      <c r="U17" s="127" t="str">
        <f aca="false">IF(R17&lt;=MIN(L17,O17),"Sim","Não")</f>
        <v>Sim</v>
      </c>
      <c r="V17" s="128"/>
      <c r="W17" s="129"/>
      <c r="X17" s="129"/>
      <c r="Y17" s="128"/>
      <c r="Z17" s="128"/>
      <c r="AA17" s="128"/>
      <c r="AB17" s="128"/>
      <c r="AC17" s="130"/>
      <c r="AD17" s="131"/>
    </row>
    <row r="18" s="132" customFormat="true" ht="23.85" hidden="false" customHeight="false" outlineLevel="0" collapsed="false">
      <c r="A18" s="27" t="str">
        <f aca="false">'Previsão de Cargas'!A18</f>
        <v>62 - TUE M13</v>
      </c>
      <c r="B18" s="71"/>
      <c r="C18" s="116" t="s">
        <v>92</v>
      </c>
      <c r="D18" s="117" t="n">
        <f aca="false">'Previsão de Cargas'!L18</f>
        <v>44.5985183677856</v>
      </c>
      <c r="E18" s="118" t="n">
        <f aca="false">'Previsão de Cargas'!D18</f>
        <v>30</v>
      </c>
      <c r="F18" s="28" t="s">
        <v>152</v>
      </c>
      <c r="G18" s="117" t="n">
        <f aca="false">'Previsão de Cargas'!M18/3</f>
        <v>118.929382314095</v>
      </c>
      <c r="H18" s="28" t="n">
        <v>5</v>
      </c>
      <c r="I18" s="119" t="n">
        <f aca="false">'Previsão de Cargas'!H18*D18/SQRT(3)</f>
        <v>32.1862082313743</v>
      </c>
      <c r="J18" s="120" t="s">
        <v>162</v>
      </c>
      <c r="K18" s="121" t="s">
        <v>163</v>
      </c>
      <c r="L18" s="121" t="n">
        <v>80</v>
      </c>
      <c r="M18" s="122" t="n">
        <v>50</v>
      </c>
      <c r="N18" s="123" t="s">
        <v>164</v>
      </c>
      <c r="O18" s="122" t="n">
        <v>80</v>
      </c>
      <c r="P18" s="124" t="n">
        <f aca="false">1.2*I18*SQRT(3)</f>
        <v>66.8977775516784</v>
      </c>
      <c r="Q18" s="125" t="s">
        <v>165</v>
      </c>
      <c r="R18" s="126" t="n">
        <v>80</v>
      </c>
      <c r="S18" s="126" t="n">
        <v>2900</v>
      </c>
      <c r="T18" s="127" t="str">
        <f aca="false">IF(S18&gt;H18,"Sim","Não")</f>
        <v>Sim</v>
      </c>
      <c r="U18" s="127" t="str">
        <f aca="false">IF(R18&lt;=MIN(L18,O18),"Sim","Não")</f>
        <v>Sim</v>
      </c>
      <c r="V18" s="128"/>
      <c r="W18" s="129"/>
      <c r="X18" s="129"/>
      <c r="Y18" s="128"/>
      <c r="Z18" s="128"/>
      <c r="AA18" s="128"/>
      <c r="AB18" s="128"/>
      <c r="AC18" s="130"/>
      <c r="AD18" s="131"/>
    </row>
    <row r="19" s="132" customFormat="true" ht="23.85" hidden="false" customHeight="false" outlineLevel="0" collapsed="false">
      <c r="A19" s="27" t="str">
        <f aca="false">'Previsão de Cargas'!A19</f>
        <v>63 - TUE M14</v>
      </c>
      <c r="B19" s="71"/>
      <c r="C19" s="116" t="s">
        <v>93</v>
      </c>
      <c r="D19" s="117" t="n">
        <f aca="false">'Previsão de Cargas'!L19</f>
        <v>44.5985183677856</v>
      </c>
      <c r="E19" s="118" t="n">
        <f aca="false">'Previsão de Cargas'!D19</f>
        <v>30</v>
      </c>
      <c r="F19" s="28" t="s">
        <v>152</v>
      </c>
      <c r="G19" s="117" t="n">
        <f aca="false">'Previsão de Cargas'!M19/3</f>
        <v>118.929382314095</v>
      </c>
      <c r="H19" s="28" t="n">
        <v>5</v>
      </c>
      <c r="I19" s="119" t="n">
        <f aca="false">'Previsão de Cargas'!H19*D19/SQRT(3)</f>
        <v>32.1862082313743</v>
      </c>
      <c r="J19" s="120" t="s">
        <v>162</v>
      </c>
      <c r="K19" s="121" t="s">
        <v>163</v>
      </c>
      <c r="L19" s="121" t="n">
        <v>80</v>
      </c>
      <c r="M19" s="122" t="n">
        <v>50</v>
      </c>
      <c r="N19" s="123" t="s">
        <v>164</v>
      </c>
      <c r="O19" s="122" t="n">
        <v>80</v>
      </c>
      <c r="P19" s="124" t="n">
        <f aca="false">1.2*I19*SQRT(3)</f>
        <v>66.8977775516784</v>
      </c>
      <c r="Q19" s="125" t="s">
        <v>165</v>
      </c>
      <c r="R19" s="126" t="n">
        <v>80</v>
      </c>
      <c r="S19" s="126" t="n">
        <v>2900</v>
      </c>
      <c r="T19" s="127" t="str">
        <f aca="false">IF(S19&gt;H19,"Sim","Não")</f>
        <v>Sim</v>
      </c>
      <c r="U19" s="127" t="str">
        <f aca="false">IF(R19&lt;=MIN(L19,O19),"Sim","Não")</f>
        <v>Sim</v>
      </c>
      <c r="V19" s="128"/>
      <c r="W19" s="129"/>
      <c r="X19" s="129"/>
      <c r="Y19" s="128"/>
      <c r="Z19" s="128"/>
      <c r="AA19" s="128"/>
      <c r="AB19" s="128"/>
      <c r="AC19" s="130"/>
      <c r="AD19" s="131"/>
    </row>
    <row r="20" s="132" customFormat="true" ht="23.85" hidden="false" customHeight="true" outlineLevel="0" collapsed="false">
      <c r="A20" s="27" t="str">
        <f aca="false">'Previsão de Cargas'!A20</f>
        <v>64 - TUE M15</v>
      </c>
      <c r="B20" s="71" t="str">
        <f aca="false">'Previsão de Cargas'!B20</f>
        <v>CCM3</v>
      </c>
      <c r="C20" s="116" t="s">
        <v>94</v>
      </c>
      <c r="D20" s="117" t="n">
        <f aca="false">'Previsão de Cargas'!L20</f>
        <v>11.9601690212848</v>
      </c>
      <c r="E20" s="118" t="n">
        <f aca="false">'Previsão de Cargas'!D20</f>
        <v>7.5</v>
      </c>
      <c r="F20" s="28" t="s">
        <v>144</v>
      </c>
      <c r="G20" s="117" t="n">
        <f aca="false">'Previsão de Cargas'!M20</f>
        <v>87.3092338553794</v>
      </c>
      <c r="H20" s="28" t="n">
        <v>5</v>
      </c>
      <c r="I20" s="119" t="n">
        <f aca="false">'Previsão de Cargas'!H20*D20</f>
        <v>14.9502112766061</v>
      </c>
      <c r="J20" s="120" t="s">
        <v>153</v>
      </c>
      <c r="K20" s="121" t="s">
        <v>154</v>
      </c>
      <c r="L20" s="121" t="n">
        <v>25</v>
      </c>
      <c r="M20" s="122" t="n">
        <v>17</v>
      </c>
      <c r="N20" s="123" t="s">
        <v>166</v>
      </c>
      <c r="O20" s="122" t="n">
        <v>25</v>
      </c>
      <c r="P20" s="124" t="n">
        <f aca="false">1.2*I20</f>
        <v>17.9402535319273</v>
      </c>
      <c r="Q20" s="125" t="s">
        <v>167</v>
      </c>
      <c r="R20" s="126" t="n">
        <v>25</v>
      </c>
      <c r="S20" s="126" t="n">
        <v>6.6</v>
      </c>
      <c r="T20" s="127" t="str">
        <f aca="false">IF(S20&gt;H20,"Sim","Não")</f>
        <v>Sim</v>
      </c>
      <c r="U20" s="127" t="str">
        <f aca="false">IF(R20&lt;=MIN(L20,O20),"Sim","Não")</f>
        <v>Sim</v>
      </c>
      <c r="V20" s="128" t="n">
        <f aca="false">MAX(R20:R27)</f>
        <v>100</v>
      </c>
      <c r="W20" s="129" t="n">
        <f aca="false">SUM(D20:D27)-INDEX(D20:D27,MATCH(V20,R20:R27,0))</f>
        <v>165.042754574212</v>
      </c>
      <c r="X20" s="129" t="n">
        <f aca="false">V20+W20</f>
        <v>265.042754574212</v>
      </c>
      <c r="Y20" s="128" t="s">
        <v>168</v>
      </c>
      <c r="Z20" s="128" t="n">
        <v>300</v>
      </c>
      <c r="AA20" s="128" t="s">
        <v>169</v>
      </c>
      <c r="AB20" s="128" t="n">
        <f aca="false">Z20</f>
        <v>300</v>
      </c>
      <c r="AC20" s="130" t="s">
        <v>151</v>
      </c>
      <c r="AD20" s="131" t="n">
        <v>160</v>
      </c>
    </row>
    <row r="21" s="132" customFormat="true" ht="23.85" hidden="false" customHeight="false" outlineLevel="0" collapsed="false">
      <c r="A21" s="27" t="str">
        <f aca="false">'Previsão de Cargas'!A21</f>
        <v>65 - TUE M16</v>
      </c>
      <c r="B21" s="71"/>
      <c r="C21" s="116" t="s">
        <v>95</v>
      </c>
      <c r="D21" s="117" t="n">
        <f aca="false">'Previsão de Cargas'!L21</f>
        <v>11.9601690212848</v>
      </c>
      <c r="E21" s="118" t="n">
        <f aca="false">'Previsão de Cargas'!D21</f>
        <v>7.5</v>
      </c>
      <c r="F21" s="28" t="s">
        <v>144</v>
      </c>
      <c r="G21" s="117" t="n">
        <f aca="false">'Previsão de Cargas'!M21</f>
        <v>87.3092338553794</v>
      </c>
      <c r="H21" s="28" t="n">
        <v>5</v>
      </c>
      <c r="I21" s="119" t="n">
        <f aca="false">'Previsão de Cargas'!H21*D21</f>
        <v>14.9502112766061</v>
      </c>
      <c r="J21" s="120" t="s">
        <v>153</v>
      </c>
      <c r="K21" s="121" t="s">
        <v>154</v>
      </c>
      <c r="L21" s="121" t="n">
        <v>25</v>
      </c>
      <c r="M21" s="122" t="n">
        <v>17</v>
      </c>
      <c r="N21" s="123" t="s">
        <v>166</v>
      </c>
      <c r="O21" s="122" t="n">
        <v>25</v>
      </c>
      <c r="P21" s="124" t="n">
        <f aca="false">1.2*I21</f>
        <v>17.9402535319273</v>
      </c>
      <c r="Q21" s="125" t="s">
        <v>167</v>
      </c>
      <c r="R21" s="126" t="n">
        <v>25</v>
      </c>
      <c r="S21" s="126" t="n">
        <v>6.6</v>
      </c>
      <c r="T21" s="127" t="str">
        <f aca="false">IF(S21&gt;H21,"Sim","Não")</f>
        <v>Sim</v>
      </c>
      <c r="U21" s="127" t="str">
        <f aca="false">IF(R21&lt;=MIN(L21,O21),"Sim","Não")</f>
        <v>Sim</v>
      </c>
      <c r="V21" s="128"/>
      <c r="W21" s="129"/>
      <c r="X21" s="129"/>
      <c r="Y21" s="128"/>
      <c r="Z21" s="128"/>
      <c r="AA21" s="128"/>
      <c r="AB21" s="128"/>
      <c r="AC21" s="130"/>
      <c r="AD21" s="131"/>
    </row>
    <row r="22" s="132" customFormat="true" ht="23.85" hidden="false" customHeight="false" outlineLevel="0" collapsed="false">
      <c r="A22" s="27" t="str">
        <f aca="false">'Previsão de Cargas'!A22</f>
        <v>66 - TUE M17</v>
      </c>
      <c r="B22" s="71"/>
      <c r="C22" s="116" t="s">
        <v>96</v>
      </c>
      <c r="D22" s="117" t="n">
        <f aca="false">'Previsão de Cargas'!L22</f>
        <v>11.9601690212848</v>
      </c>
      <c r="E22" s="118" t="n">
        <f aca="false">'Previsão de Cargas'!D22</f>
        <v>7.5</v>
      </c>
      <c r="F22" s="28" t="s">
        <v>144</v>
      </c>
      <c r="G22" s="117" t="n">
        <f aca="false">'Previsão de Cargas'!M22</f>
        <v>87.3092338553794</v>
      </c>
      <c r="H22" s="28" t="n">
        <v>5</v>
      </c>
      <c r="I22" s="119" t="n">
        <f aca="false">'Previsão de Cargas'!H22*D22</f>
        <v>14.9502112766061</v>
      </c>
      <c r="J22" s="120" t="s">
        <v>153</v>
      </c>
      <c r="K22" s="121" t="s">
        <v>154</v>
      </c>
      <c r="L22" s="121" t="n">
        <v>25</v>
      </c>
      <c r="M22" s="122" t="n">
        <v>17</v>
      </c>
      <c r="N22" s="123" t="s">
        <v>166</v>
      </c>
      <c r="O22" s="122" t="n">
        <v>25</v>
      </c>
      <c r="P22" s="124" t="n">
        <f aca="false">1.2*I22</f>
        <v>17.9402535319273</v>
      </c>
      <c r="Q22" s="125" t="s">
        <v>167</v>
      </c>
      <c r="R22" s="126" t="n">
        <v>25</v>
      </c>
      <c r="S22" s="126" t="n">
        <v>6.6</v>
      </c>
      <c r="T22" s="127" t="str">
        <f aca="false">IF(S22&gt;H22,"Sim","Não")</f>
        <v>Sim</v>
      </c>
      <c r="U22" s="127" t="str">
        <f aca="false">IF(R22&lt;=MIN(L22,O22),"Sim","Não")</f>
        <v>Sim</v>
      </c>
      <c r="V22" s="128"/>
      <c r="W22" s="129"/>
      <c r="X22" s="129"/>
      <c r="Y22" s="128"/>
      <c r="Z22" s="128"/>
      <c r="AA22" s="128"/>
      <c r="AB22" s="128"/>
      <c r="AC22" s="130"/>
      <c r="AD22" s="131"/>
    </row>
    <row r="23" s="132" customFormat="true" ht="23.85" hidden="false" customHeight="false" outlineLevel="0" collapsed="false">
      <c r="A23" s="27" t="str">
        <f aca="false">'Previsão de Cargas'!A23</f>
        <v>67 - TUE M18</v>
      </c>
      <c r="B23" s="71"/>
      <c r="C23" s="116" t="s">
        <v>97</v>
      </c>
      <c r="D23" s="117" t="n">
        <f aca="false">'Previsão de Cargas'!L23</f>
        <v>11.9601690212848</v>
      </c>
      <c r="E23" s="118" t="n">
        <f aca="false">'Previsão de Cargas'!D23</f>
        <v>7.5</v>
      </c>
      <c r="F23" s="28" t="s">
        <v>144</v>
      </c>
      <c r="G23" s="117" t="n">
        <f aca="false">'Previsão de Cargas'!M23</f>
        <v>87.3092338553794</v>
      </c>
      <c r="H23" s="28" t="n">
        <v>5</v>
      </c>
      <c r="I23" s="119" t="n">
        <f aca="false">'Previsão de Cargas'!H23*D23</f>
        <v>14.9502112766061</v>
      </c>
      <c r="J23" s="120" t="s">
        <v>153</v>
      </c>
      <c r="K23" s="121" t="s">
        <v>154</v>
      </c>
      <c r="L23" s="121" t="n">
        <v>25</v>
      </c>
      <c r="M23" s="122" t="n">
        <v>17</v>
      </c>
      <c r="N23" s="123" t="s">
        <v>166</v>
      </c>
      <c r="O23" s="122" t="n">
        <v>25</v>
      </c>
      <c r="P23" s="124" t="n">
        <f aca="false">1.2*I23</f>
        <v>17.9402535319273</v>
      </c>
      <c r="Q23" s="125" t="s">
        <v>167</v>
      </c>
      <c r="R23" s="126" t="n">
        <v>25</v>
      </c>
      <c r="S23" s="126" t="n">
        <v>6.6</v>
      </c>
      <c r="T23" s="127" t="str">
        <f aca="false">IF(S23&gt;H23,"Sim","Não")</f>
        <v>Sim</v>
      </c>
      <c r="U23" s="127" t="str">
        <f aca="false">IF(R23&lt;=MIN(L23,O23),"Sim","Não")</f>
        <v>Sim</v>
      </c>
      <c r="V23" s="128"/>
      <c r="W23" s="129"/>
      <c r="X23" s="129"/>
      <c r="Y23" s="128"/>
      <c r="Z23" s="128"/>
      <c r="AA23" s="128"/>
      <c r="AB23" s="128"/>
      <c r="AC23" s="130"/>
      <c r="AD23" s="131"/>
    </row>
    <row r="24" s="132" customFormat="true" ht="23.85" hidden="false" customHeight="false" outlineLevel="0" collapsed="false">
      <c r="A24" s="27" t="str">
        <f aca="false">'Previsão de Cargas'!A24</f>
        <v>68 - TUE M19</v>
      </c>
      <c r="B24" s="71"/>
      <c r="C24" s="116" t="s">
        <v>98</v>
      </c>
      <c r="D24" s="117" t="n">
        <f aca="false">'Previsão de Cargas'!L24</f>
        <v>30.052048219153</v>
      </c>
      <c r="E24" s="118" t="n">
        <f aca="false">'Previsão de Cargas'!D24</f>
        <v>20</v>
      </c>
      <c r="F24" s="28" t="s">
        <v>152</v>
      </c>
      <c r="G24" s="117" t="n">
        <f aca="false">'Previsão de Cargas'!M24/3</f>
        <v>90.156144657459</v>
      </c>
      <c r="H24" s="28" t="n">
        <v>5</v>
      </c>
      <c r="I24" s="119" t="n">
        <f aca="false">'Previsão de Cargas'!H24*D24/SQRT(3)</f>
        <v>21.6881976612845</v>
      </c>
      <c r="J24" s="120" t="s">
        <v>170</v>
      </c>
      <c r="K24" s="121" t="s">
        <v>171</v>
      </c>
      <c r="L24" s="121" t="n">
        <v>63</v>
      </c>
      <c r="M24" s="122" t="n">
        <v>32</v>
      </c>
      <c r="N24" s="123" t="s">
        <v>172</v>
      </c>
      <c r="O24" s="122" t="n">
        <v>63</v>
      </c>
      <c r="P24" s="124" t="n">
        <f aca="false">1.2*I24*SQRT(3)</f>
        <v>45.0780723287295</v>
      </c>
      <c r="Q24" s="125" t="s">
        <v>173</v>
      </c>
      <c r="R24" s="126" t="n">
        <v>50</v>
      </c>
      <c r="S24" s="126" t="n">
        <v>880</v>
      </c>
      <c r="T24" s="127" t="str">
        <f aca="false">IF(S24&gt;H24,"Sim","Não")</f>
        <v>Sim</v>
      </c>
      <c r="U24" s="127" t="str">
        <f aca="false">IF(R24&lt;=MIN(L24,O24),"Sim","Não")</f>
        <v>Sim</v>
      </c>
      <c r="V24" s="128"/>
      <c r="W24" s="129"/>
      <c r="X24" s="129"/>
      <c r="Y24" s="128"/>
      <c r="Z24" s="128"/>
      <c r="AA24" s="128"/>
      <c r="AB24" s="128"/>
      <c r="AC24" s="130"/>
      <c r="AD24" s="131"/>
    </row>
    <row r="25" s="132" customFormat="true" ht="23.85" hidden="false" customHeight="false" outlineLevel="0" collapsed="false">
      <c r="A25" s="27" t="str">
        <f aca="false">'Previsão de Cargas'!A25</f>
        <v>69 - TUE M20</v>
      </c>
      <c r="B25" s="71"/>
      <c r="C25" s="116" t="s">
        <v>99</v>
      </c>
      <c r="D25" s="117" t="n">
        <f aca="false">'Previsão de Cargas'!L25</f>
        <v>30.052048219153</v>
      </c>
      <c r="E25" s="118" t="n">
        <f aca="false">'Previsão de Cargas'!D25</f>
        <v>20</v>
      </c>
      <c r="F25" s="28" t="s">
        <v>152</v>
      </c>
      <c r="G25" s="117" t="n">
        <f aca="false">'Previsão de Cargas'!M25/3</f>
        <v>90.156144657459</v>
      </c>
      <c r="H25" s="28" t="n">
        <v>5</v>
      </c>
      <c r="I25" s="119" t="n">
        <f aca="false">'Previsão de Cargas'!H25*D25/SQRT(3)</f>
        <v>21.6881976612845</v>
      </c>
      <c r="J25" s="120" t="s">
        <v>170</v>
      </c>
      <c r="K25" s="121" t="s">
        <v>171</v>
      </c>
      <c r="L25" s="121" t="n">
        <v>63</v>
      </c>
      <c r="M25" s="122" t="n">
        <v>32</v>
      </c>
      <c r="N25" s="123" t="s">
        <v>172</v>
      </c>
      <c r="O25" s="122" t="n">
        <v>63</v>
      </c>
      <c r="P25" s="124" t="n">
        <f aca="false">1.2*I25*SQRT(3)</f>
        <v>45.0780723287295</v>
      </c>
      <c r="Q25" s="125" t="s">
        <v>173</v>
      </c>
      <c r="R25" s="126" t="n">
        <v>50</v>
      </c>
      <c r="S25" s="126" t="n">
        <v>880</v>
      </c>
      <c r="T25" s="127" t="str">
        <f aca="false">IF(S25&gt;H25,"Sim","Não")</f>
        <v>Sim</v>
      </c>
      <c r="U25" s="127" t="str">
        <f aca="false">IF(R25&lt;=MIN(L25,O25),"Sim","Não")</f>
        <v>Sim</v>
      </c>
      <c r="V25" s="128"/>
      <c r="W25" s="129"/>
      <c r="X25" s="129"/>
      <c r="Y25" s="128"/>
      <c r="Z25" s="128"/>
      <c r="AA25" s="128"/>
      <c r="AB25" s="128"/>
      <c r="AC25" s="130"/>
      <c r="AD25" s="131"/>
    </row>
    <row r="26" s="132" customFormat="true" ht="23.85" hidden="false" customHeight="false" outlineLevel="0" collapsed="false">
      <c r="A26" s="27" t="str">
        <f aca="false">'Previsão de Cargas'!A26</f>
        <v>70 - TUE M21</v>
      </c>
      <c r="B26" s="71"/>
      <c r="C26" s="116" t="s">
        <v>100</v>
      </c>
      <c r="D26" s="117" t="n">
        <f aca="false">'Previsão de Cargas'!L26</f>
        <v>57.0979820507666</v>
      </c>
      <c r="E26" s="118" t="n">
        <f aca="false">'Previsão de Cargas'!D26</f>
        <v>40</v>
      </c>
      <c r="F26" s="28" t="s">
        <v>152</v>
      </c>
      <c r="G26" s="117" t="n">
        <f aca="false">'Previsão de Cargas'!M26/3</f>
        <v>133.228624785122</v>
      </c>
      <c r="H26" s="28" t="n">
        <v>5</v>
      </c>
      <c r="I26" s="119" t="n">
        <f aca="false">'Previsão de Cargas'!H26*D26/SQRT(3)</f>
        <v>41.2069191339932</v>
      </c>
      <c r="J26" s="120" t="s">
        <v>174</v>
      </c>
      <c r="K26" s="121" t="s">
        <v>175</v>
      </c>
      <c r="L26" s="121" t="n">
        <v>125</v>
      </c>
      <c r="M26" s="122" t="n">
        <v>65</v>
      </c>
      <c r="N26" s="123" t="s">
        <v>176</v>
      </c>
      <c r="O26" s="122" t="n">
        <v>125</v>
      </c>
      <c r="P26" s="124" t="n">
        <f aca="false">1.2*I26*SQRT(3)</f>
        <v>85.64697307615</v>
      </c>
      <c r="Q26" s="125" t="s">
        <v>177</v>
      </c>
      <c r="R26" s="126" t="n">
        <v>100</v>
      </c>
      <c r="S26" s="126" t="n">
        <v>3000</v>
      </c>
      <c r="T26" s="127" t="str">
        <f aca="false">IF(S26&gt;H26,"Sim","Não")</f>
        <v>Sim</v>
      </c>
      <c r="U26" s="127" t="str">
        <f aca="false">IF(R26&lt;=MIN(L26,O26),"Sim","Não")</f>
        <v>Sim</v>
      </c>
      <c r="V26" s="128"/>
      <c r="W26" s="129"/>
      <c r="X26" s="129"/>
      <c r="Y26" s="128"/>
      <c r="Z26" s="128"/>
      <c r="AA26" s="128"/>
      <c r="AB26" s="128"/>
      <c r="AC26" s="130"/>
      <c r="AD26" s="131"/>
    </row>
    <row r="27" s="132" customFormat="true" ht="23.85" hidden="false" customHeight="false" outlineLevel="0" collapsed="false">
      <c r="A27" s="27" t="str">
        <f aca="false">'Previsão de Cargas'!A27</f>
        <v>71 - TUE M22</v>
      </c>
      <c r="B27" s="71"/>
      <c r="C27" s="116" t="s">
        <v>101</v>
      </c>
      <c r="D27" s="117" t="n">
        <f aca="false">'Previsão de Cargas'!L27</f>
        <v>57.0979820507666</v>
      </c>
      <c r="E27" s="118" t="n">
        <f aca="false">'Previsão de Cargas'!D27</f>
        <v>40</v>
      </c>
      <c r="F27" s="28" t="s">
        <v>152</v>
      </c>
      <c r="G27" s="117" t="n">
        <f aca="false">'Previsão de Cargas'!M27/3</f>
        <v>133.228624785122</v>
      </c>
      <c r="H27" s="28" t="n">
        <v>5</v>
      </c>
      <c r="I27" s="119" t="n">
        <f aca="false">'Previsão de Cargas'!H27*D27/SQRT(3)</f>
        <v>41.2069191339932</v>
      </c>
      <c r="J27" s="120" t="s">
        <v>174</v>
      </c>
      <c r="K27" s="121" t="s">
        <v>175</v>
      </c>
      <c r="L27" s="121" t="n">
        <v>125</v>
      </c>
      <c r="M27" s="122" t="n">
        <v>65</v>
      </c>
      <c r="N27" s="123" t="s">
        <v>176</v>
      </c>
      <c r="O27" s="122" t="n">
        <v>125</v>
      </c>
      <c r="P27" s="124" t="n">
        <f aca="false">1.2*I27*SQRT(3)</f>
        <v>85.64697307615</v>
      </c>
      <c r="Q27" s="125" t="s">
        <v>177</v>
      </c>
      <c r="R27" s="126" t="n">
        <v>100</v>
      </c>
      <c r="S27" s="126" t="n">
        <v>3000</v>
      </c>
      <c r="T27" s="127" t="str">
        <f aca="false">IF(S27&gt;H27,"Sim","Não")</f>
        <v>Sim</v>
      </c>
      <c r="U27" s="127" t="str">
        <f aca="false">IF(R27&lt;=MIN(L27,O27),"Sim","Não")</f>
        <v>Sim</v>
      </c>
      <c r="V27" s="128"/>
      <c r="W27" s="129"/>
      <c r="X27" s="129"/>
      <c r="Y27" s="128"/>
      <c r="Z27" s="128"/>
      <c r="AA27" s="128"/>
      <c r="AB27" s="128"/>
      <c r="AC27" s="130"/>
      <c r="AD27" s="131"/>
    </row>
    <row r="28" s="132" customFormat="true" ht="76.1" hidden="false" customHeight="true" outlineLevel="0" collapsed="false">
      <c r="A28" s="27" t="str">
        <f aca="false">'Previsão de Cargas'!A28</f>
        <v>72 - TUE M23</v>
      </c>
      <c r="B28" s="71" t="str">
        <f aca="false">'Previsão de Cargas'!B28</f>
        <v>CCM4</v>
      </c>
      <c r="C28" s="116" t="s">
        <v>102</v>
      </c>
      <c r="D28" s="117" t="n">
        <f aca="false">'Previsão de Cargas'!L28</f>
        <v>102.283524558519</v>
      </c>
      <c r="E28" s="118" t="n">
        <f aca="false">'Previsão de Cargas'!D28</f>
        <v>75</v>
      </c>
      <c r="F28" s="28" t="s">
        <v>178</v>
      </c>
      <c r="G28" s="117" t="n">
        <f aca="false">'Previsão de Cargas'!M28</f>
        <v>767.126434188895</v>
      </c>
      <c r="H28" s="28" t="n">
        <v>5</v>
      </c>
      <c r="I28" s="137" t="s">
        <v>179</v>
      </c>
      <c r="J28" s="137"/>
      <c r="K28" s="137"/>
      <c r="L28" s="137"/>
      <c r="M28" s="122" t="n">
        <v>150</v>
      </c>
      <c r="N28" s="123" t="s">
        <v>180</v>
      </c>
      <c r="O28" s="122" t="n">
        <v>315</v>
      </c>
      <c r="P28" s="131" t="s">
        <v>181</v>
      </c>
      <c r="Q28" s="125" t="s">
        <v>182</v>
      </c>
      <c r="R28" s="126" t="n">
        <v>400</v>
      </c>
      <c r="S28" s="138" t="s">
        <v>181</v>
      </c>
      <c r="T28" s="139" t="s">
        <v>183</v>
      </c>
      <c r="U28" s="139" t="s">
        <v>184</v>
      </c>
      <c r="V28" s="128" t="n">
        <f aca="false">MAX(R28:R29)</f>
        <v>400</v>
      </c>
      <c r="W28" s="129" t="n">
        <f aca="false">SUM(D28:D29)-INDEX(D28:D29,MATCH(V28,R28:R29,0))</f>
        <v>102.283524558519</v>
      </c>
      <c r="X28" s="129" t="n">
        <f aca="false">V28+W28</f>
        <v>502.283524558519</v>
      </c>
      <c r="Y28" s="128" t="s">
        <v>185</v>
      </c>
      <c r="Z28" s="128" t="n">
        <v>630</v>
      </c>
      <c r="AA28" s="128" t="s">
        <v>186</v>
      </c>
      <c r="AB28" s="128" t="n">
        <f aca="false">Z28</f>
        <v>630</v>
      </c>
      <c r="AC28" s="130" t="s">
        <v>151</v>
      </c>
      <c r="AD28" s="131" t="n">
        <v>200</v>
      </c>
    </row>
    <row r="29" s="132" customFormat="true" ht="76.1" hidden="false" customHeight="true" outlineLevel="0" collapsed="false">
      <c r="A29" s="27" t="str">
        <f aca="false">'Previsão de Cargas'!A29</f>
        <v>73 - TUE M24</v>
      </c>
      <c r="B29" s="71"/>
      <c r="C29" s="116" t="s">
        <v>105</v>
      </c>
      <c r="D29" s="117" t="n">
        <f aca="false">'Previsão de Cargas'!L29</f>
        <v>102.283524558519</v>
      </c>
      <c r="E29" s="118" t="n">
        <f aca="false">'Previsão de Cargas'!D29</f>
        <v>75</v>
      </c>
      <c r="F29" s="28" t="s">
        <v>178</v>
      </c>
      <c r="G29" s="117" t="n">
        <f aca="false">'Previsão de Cargas'!M29</f>
        <v>767.126434188895</v>
      </c>
      <c r="H29" s="28" t="n">
        <v>5</v>
      </c>
      <c r="I29" s="137" t="s">
        <v>179</v>
      </c>
      <c r="J29" s="137"/>
      <c r="K29" s="137"/>
      <c r="L29" s="137"/>
      <c r="M29" s="122" t="n">
        <v>150</v>
      </c>
      <c r="N29" s="123" t="s">
        <v>180</v>
      </c>
      <c r="O29" s="122" t="n">
        <v>315</v>
      </c>
      <c r="P29" s="131" t="s">
        <v>181</v>
      </c>
      <c r="Q29" s="125" t="s">
        <v>182</v>
      </c>
      <c r="R29" s="126" t="n">
        <v>400</v>
      </c>
      <c r="S29" s="138" t="s">
        <v>181</v>
      </c>
      <c r="T29" s="139" t="s">
        <v>183</v>
      </c>
      <c r="U29" s="139" t="s">
        <v>184</v>
      </c>
      <c r="V29" s="128"/>
      <c r="W29" s="129"/>
      <c r="X29" s="129"/>
      <c r="Y29" s="128"/>
      <c r="Z29" s="128"/>
      <c r="AA29" s="128"/>
      <c r="AB29" s="128"/>
      <c r="AC29" s="130"/>
      <c r="AD29" s="131"/>
    </row>
    <row r="30" customFormat="false" ht="23.85" hidden="false" customHeight="true" outlineLevel="0" collapsed="false">
      <c r="A30" s="27" t="str">
        <f aca="false">'Previsão de Cargas'!O6</f>
        <v>Alimentador QD1</v>
      </c>
      <c r="B30" s="28" t="s">
        <v>26</v>
      </c>
      <c r="C30" s="28" t="s">
        <v>27</v>
      </c>
      <c r="D30" s="117" t="n">
        <f aca="false">'Previsão de Cargas'!U6</f>
        <v>120.965390062164</v>
      </c>
      <c r="E30" s="140"/>
      <c r="F30" s="141"/>
      <c r="G30" s="142"/>
      <c r="H30" s="141"/>
      <c r="I30" s="143"/>
      <c r="J30" s="143"/>
      <c r="K30" s="143"/>
      <c r="L30" s="143"/>
      <c r="M30" s="131"/>
      <c r="N30" s="131"/>
      <c r="O30" s="131"/>
      <c r="P30" s="138"/>
      <c r="Q30" s="138"/>
      <c r="R30" s="138"/>
      <c r="S30" s="138"/>
      <c r="T30" s="138"/>
      <c r="U30" s="138"/>
      <c r="V30" s="144"/>
      <c r="W30" s="144"/>
      <c r="X30" s="144"/>
      <c r="Y30" s="144"/>
      <c r="Z30" s="144"/>
      <c r="AA30" s="144"/>
      <c r="AB30" s="144"/>
      <c r="AC30" s="145" t="s">
        <v>187</v>
      </c>
      <c r="AD30" s="146" t="n">
        <v>125</v>
      </c>
    </row>
    <row r="31" customFormat="false" ht="23.85" hidden="false" customHeight="false" outlineLevel="0" collapsed="false">
      <c r="A31" s="27" t="str">
        <f aca="false">'Previsão de Cargas'!O7</f>
        <v>Alimentador QD2</v>
      </c>
      <c r="B31" s="28"/>
      <c r="C31" s="28" t="s">
        <v>30</v>
      </c>
      <c r="D31" s="117" t="n">
        <f aca="false">'Previsão de Cargas'!U7</f>
        <v>161.924544707008</v>
      </c>
      <c r="E31" s="140"/>
      <c r="F31" s="141"/>
      <c r="G31" s="142"/>
      <c r="H31" s="141"/>
      <c r="I31" s="143"/>
      <c r="J31" s="143"/>
      <c r="K31" s="143"/>
      <c r="L31" s="143"/>
      <c r="M31" s="131"/>
      <c r="N31" s="131"/>
      <c r="O31" s="131"/>
      <c r="P31" s="138"/>
      <c r="Q31" s="138"/>
      <c r="R31" s="138"/>
      <c r="S31" s="138"/>
      <c r="T31" s="138"/>
      <c r="U31" s="138"/>
      <c r="V31" s="144"/>
      <c r="W31" s="144"/>
      <c r="X31" s="144"/>
      <c r="Y31" s="144"/>
      <c r="Z31" s="144"/>
      <c r="AA31" s="144"/>
      <c r="AB31" s="144"/>
      <c r="AC31" s="145" t="s">
        <v>187</v>
      </c>
      <c r="AD31" s="146" t="n">
        <v>200</v>
      </c>
    </row>
    <row r="32" customFormat="false" ht="23.85" hidden="false" customHeight="false" outlineLevel="0" collapsed="false">
      <c r="A32" s="27" t="str">
        <f aca="false">'Previsão de Cargas'!O8</f>
        <v>Alimentador QD3</v>
      </c>
      <c r="B32" s="28"/>
      <c r="C32" s="28" t="s">
        <v>33</v>
      </c>
      <c r="D32" s="117" t="n">
        <f aca="false">'Previsão de Cargas'!U8</f>
        <v>42.5450585552223</v>
      </c>
      <c r="E32" s="140"/>
      <c r="F32" s="141"/>
      <c r="G32" s="142"/>
      <c r="H32" s="141"/>
      <c r="I32" s="143"/>
      <c r="J32" s="143"/>
      <c r="K32" s="143"/>
      <c r="L32" s="143"/>
      <c r="M32" s="131"/>
      <c r="N32" s="131"/>
      <c r="O32" s="131"/>
      <c r="P32" s="138"/>
      <c r="Q32" s="138"/>
      <c r="R32" s="138"/>
      <c r="S32" s="138"/>
      <c r="T32" s="138"/>
      <c r="U32" s="138"/>
      <c r="V32" s="144"/>
      <c r="W32" s="144"/>
      <c r="X32" s="144"/>
      <c r="Y32" s="144"/>
      <c r="Z32" s="144"/>
      <c r="AA32" s="144"/>
      <c r="AB32" s="144"/>
      <c r="AC32" s="145" t="s">
        <v>187</v>
      </c>
      <c r="AD32" s="146" t="n">
        <v>50</v>
      </c>
    </row>
    <row r="33" customFormat="false" ht="23.85" hidden="false" customHeight="false" outlineLevel="0" collapsed="false">
      <c r="A33" s="27" t="str">
        <f aca="false">'Previsão de Cargas'!O9</f>
        <v>Alimentador QD4</v>
      </c>
      <c r="B33" s="28"/>
      <c r="C33" s="28" t="s">
        <v>36</v>
      </c>
      <c r="D33" s="117" t="n">
        <f aca="false">'Previsão de Cargas'!U9</f>
        <v>53.0234538328167</v>
      </c>
      <c r="E33" s="140"/>
      <c r="F33" s="141"/>
      <c r="G33" s="142"/>
      <c r="H33" s="141"/>
      <c r="I33" s="143"/>
      <c r="J33" s="143"/>
      <c r="K33" s="143"/>
      <c r="L33" s="143"/>
      <c r="M33" s="131"/>
      <c r="N33" s="131"/>
      <c r="O33" s="131"/>
      <c r="P33" s="138"/>
      <c r="Q33" s="138"/>
      <c r="R33" s="138"/>
      <c r="S33" s="138"/>
      <c r="T33" s="138"/>
      <c r="U33" s="138"/>
      <c r="V33" s="144"/>
      <c r="W33" s="144"/>
      <c r="X33" s="144"/>
      <c r="Y33" s="144"/>
      <c r="Z33" s="144"/>
      <c r="AA33" s="144"/>
      <c r="AB33" s="144"/>
      <c r="AC33" s="145" t="s">
        <v>187</v>
      </c>
      <c r="AD33" s="146" t="n">
        <v>63</v>
      </c>
    </row>
    <row r="34" customFormat="false" ht="12" hidden="false" customHeight="false" outlineLevel="0" collapsed="false">
      <c r="A34" s="53"/>
      <c r="B34" s="54"/>
      <c r="C34" s="55"/>
      <c r="D34" s="55"/>
      <c r="E34" s="55"/>
      <c r="F34" s="54"/>
      <c r="G34" s="147"/>
      <c r="I34" s="148"/>
      <c r="J34" s="148"/>
      <c r="K34" s="148"/>
      <c r="L34" s="148"/>
      <c r="M34" s="57"/>
      <c r="N34" s="57"/>
      <c r="O34" s="57"/>
      <c r="P34" s="149"/>
      <c r="Q34" s="149"/>
      <c r="R34" s="149"/>
      <c r="S34" s="149"/>
      <c r="T34" s="149"/>
      <c r="U34" s="149"/>
      <c r="V34" s="150"/>
      <c r="W34" s="150"/>
      <c r="X34" s="150"/>
      <c r="Y34" s="150"/>
      <c r="Z34" s="150"/>
      <c r="AA34" s="150"/>
      <c r="AB34" s="150"/>
      <c r="AC34" s="150"/>
      <c r="AD34" s="150"/>
    </row>
    <row r="35" customFormat="false" ht="12" hidden="false" customHeight="false" outlineLevel="0" collapsed="false">
      <c r="A35" s="53"/>
      <c r="B35" s="54"/>
      <c r="C35" s="55"/>
      <c r="D35" s="55"/>
      <c r="E35" s="55"/>
      <c r="F35" s="54"/>
      <c r="G35" s="147"/>
      <c r="I35" s="148"/>
      <c r="J35" s="148"/>
      <c r="K35" s="148"/>
      <c r="L35" s="148"/>
      <c r="M35" s="57"/>
      <c r="N35" s="57"/>
      <c r="O35" s="57"/>
      <c r="P35" s="149"/>
      <c r="Q35" s="149"/>
      <c r="R35" s="149"/>
      <c r="S35" s="149"/>
      <c r="T35" s="149"/>
      <c r="U35" s="149"/>
      <c r="V35" s="150"/>
      <c r="W35" s="150"/>
      <c r="X35" s="150"/>
      <c r="Y35" s="150"/>
      <c r="Z35" s="150"/>
      <c r="AA35" s="150"/>
      <c r="AB35" s="150"/>
      <c r="AC35" s="150"/>
      <c r="AD35" s="150"/>
    </row>
    <row r="36" customFormat="false" ht="12" hidden="false" customHeight="false" outlineLevel="0" collapsed="false">
      <c r="A36" s="53"/>
      <c r="B36" s="54"/>
      <c r="C36" s="55"/>
      <c r="D36" s="55"/>
      <c r="E36" s="55"/>
      <c r="F36" s="54"/>
      <c r="G36" s="147"/>
      <c r="I36" s="148"/>
      <c r="J36" s="148"/>
      <c r="K36" s="148"/>
      <c r="L36" s="148"/>
      <c r="M36" s="57"/>
      <c r="N36" s="57"/>
      <c r="O36" s="57"/>
      <c r="P36" s="149"/>
      <c r="Q36" s="149"/>
      <c r="R36" s="149"/>
      <c r="S36" s="149"/>
      <c r="T36" s="149"/>
      <c r="U36" s="149"/>
      <c r="V36" s="150"/>
      <c r="W36" s="150"/>
      <c r="X36" s="150"/>
      <c r="Y36" s="150"/>
      <c r="Z36" s="150"/>
      <c r="AA36" s="150"/>
      <c r="AB36" s="150"/>
      <c r="AC36" s="150"/>
      <c r="AD36" s="150"/>
    </row>
    <row r="37" customFormat="false" ht="12" hidden="false" customHeight="false" outlineLevel="0" collapsed="false">
      <c r="A37" s="53"/>
      <c r="B37" s="54"/>
      <c r="C37" s="55"/>
      <c r="D37" s="55"/>
      <c r="E37" s="55"/>
      <c r="F37" s="54"/>
      <c r="G37" s="147"/>
      <c r="I37" s="148"/>
      <c r="J37" s="148"/>
      <c r="K37" s="148"/>
      <c r="L37" s="148"/>
      <c r="M37" s="57"/>
      <c r="N37" s="57"/>
      <c r="O37" s="57"/>
      <c r="P37" s="149"/>
      <c r="Q37" s="149"/>
      <c r="R37" s="149"/>
      <c r="S37" s="149"/>
      <c r="T37" s="149"/>
      <c r="U37" s="149"/>
      <c r="V37" s="150"/>
      <c r="W37" s="150"/>
      <c r="X37" s="150"/>
      <c r="Y37" s="150"/>
      <c r="Z37" s="150"/>
      <c r="AA37" s="150"/>
      <c r="AB37" s="150"/>
      <c r="AC37" s="150"/>
      <c r="AD37" s="150"/>
    </row>
    <row r="38" customFormat="false" ht="12" hidden="false" customHeight="false" outlineLevel="0" collapsed="false">
      <c r="A38" s="53"/>
      <c r="B38" s="54"/>
      <c r="C38" s="55"/>
      <c r="D38" s="55"/>
      <c r="E38" s="55"/>
      <c r="F38" s="54"/>
      <c r="G38" s="147"/>
      <c r="I38" s="148"/>
      <c r="J38" s="148"/>
      <c r="K38" s="148"/>
      <c r="L38" s="148"/>
      <c r="M38" s="57"/>
      <c r="N38" s="57"/>
      <c r="O38" s="57"/>
      <c r="P38" s="149"/>
      <c r="Q38" s="149"/>
      <c r="R38" s="149"/>
      <c r="S38" s="149"/>
      <c r="T38" s="149"/>
      <c r="U38" s="149"/>
      <c r="V38" s="150"/>
      <c r="W38" s="150"/>
      <c r="X38" s="150"/>
      <c r="Y38" s="150"/>
      <c r="Z38" s="150"/>
      <c r="AA38" s="150"/>
      <c r="AB38" s="150"/>
      <c r="AC38" s="150"/>
      <c r="AD38" s="150"/>
    </row>
    <row r="39" customFormat="false" ht="12" hidden="false" customHeight="false" outlineLevel="0" collapsed="false">
      <c r="A39" s="53"/>
      <c r="B39" s="54"/>
      <c r="C39" s="55"/>
      <c r="D39" s="55"/>
      <c r="E39" s="55"/>
      <c r="F39" s="54"/>
      <c r="G39" s="147"/>
      <c r="I39" s="148"/>
      <c r="J39" s="148"/>
      <c r="K39" s="148"/>
      <c r="L39" s="148"/>
      <c r="M39" s="57"/>
      <c r="N39" s="57"/>
      <c r="O39" s="57"/>
      <c r="P39" s="149"/>
      <c r="Q39" s="149"/>
      <c r="R39" s="149"/>
      <c r="S39" s="149"/>
      <c r="T39" s="149"/>
      <c r="U39" s="149"/>
      <c r="V39" s="150"/>
      <c r="W39" s="150"/>
      <c r="X39" s="150"/>
      <c r="Y39" s="150"/>
      <c r="Z39" s="150"/>
      <c r="AA39" s="150"/>
      <c r="AB39" s="150"/>
      <c r="AC39" s="150"/>
      <c r="AD39" s="150"/>
    </row>
    <row r="40" customFormat="false" ht="12" hidden="false" customHeight="false" outlineLevel="0" collapsed="false">
      <c r="A40" s="53"/>
      <c r="B40" s="54"/>
      <c r="C40" s="55"/>
      <c r="D40" s="55"/>
      <c r="E40" s="55"/>
      <c r="F40" s="54"/>
      <c r="G40" s="147"/>
      <c r="I40" s="148"/>
      <c r="J40" s="148"/>
      <c r="K40" s="148"/>
      <c r="L40" s="148"/>
      <c r="M40" s="57"/>
      <c r="N40" s="57"/>
      <c r="O40" s="57"/>
      <c r="P40" s="149"/>
      <c r="Q40" s="149"/>
      <c r="R40" s="149"/>
      <c r="S40" s="149"/>
      <c r="T40" s="149"/>
      <c r="U40" s="149"/>
      <c r="V40" s="150"/>
      <c r="W40" s="150"/>
      <c r="X40" s="150"/>
      <c r="Y40" s="150"/>
      <c r="Z40" s="150"/>
      <c r="AA40" s="150"/>
      <c r="AB40" s="150"/>
      <c r="AC40" s="150"/>
      <c r="AD40" s="150"/>
    </row>
    <row r="41" customFormat="false" ht="12" hidden="false" customHeight="false" outlineLevel="0" collapsed="false">
      <c r="A41" s="53"/>
      <c r="B41" s="54"/>
      <c r="G41" s="147"/>
      <c r="I41" s="148"/>
      <c r="J41" s="148"/>
      <c r="K41" s="148"/>
      <c r="L41" s="148"/>
      <c r="M41" s="57"/>
      <c r="N41" s="57"/>
      <c r="O41" s="57"/>
      <c r="P41" s="149"/>
      <c r="Q41" s="149"/>
      <c r="R41" s="149"/>
      <c r="S41" s="149"/>
      <c r="T41" s="149"/>
      <c r="U41" s="149"/>
      <c r="V41" s="150"/>
      <c r="W41" s="150"/>
      <c r="X41" s="150"/>
      <c r="Y41" s="150"/>
      <c r="Z41" s="150"/>
      <c r="AA41" s="150"/>
      <c r="AB41" s="150"/>
      <c r="AC41" s="150"/>
      <c r="AD41" s="150"/>
    </row>
    <row r="42" customFormat="false" ht="12" hidden="false" customHeight="false" outlineLevel="0" collapsed="false">
      <c r="A42" s="53"/>
      <c r="B42" s="54"/>
      <c r="G42" s="147"/>
      <c r="I42" s="148"/>
      <c r="J42" s="148"/>
      <c r="K42" s="148"/>
      <c r="L42" s="148"/>
      <c r="M42" s="57"/>
      <c r="N42" s="57"/>
      <c r="O42" s="57"/>
      <c r="P42" s="149"/>
      <c r="Q42" s="149"/>
      <c r="R42" s="149"/>
      <c r="S42" s="149"/>
      <c r="T42" s="149"/>
      <c r="U42" s="149"/>
      <c r="V42" s="150"/>
      <c r="W42" s="150"/>
      <c r="X42" s="150"/>
      <c r="Y42" s="150"/>
      <c r="Z42" s="150"/>
      <c r="AA42" s="150"/>
      <c r="AB42" s="150"/>
      <c r="AC42" s="150"/>
      <c r="AD42" s="150"/>
    </row>
    <row r="43" customFormat="false" ht="12" hidden="false" customHeight="false" outlineLevel="0" collapsed="false">
      <c r="A43" s="53"/>
      <c r="B43" s="54"/>
      <c r="G43" s="147"/>
      <c r="I43" s="148"/>
      <c r="J43" s="148"/>
      <c r="K43" s="148"/>
      <c r="L43" s="148"/>
      <c r="M43" s="57"/>
      <c r="N43" s="57"/>
      <c r="O43" s="57"/>
      <c r="P43" s="149"/>
      <c r="Q43" s="149"/>
      <c r="R43" s="149"/>
      <c r="S43" s="149"/>
      <c r="T43" s="149"/>
      <c r="U43" s="149"/>
      <c r="V43" s="150"/>
      <c r="W43" s="150"/>
      <c r="X43" s="150"/>
      <c r="Y43" s="150"/>
      <c r="Z43" s="150"/>
      <c r="AA43" s="150"/>
      <c r="AB43" s="150"/>
      <c r="AC43" s="150"/>
      <c r="AD43" s="150"/>
    </row>
    <row r="44" customFormat="false" ht="12" hidden="false" customHeight="false" outlineLevel="0" collapsed="false">
      <c r="A44" s="53"/>
      <c r="B44" s="54"/>
      <c r="G44" s="147"/>
      <c r="I44" s="148"/>
      <c r="J44" s="148"/>
      <c r="K44" s="148"/>
      <c r="L44" s="148"/>
      <c r="M44" s="57"/>
      <c r="N44" s="57"/>
      <c r="O44" s="57"/>
      <c r="P44" s="149"/>
      <c r="Q44" s="149"/>
      <c r="R44" s="149"/>
      <c r="S44" s="149"/>
      <c r="T44" s="149"/>
      <c r="U44" s="149"/>
      <c r="V44" s="150"/>
      <c r="W44" s="150"/>
      <c r="X44" s="150"/>
      <c r="Y44" s="150"/>
      <c r="Z44" s="150"/>
      <c r="AA44" s="150"/>
      <c r="AB44" s="150"/>
      <c r="AC44" s="150"/>
      <c r="AD44" s="150"/>
    </row>
    <row r="45" customFormat="false" ht="12" hidden="false" customHeight="false" outlineLevel="0" collapsed="false">
      <c r="A45" s="53"/>
      <c r="B45" s="54"/>
      <c r="G45" s="147"/>
      <c r="I45" s="148"/>
      <c r="J45" s="148"/>
      <c r="K45" s="148"/>
      <c r="L45" s="148"/>
      <c r="M45" s="57"/>
      <c r="N45" s="57"/>
      <c r="O45" s="57"/>
      <c r="P45" s="149"/>
      <c r="Q45" s="149"/>
      <c r="R45" s="149"/>
      <c r="S45" s="149"/>
      <c r="T45" s="149"/>
      <c r="U45" s="149"/>
      <c r="V45" s="150"/>
      <c r="W45" s="150"/>
      <c r="X45" s="150"/>
      <c r="Y45" s="150"/>
      <c r="Z45" s="150"/>
      <c r="AA45" s="150"/>
      <c r="AB45" s="150"/>
      <c r="AC45" s="150"/>
      <c r="AD45" s="150"/>
    </row>
  </sheetData>
  <mergeCells count="60">
    <mergeCell ref="A3:AD3"/>
    <mergeCell ref="A4:A5"/>
    <mergeCell ref="B4:B5"/>
    <mergeCell ref="C4:C5"/>
    <mergeCell ref="D4:D5"/>
    <mergeCell ref="E4:E5"/>
    <mergeCell ref="F4:F5"/>
    <mergeCell ref="G4:G5"/>
    <mergeCell ref="H4:H5"/>
    <mergeCell ref="I4:L4"/>
    <mergeCell ref="M4:O4"/>
    <mergeCell ref="P4:S4"/>
    <mergeCell ref="T4:T5"/>
    <mergeCell ref="U4:U5"/>
    <mergeCell ref="V4:Z4"/>
    <mergeCell ref="AA4:AB4"/>
    <mergeCell ref="AC4:AD4"/>
    <mergeCell ref="B6:B13"/>
    <mergeCell ref="V6:V13"/>
    <mergeCell ref="W6:W13"/>
    <mergeCell ref="X6:X13"/>
    <mergeCell ref="Y6:Y13"/>
    <mergeCell ref="Z6:Z13"/>
    <mergeCell ref="AA6:AA13"/>
    <mergeCell ref="AB6:AB13"/>
    <mergeCell ref="AC6:AC13"/>
    <mergeCell ref="AD6:AD13"/>
    <mergeCell ref="B14:B19"/>
    <mergeCell ref="V14:V19"/>
    <mergeCell ref="W14:W19"/>
    <mergeCell ref="X14:X19"/>
    <mergeCell ref="Y14:Y19"/>
    <mergeCell ref="Z14:Z19"/>
    <mergeCell ref="AA14:AA19"/>
    <mergeCell ref="AB14:AB19"/>
    <mergeCell ref="AC14:AC19"/>
    <mergeCell ref="AD14:AD19"/>
    <mergeCell ref="B20:B27"/>
    <mergeCell ref="V20:V27"/>
    <mergeCell ref="W20:W27"/>
    <mergeCell ref="X20:X27"/>
    <mergeCell ref="Y20:Y27"/>
    <mergeCell ref="Z20:Z27"/>
    <mergeCell ref="AA20:AA27"/>
    <mergeCell ref="AB20:AB27"/>
    <mergeCell ref="AC20:AC27"/>
    <mergeCell ref="AD20:AD27"/>
    <mergeCell ref="B28:B29"/>
    <mergeCell ref="I28:L28"/>
    <mergeCell ref="V28:V29"/>
    <mergeCell ref="W28:W29"/>
    <mergeCell ref="X28:X29"/>
    <mergeCell ref="Y28:Y29"/>
    <mergeCell ref="Z28:Z29"/>
    <mergeCell ref="AA28:AA29"/>
    <mergeCell ref="AB28:AB29"/>
    <mergeCell ref="AC28:AC29"/>
    <mergeCell ref="AD28:AD29"/>
    <mergeCell ref="I29:L29"/>
    <mergeCell ref="B30:B33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7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3A2C7"/>
    <pageSetUpPr fitToPage="false"/>
  </sheetPr>
  <dimension ref="A1:X5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9.109375" defaultRowHeight="13.5" zeroHeight="false" outlineLevelRow="0" outlineLevelCol="0"/>
  <cols>
    <col collapsed="false" customWidth="true" hidden="false" outlineLevel="0" max="1" min="1" style="151" width="25.44"/>
    <col collapsed="false" customWidth="true" hidden="false" outlineLevel="0" max="2" min="2" style="151" width="8"/>
    <col collapsed="false" customWidth="true" hidden="false" outlineLevel="0" max="3" min="3" style="151" width="14.11"/>
    <col collapsed="false" customWidth="true" hidden="false" outlineLevel="0" max="4" min="4" style="151" width="8"/>
    <col collapsed="false" customWidth="true" hidden="false" outlineLevel="0" max="5" min="5" style="151" width="7.67"/>
    <col collapsed="false" customWidth="true" hidden="false" outlineLevel="0" max="6" min="6" style="151" width="8"/>
    <col collapsed="false" customWidth="true" hidden="false" outlineLevel="0" max="7" min="7" style="151" width="5.88"/>
    <col collapsed="false" customWidth="true" hidden="false" outlineLevel="0" max="8" min="8" style="151" width="6.44"/>
    <col collapsed="false" customWidth="true" hidden="false" outlineLevel="0" max="9" min="9" style="151" width="8.88"/>
    <col collapsed="false" customWidth="true" hidden="false" outlineLevel="0" max="10" min="10" style="152" width="7.67"/>
    <col collapsed="false" customWidth="true" hidden="false" outlineLevel="0" max="11" min="11" style="151" width="7.67"/>
    <col collapsed="false" customWidth="false" hidden="false" outlineLevel="0" max="12" min="12" style="153" width="9.11"/>
    <col collapsed="false" customWidth="true" hidden="false" outlineLevel="0" max="13" min="13" style="151" width="10.56"/>
    <col collapsed="false" customWidth="false" hidden="false" outlineLevel="0" max="14" min="14" style="151" width="9.11"/>
    <col collapsed="false" customWidth="true" hidden="false" outlineLevel="0" max="15" min="15" style="152" width="15.44"/>
    <col collapsed="false" customWidth="true" hidden="false" outlineLevel="0" max="16" min="16" style="152" width="12.11"/>
    <col collapsed="false" customWidth="true" hidden="false" outlineLevel="0" max="17" min="17" style="152" width="12.33"/>
    <col collapsed="false" customWidth="true" hidden="false" outlineLevel="0" max="18" min="18" style="152" width="12.44"/>
    <col collapsed="false" customWidth="true" hidden="false" outlineLevel="0" max="19" min="19" style="152" width="9.33"/>
    <col collapsed="false" customWidth="true" hidden="false" outlineLevel="0" max="20" min="20" style="152" width="8.44"/>
    <col collapsed="false" customWidth="true" hidden="false" outlineLevel="0" max="21" min="21" style="152" width="12"/>
    <col collapsed="false" customWidth="true" hidden="false" outlineLevel="0" max="22" min="22" style="152" width="7.11"/>
    <col collapsed="false" customWidth="true" hidden="false" outlineLevel="0" max="23" min="23" style="152" width="12"/>
    <col collapsed="false" customWidth="true" hidden="false" outlineLevel="0" max="24" min="24" style="152" width="7.11"/>
    <col collapsed="false" customWidth="false" hidden="false" outlineLevel="0" max="16384" min="25" style="154" width="9.11"/>
  </cols>
  <sheetData>
    <row r="1" customFormat="false" ht="13.8" hidden="false" customHeight="false" outlineLevel="0" collapsed="false"/>
    <row r="2" customFormat="false" ht="13.5" hidden="false" customHeight="false" outlineLevel="0" collapsed="false">
      <c r="A2" s="155" t="s">
        <v>188</v>
      </c>
      <c r="B2" s="155"/>
      <c r="C2" s="155"/>
      <c r="D2" s="155"/>
      <c r="E2" s="155"/>
      <c r="F2" s="155"/>
      <c r="G2" s="155"/>
      <c r="H2" s="155"/>
      <c r="I2" s="155"/>
      <c r="J2" s="155"/>
      <c r="K2" s="156" t="str">
        <f aca="false">'Previsão de Cargas'!B1</f>
        <v>CCM</v>
      </c>
      <c r="L2" s="157" t="n">
        <f aca="false">_Vnom</f>
        <v>380</v>
      </c>
      <c r="M2" s="156"/>
      <c r="N2" s="158" t="s">
        <v>3</v>
      </c>
      <c r="O2" s="156"/>
      <c r="P2" s="156"/>
      <c r="Q2" s="156"/>
      <c r="R2" s="156"/>
      <c r="S2" s="156"/>
      <c r="T2" s="156"/>
      <c r="U2" s="156"/>
      <c r="V2" s="159"/>
      <c r="W2" s="159"/>
      <c r="X2" s="159"/>
    </row>
    <row r="3" customFormat="false" ht="23.85" hidden="false" customHeight="true" outlineLevel="0" collapsed="false">
      <c r="A3" s="160" t="s">
        <v>5</v>
      </c>
      <c r="B3" s="160" t="s">
        <v>6</v>
      </c>
      <c r="C3" s="161" t="s">
        <v>7</v>
      </c>
      <c r="D3" s="162" t="s">
        <v>4</v>
      </c>
      <c r="E3" s="162"/>
      <c r="F3" s="162"/>
      <c r="G3" s="162"/>
      <c r="H3" s="162"/>
      <c r="I3" s="162"/>
      <c r="J3" s="163" t="s">
        <v>189</v>
      </c>
      <c r="K3" s="163"/>
      <c r="L3" s="164" t="s">
        <v>190</v>
      </c>
      <c r="M3" s="164"/>
      <c r="N3" s="164"/>
      <c r="O3" s="165" t="s">
        <v>191</v>
      </c>
      <c r="P3" s="165"/>
      <c r="Q3" s="165"/>
      <c r="R3" s="165"/>
      <c r="S3" s="165"/>
      <c r="T3" s="165"/>
      <c r="U3" s="165"/>
      <c r="V3" s="165"/>
      <c r="W3" s="165"/>
      <c r="X3" s="165"/>
    </row>
    <row r="4" customFormat="false" ht="13.5" hidden="false" customHeight="true" outlineLevel="0" collapsed="false">
      <c r="A4" s="160"/>
      <c r="B4" s="160"/>
      <c r="C4" s="161"/>
      <c r="D4" s="166" t="s">
        <v>192</v>
      </c>
      <c r="E4" s="166" t="s">
        <v>193</v>
      </c>
      <c r="F4" s="166" t="s">
        <v>194</v>
      </c>
      <c r="G4" s="166" t="s">
        <v>9</v>
      </c>
      <c r="H4" s="166" t="s">
        <v>195</v>
      </c>
      <c r="I4" s="166" t="s">
        <v>196</v>
      </c>
      <c r="J4" s="167" t="s">
        <v>197</v>
      </c>
      <c r="K4" s="167" t="s">
        <v>198</v>
      </c>
      <c r="L4" s="168" t="s">
        <v>199</v>
      </c>
      <c r="M4" s="168" t="s">
        <v>200</v>
      </c>
      <c r="N4" s="168" t="s">
        <v>201</v>
      </c>
      <c r="O4" s="169" t="s">
        <v>202</v>
      </c>
      <c r="P4" s="169"/>
      <c r="Q4" s="170" t="s">
        <v>122</v>
      </c>
      <c r="R4" s="170"/>
      <c r="S4" s="170" t="s">
        <v>203</v>
      </c>
      <c r="T4" s="170"/>
      <c r="U4" s="170" t="s">
        <v>204</v>
      </c>
      <c r="V4" s="170"/>
      <c r="W4" s="170" t="s">
        <v>128</v>
      </c>
      <c r="X4" s="170"/>
    </row>
    <row r="5" customFormat="false" ht="23.85" hidden="false" customHeight="false" outlineLevel="0" collapsed="false">
      <c r="A5" s="160"/>
      <c r="B5" s="160"/>
      <c r="C5" s="161"/>
      <c r="D5" s="166"/>
      <c r="E5" s="166"/>
      <c r="F5" s="166"/>
      <c r="G5" s="166"/>
      <c r="H5" s="166"/>
      <c r="I5" s="166"/>
      <c r="J5" s="167"/>
      <c r="K5" s="167"/>
      <c r="L5" s="168"/>
      <c r="M5" s="168"/>
      <c r="N5" s="168"/>
      <c r="O5" s="171" t="s">
        <v>205</v>
      </c>
      <c r="P5" s="172" t="s">
        <v>206</v>
      </c>
      <c r="Q5" s="173" t="s">
        <v>205</v>
      </c>
      <c r="R5" s="172" t="s">
        <v>133</v>
      </c>
      <c r="S5" s="173" t="s">
        <v>205</v>
      </c>
      <c r="T5" s="172" t="s">
        <v>207</v>
      </c>
      <c r="U5" s="173" t="s">
        <v>205</v>
      </c>
      <c r="V5" s="172" t="s">
        <v>142</v>
      </c>
      <c r="W5" s="173" t="s">
        <v>205</v>
      </c>
      <c r="X5" s="172" t="s">
        <v>143</v>
      </c>
    </row>
    <row r="6" s="182" customFormat="true" ht="16.4" hidden="false" customHeight="false" outlineLevel="0" collapsed="false">
      <c r="A6" s="27" t="str">
        <f aca="false">'Previsão de Cargas'!A6</f>
        <v>50 - TUE M1</v>
      </c>
      <c r="B6" s="71" t="str">
        <f aca="false">'Previsão de Cargas'!B6</f>
        <v>CCM1</v>
      </c>
      <c r="C6" s="174" t="s">
        <v>78</v>
      </c>
      <c r="D6" s="175" t="n">
        <f aca="false">_Vnom</f>
        <v>380</v>
      </c>
      <c r="E6" s="176" t="n">
        <f aca="false">'Previsão de Cargas'!D6</f>
        <v>5</v>
      </c>
      <c r="F6" s="36" t="n">
        <f aca="false">'Previsão de Cargas'!I6</f>
        <v>4.16201117318436</v>
      </c>
      <c r="G6" s="177" t="n">
        <f aca="false">'Previsão de Cargas'!E6</f>
        <v>0.77</v>
      </c>
      <c r="H6" s="36" t="n">
        <f aca="false">'Previsão de Cargas'!K6</f>
        <v>3.4487607545548</v>
      </c>
      <c r="I6" s="36" t="n">
        <f aca="false">'Previsão de Cargas'!L6</f>
        <v>8.21236593030834</v>
      </c>
      <c r="J6" s="36" t="n">
        <f aca="false">'Capac.Cond.Corre.'!E4</f>
        <v>1</v>
      </c>
      <c r="K6" s="36" t="n">
        <f aca="false">'Capac.Cond.Corre.'!G4</f>
        <v>0.72</v>
      </c>
      <c r="L6" s="178" t="str">
        <f aca="false">'Capac.Cond.Corre.'!J4</f>
        <v>PVC 0,6/1 kV (Sintenax)</v>
      </c>
      <c r="M6" s="179" t="n">
        <v>1</v>
      </c>
      <c r="N6" s="36" t="n">
        <f aca="false">'Queda de Tensão'!K4</f>
        <v>2.5</v>
      </c>
      <c r="O6" s="180" t="str">
        <f aca="false">Proteção!J6</f>
        <v>3RU11 16-1KB0</v>
      </c>
      <c r="P6" s="178" t="n">
        <f aca="false">Proteção!I6</f>
        <v>10.2654574128854</v>
      </c>
      <c r="Q6" s="178" t="str">
        <f aca="false">Proteção!N6</f>
        <v>3RT10 17-1AQ01</v>
      </c>
      <c r="R6" s="178" t="n">
        <f aca="false">Proteção!M6</f>
        <v>12</v>
      </c>
      <c r="S6" s="178" t="str">
        <f aca="false">Proteção!Q6</f>
        <v>Diazed DII gG (5SB2 71)</v>
      </c>
      <c r="T6" s="178" t="n">
        <f aca="false">Proteção!R6</f>
        <v>20</v>
      </c>
      <c r="U6" s="181" t="s">
        <v>181</v>
      </c>
      <c r="V6" s="181" t="s">
        <v>181</v>
      </c>
      <c r="W6" s="181" t="s">
        <v>181</v>
      </c>
      <c r="X6" s="181" t="s">
        <v>181</v>
      </c>
    </row>
    <row r="7" s="182" customFormat="true" ht="16.4" hidden="false" customHeight="false" outlineLevel="0" collapsed="false">
      <c r="A7" s="27" t="str">
        <f aca="false">'Previsão de Cargas'!A7</f>
        <v>51 - TUE M2</v>
      </c>
      <c r="B7" s="71"/>
      <c r="C7" s="174" t="s">
        <v>81</v>
      </c>
      <c r="D7" s="175" t="n">
        <f aca="false">_Vnom</f>
        <v>380</v>
      </c>
      <c r="E7" s="176" t="n">
        <f aca="false">'Previsão de Cargas'!D7</f>
        <v>5</v>
      </c>
      <c r="F7" s="36" t="n">
        <f aca="false">'Previsão de Cargas'!I7</f>
        <v>4.16201117318436</v>
      </c>
      <c r="G7" s="177" t="n">
        <f aca="false">'Previsão de Cargas'!E7</f>
        <v>0.77</v>
      </c>
      <c r="H7" s="36" t="n">
        <f aca="false">'Previsão de Cargas'!K7</f>
        <v>3.4487607545548</v>
      </c>
      <c r="I7" s="36" t="n">
        <f aca="false">'Previsão de Cargas'!L7</f>
        <v>8.21236593030834</v>
      </c>
      <c r="J7" s="36" t="n">
        <f aca="false">'Capac.Cond.Corre.'!E5</f>
        <v>1</v>
      </c>
      <c r="K7" s="36" t="n">
        <f aca="false">'Capac.Cond.Corre.'!G5</f>
        <v>0.72</v>
      </c>
      <c r="L7" s="178" t="str">
        <f aca="false">'Capac.Cond.Corre.'!J5</f>
        <v>PVC 0,6/1 kV (Sintenax)</v>
      </c>
      <c r="M7" s="179" t="n">
        <v>1</v>
      </c>
      <c r="N7" s="36" t="n">
        <f aca="false">'Queda de Tensão'!K5</f>
        <v>2.5</v>
      </c>
      <c r="O7" s="180" t="str">
        <f aca="false">Proteção!J7</f>
        <v>3RU11 16-1KB0</v>
      </c>
      <c r="P7" s="178" t="n">
        <f aca="false">Proteção!I7</f>
        <v>10.2654574128854</v>
      </c>
      <c r="Q7" s="178" t="str">
        <f aca="false">Proteção!N7</f>
        <v>3RT10 17-1AQ01</v>
      </c>
      <c r="R7" s="178" t="n">
        <f aca="false">Proteção!M7</f>
        <v>12</v>
      </c>
      <c r="S7" s="178" t="str">
        <f aca="false">Proteção!Q7</f>
        <v>Diazed DII gG (5SB2 71)</v>
      </c>
      <c r="T7" s="178" t="n">
        <f aca="false">Proteção!R7</f>
        <v>20</v>
      </c>
      <c r="U7" s="181" t="s">
        <v>181</v>
      </c>
      <c r="V7" s="181" t="s">
        <v>181</v>
      </c>
      <c r="W7" s="181" t="s">
        <v>181</v>
      </c>
      <c r="X7" s="181" t="s">
        <v>181</v>
      </c>
    </row>
    <row r="8" s="182" customFormat="true" ht="16.4" hidden="false" customHeight="false" outlineLevel="0" collapsed="false">
      <c r="A8" s="27" t="str">
        <f aca="false">'Previsão de Cargas'!A8</f>
        <v>52 - TUE M3</v>
      </c>
      <c r="B8" s="71"/>
      <c r="C8" s="174" t="s">
        <v>82</v>
      </c>
      <c r="D8" s="175" t="n">
        <f aca="false">_Vnom</f>
        <v>380</v>
      </c>
      <c r="E8" s="176" t="n">
        <f aca="false">'Previsão de Cargas'!D8</f>
        <v>5</v>
      </c>
      <c r="F8" s="36" t="n">
        <f aca="false">'Previsão de Cargas'!I8</f>
        <v>4.16201117318436</v>
      </c>
      <c r="G8" s="177" t="n">
        <f aca="false">'Previsão de Cargas'!E8</f>
        <v>0.77</v>
      </c>
      <c r="H8" s="36" t="n">
        <f aca="false">'Previsão de Cargas'!K8</f>
        <v>3.4487607545548</v>
      </c>
      <c r="I8" s="36" t="n">
        <f aca="false">'Previsão de Cargas'!L8</f>
        <v>8.21236593030834</v>
      </c>
      <c r="J8" s="36" t="n">
        <f aca="false">'Capac.Cond.Corre.'!E6</f>
        <v>1</v>
      </c>
      <c r="K8" s="36" t="n">
        <f aca="false">'Capac.Cond.Corre.'!G6</f>
        <v>0.72</v>
      </c>
      <c r="L8" s="178" t="str">
        <f aca="false">'Capac.Cond.Corre.'!J6</f>
        <v>PVC 0,6/1 kV (Sintenax)</v>
      </c>
      <c r="M8" s="179" t="n">
        <v>1</v>
      </c>
      <c r="N8" s="36" t="n">
        <f aca="false">'Queda de Tensão'!K6</f>
        <v>2.5</v>
      </c>
      <c r="O8" s="180" t="str">
        <f aca="false">Proteção!J8</f>
        <v>3RU11 16-1KB0</v>
      </c>
      <c r="P8" s="178" t="n">
        <f aca="false">Proteção!I8</f>
        <v>10.2654574128854</v>
      </c>
      <c r="Q8" s="178" t="str">
        <f aca="false">Proteção!N8</f>
        <v>3RT10 17-1AQ01</v>
      </c>
      <c r="R8" s="178" t="n">
        <f aca="false">Proteção!M8</f>
        <v>12</v>
      </c>
      <c r="S8" s="178" t="str">
        <f aca="false">Proteção!Q8</f>
        <v>Diazed DII gG (5SB2 71)</v>
      </c>
      <c r="T8" s="178" t="n">
        <f aca="false">Proteção!R8</f>
        <v>20</v>
      </c>
      <c r="U8" s="181" t="s">
        <v>181</v>
      </c>
      <c r="V8" s="181" t="s">
        <v>181</v>
      </c>
      <c r="W8" s="181" t="s">
        <v>181</v>
      </c>
      <c r="X8" s="181" t="s">
        <v>181</v>
      </c>
    </row>
    <row r="9" s="182" customFormat="true" ht="16.4" hidden="false" customHeight="false" outlineLevel="0" collapsed="false">
      <c r="A9" s="27" t="str">
        <f aca="false">'Previsão de Cargas'!A9</f>
        <v>53 - TUE M4</v>
      </c>
      <c r="B9" s="71"/>
      <c r="C9" s="174" t="s">
        <v>83</v>
      </c>
      <c r="D9" s="175" t="n">
        <f aca="false">_Vnom</f>
        <v>380</v>
      </c>
      <c r="E9" s="176" t="n">
        <f aca="false">'Previsão de Cargas'!D9</f>
        <v>5</v>
      </c>
      <c r="F9" s="36" t="n">
        <f aca="false">'Previsão de Cargas'!I9</f>
        <v>4.16201117318436</v>
      </c>
      <c r="G9" s="177" t="n">
        <f aca="false">'Previsão de Cargas'!E9</f>
        <v>0.77</v>
      </c>
      <c r="H9" s="36" t="n">
        <f aca="false">'Previsão de Cargas'!K9</f>
        <v>3.4487607545548</v>
      </c>
      <c r="I9" s="36" t="n">
        <f aca="false">'Previsão de Cargas'!L9</f>
        <v>8.21236593030834</v>
      </c>
      <c r="J9" s="36" t="n">
        <f aca="false">'Capac.Cond.Corre.'!E7</f>
        <v>1</v>
      </c>
      <c r="K9" s="36" t="n">
        <f aca="false">'Capac.Cond.Corre.'!G7</f>
        <v>0.72</v>
      </c>
      <c r="L9" s="178" t="str">
        <f aca="false">'Capac.Cond.Corre.'!J7</f>
        <v>PVC 0,6/1 kV (Sintenax)</v>
      </c>
      <c r="M9" s="179" t="n">
        <v>1</v>
      </c>
      <c r="N9" s="36" t="n">
        <f aca="false">'Queda de Tensão'!K7</f>
        <v>2.5</v>
      </c>
      <c r="O9" s="180" t="str">
        <f aca="false">Proteção!J9</f>
        <v>3RU11 16-1KB0</v>
      </c>
      <c r="P9" s="178" t="n">
        <f aca="false">Proteção!I9</f>
        <v>10.2654574128854</v>
      </c>
      <c r="Q9" s="178" t="str">
        <f aca="false">Proteção!N9</f>
        <v>3RT10 17-1AQ01</v>
      </c>
      <c r="R9" s="178" t="n">
        <f aca="false">Proteção!M9</f>
        <v>12</v>
      </c>
      <c r="S9" s="178" t="str">
        <f aca="false">Proteção!Q9</f>
        <v>Diazed DII gG (5SB2 71)</v>
      </c>
      <c r="T9" s="178" t="n">
        <f aca="false">Proteção!R9</f>
        <v>20</v>
      </c>
      <c r="U9" s="181" t="s">
        <v>181</v>
      </c>
      <c r="V9" s="181" t="s">
        <v>181</v>
      </c>
      <c r="W9" s="181" t="s">
        <v>181</v>
      </c>
      <c r="X9" s="181" t="s">
        <v>181</v>
      </c>
    </row>
    <row r="10" s="182" customFormat="true" ht="23.85" hidden="false" customHeight="false" outlineLevel="0" collapsed="false">
      <c r="A10" s="27" t="str">
        <f aca="false">'Previsão de Cargas'!A10</f>
        <v>54 - TUE M5</v>
      </c>
      <c r="B10" s="71"/>
      <c r="C10" s="174" t="s">
        <v>84</v>
      </c>
      <c r="D10" s="175" t="n">
        <f aca="false">_Vnom</f>
        <v>380</v>
      </c>
      <c r="E10" s="176" t="n">
        <f aca="false">'Previsão de Cargas'!D10</f>
        <v>15</v>
      </c>
      <c r="F10" s="36" t="n">
        <f aca="false">'Previsão de Cargas'!I10</f>
        <v>12.0941558441558</v>
      </c>
      <c r="G10" s="177" t="n">
        <f aca="false">'Previsão de Cargas'!E10</f>
        <v>0.83</v>
      </c>
      <c r="H10" s="36" t="n">
        <f aca="false">'Previsão de Cargas'!K10</f>
        <v>8.12732213401763</v>
      </c>
      <c r="I10" s="36" t="n">
        <f aca="false">'Previsão de Cargas'!L10</f>
        <v>22.1387575530902</v>
      </c>
      <c r="J10" s="36" t="n">
        <f aca="false">'Capac.Cond.Corre.'!E8</f>
        <v>1</v>
      </c>
      <c r="K10" s="36" t="n">
        <f aca="false">'Capac.Cond.Corre.'!G8</f>
        <v>0.72</v>
      </c>
      <c r="L10" s="178" t="str">
        <f aca="false">'Capac.Cond.Corre.'!J8</f>
        <v>PVC 0,6/1 kV (Sintenax)</v>
      </c>
      <c r="M10" s="179" t="n">
        <v>2</v>
      </c>
      <c r="N10" s="36" t="n">
        <f aca="false">'Queda de Tensão'!K8</f>
        <v>4</v>
      </c>
      <c r="O10" s="180" t="str">
        <f aca="false">Proteção!J10</f>
        <v>3RU11 26-4AB0</v>
      </c>
      <c r="P10" s="178" t="n">
        <f aca="false">Proteção!I10</f>
        <v>15.9772720410006</v>
      </c>
      <c r="Q10" s="178" t="str">
        <f aca="false">Proteção!N10</f>
        <v>K1/K2: 3RT10 26-1AQ00 | K3: 3RT10 23-1AQ00 (9 A)</v>
      </c>
      <c r="R10" s="178" t="n">
        <f aca="false">Proteção!M10</f>
        <v>25</v>
      </c>
      <c r="S10" s="178" t="str">
        <f aca="false">Proteção!Q10</f>
        <v>Diazed DIII gG (5SB4 11)</v>
      </c>
      <c r="T10" s="178" t="n">
        <f aca="false">Proteção!R10</f>
        <v>35</v>
      </c>
      <c r="U10" s="181" t="s">
        <v>181</v>
      </c>
      <c r="V10" s="181" t="s">
        <v>181</v>
      </c>
      <c r="W10" s="181" t="s">
        <v>181</v>
      </c>
      <c r="X10" s="181" t="s">
        <v>181</v>
      </c>
    </row>
    <row r="11" s="182" customFormat="true" ht="23.85" hidden="false" customHeight="false" outlineLevel="0" collapsed="false">
      <c r="A11" s="27" t="str">
        <f aca="false">'Previsão de Cargas'!A11</f>
        <v>55 - TUE M6</v>
      </c>
      <c r="B11" s="71"/>
      <c r="C11" s="174" t="s">
        <v>85</v>
      </c>
      <c r="D11" s="175" t="n">
        <f aca="false">_Vnom</f>
        <v>380</v>
      </c>
      <c r="E11" s="176" t="n">
        <f aca="false">'Previsão de Cargas'!D11</f>
        <v>15</v>
      </c>
      <c r="F11" s="36" t="n">
        <f aca="false">'Previsão de Cargas'!I11</f>
        <v>12.0941558441558</v>
      </c>
      <c r="G11" s="177" t="n">
        <f aca="false">'Previsão de Cargas'!E11</f>
        <v>0.83</v>
      </c>
      <c r="H11" s="36" t="n">
        <f aca="false">'Previsão de Cargas'!K11</f>
        <v>8.12732213401763</v>
      </c>
      <c r="I11" s="36" t="n">
        <f aca="false">'Previsão de Cargas'!L11</f>
        <v>22.1387575530902</v>
      </c>
      <c r="J11" s="36" t="n">
        <f aca="false">'Capac.Cond.Corre.'!E9</f>
        <v>1</v>
      </c>
      <c r="K11" s="36" t="n">
        <f aca="false">'Capac.Cond.Corre.'!G9</f>
        <v>0.72</v>
      </c>
      <c r="L11" s="178" t="str">
        <f aca="false">'Capac.Cond.Corre.'!J9</f>
        <v>PVC 0,6/1 kV (Sintenax)</v>
      </c>
      <c r="M11" s="179" t="n">
        <v>2</v>
      </c>
      <c r="N11" s="36" t="n">
        <f aca="false">'Queda de Tensão'!K9</f>
        <v>4</v>
      </c>
      <c r="O11" s="180" t="str">
        <f aca="false">Proteção!J11</f>
        <v>3RU11 26-4AB0</v>
      </c>
      <c r="P11" s="178" t="n">
        <f aca="false">Proteção!I11</f>
        <v>15.9772720410006</v>
      </c>
      <c r="Q11" s="178" t="str">
        <f aca="false">Proteção!N11</f>
        <v>K1/K2: 3RT10 26-1AQ00 | K3: 3RT10 23-1AQ00 (9 A)</v>
      </c>
      <c r="R11" s="178" t="n">
        <f aca="false">Proteção!M11</f>
        <v>25</v>
      </c>
      <c r="S11" s="178" t="str">
        <f aca="false">Proteção!Q11</f>
        <v>Diazed DIII gG (5SB4 11)</v>
      </c>
      <c r="T11" s="178" t="n">
        <f aca="false">Proteção!R11</f>
        <v>35</v>
      </c>
      <c r="U11" s="181" t="s">
        <v>181</v>
      </c>
      <c r="V11" s="181" t="s">
        <v>181</v>
      </c>
      <c r="W11" s="181" t="s">
        <v>181</v>
      </c>
      <c r="X11" s="181" t="s">
        <v>181</v>
      </c>
    </row>
    <row r="12" s="182" customFormat="true" ht="23.85" hidden="false" customHeight="false" outlineLevel="0" collapsed="false">
      <c r="A12" s="27" t="str">
        <f aca="false">'Previsão de Cargas'!A12</f>
        <v>56 - TUE M7</v>
      </c>
      <c r="B12" s="71"/>
      <c r="C12" s="174" t="s">
        <v>86</v>
      </c>
      <c r="D12" s="175" t="n">
        <f aca="false">_Vnom</f>
        <v>380</v>
      </c>
      <c r="E12" s="176" t="n">
        <f aca="false">'Previsão de Cargas'!D12</f>
        <v>15</v>
      </c>
      <c r="F12" s="36" t="n">
        <f aca="false">'Previsão de Cargas'!I12</f>
        <v>12.0941558441558</v>
      </c>
      <c r="G12" s="177" t="n">
        <f aca="false">'Previsão de Cargas'!E12</f>
        <v>0.83</v>
      </c>
      <c r="H12" s="36" t="n">
        <f aca="false">'Previsão de Cargas'!K12</f>
        <v>8.12732213401763</v>
      </c>
      <c r="I12" s="36" t="n">
        <f aca="false">'Previsão de Cargas'!L12</f>
        <v>22.1387575530902</v>
      </c>
      <c r="J12" s="36" t="n">
        <f aca="false">'Capac.Cond.Corre.'!E10</f>
        <v>1</v>
      </c>
      <c r="K12" s="36" t="n">
        <f aca="false">'Capac.Cond.Corre.'!G10</f>
        <v>0.72</v>
      </c>
      <c r="L12" s="178" t="str">
        <f aca="false">'Capac.Cond.Corre.'!J10</f>
        <v>PVC 0,6/1 kV (Sintenax)</v>
      </c>
      <c r="M12" s="179" t="n">
        <v>2</v>
      </c>
      <c r="N12" s="36" t="n">
        <f aca="false">'Queda de Tensão'!K10</f>
        <v>4</v>
      </c>
      <c r="O12" s="180" t="str">
        <f aca="false">Proteção!J12</f>
        <v>3RU11 26-4AB0</v>
      </c>
      <c r="P12" s="178" t="n">
        <f aca="false">Proteção!I12</f>
        <v>15.9772720410006</v>
      </c>
      <c r="Q12" s="178" t="str">
        <f aca="false">Proteção!N12</f>
        <v>K1/K2: 3RT10 26-1AQ00 | K3: 3RT10 23-1AQ00 (9 A)</v>
      </c>
      <c r="R12" s="178" t="n">
        <f aca="false">Proteção!M12</f>
        <v>25</v>
      </c>
      <c r="S12" s="178" t="str">
        <f aca="false">Proteção!Q12</f>
        <v>Diazed DIII gG (5SB4 11)</v>
      </c>
      <c r="T12" s="178" t="n">
        <f aca="false">Proteção!R12</f>
        <v>35</v>
      </c>
      <c r="U12" s="181" t="s">
        <v>181</v>
      </c>
      <c r="V12" s="181" t="s">
        <v>181</v>
      </c>
      <c r="W12" s="181" t="s">
        <v>181</v>
      </c>
      <c r="X12" s="181" t="s">
        <v>181</v>
      </c>
    </row>
    <row r="13" s="182" customFormat="true" ht="23.85" hidden="false" customHeight="false" outlineLevel="0" collapsed="false">
      <c r="A13" s="27" t="str">
        <f aca="false">'Previsão de Cargas'!A13</f>
        <v>57 - TUE M8</v>
      </c>
      <c r="B13" s="71"/>
      <c r="C13" s="174" t="s">
        <v>87</v>
      </c>
      <c r="D13" s="175" t="n">
        <f aca="false">_Vnom</f>
        <v>380</v>
      </c>
      <c r="E13" s="176" t="n">
        <f aca="false">'Previsão de Cargas'!D13</f>
        <v>15</v>
      </c>
      <c r="F13" s="36" t="n">
        <f aca="false">'Previsão de Cargas'!I13</f>
        <v>12.0941558441558</v>
      </c>
      <c r="G13" s="177" t="n">
        <f aca="false">'Previsão de Cargas'!E13</f>
        <v>0.83</v>
      </c>
      <c r="H13" s="36" t="n">
        <f aca="false">'Previsão de Cargas'!K13</f>
        <v>8.12732213401763</v>
      </c>
      <c r="I13" s="36" t="n">
        <f aca="false">'Previsão de Cargas'!L13</f>
        <v>22.1387575530902</v>
      </c>
      <c r="J13" s="36" t="n">
        <f aca="false">'Capac.Cond.Corre.'!E11</f>
        <v>1</v>
      </c>
      <c r="K13" s="36" t="n">
        <f aca="false">'Capac.Cond.Corre.'!G11</f>
        <v>0.72</v>
      </c>
      <c r="L13" s="178" t="str">
        <f aca="false">'Capac.Cond.Corre.'!J11</f>
        <v>PVC 0,6/1 kV (Sintenax)</v>
      </c>
      <c r="M13" s="179" t="n">
        <v>2</v>
      </c>
      <c r="N13" s="36" t="n">
        <f aca="false">'Queda de Tensão'!K11</f>
        <v>4</v>
      </c>
      <c r="O13" s="180" t="str">
        <f aca="false">Proteção!J13</f>
        <v>3RU11 26-4AB0</v>
      </c>
      <c r="P13" s="178" t="n">
        <f aca="false">Proteção!I13</f>
        <v>15.9772720410006</v>
      </c>
      <c r="Q13" s="178" t="str">
        <f aca="false">Proteção!N13</f>
        <v>K1/K2: 3RT10 26-1AQ00 | K3: 3RT10 23-1AQ00 (9 A)</v>
      </c>
      <c r="R13" s="178" t="n">
        <f aca="false">Proteção!M13</f>
        <v>25</v>
      </c>
      <c r="S13" s="178" t="str">
        <f aca="false">Proteção!Q13</f>
        <v>Diazed DIII gG (5SB4 11)</v>
      </c>
      <c r="T13" s="178" t="n">
        <f aca="false">Proteção!R13</f>
        <v>35</v>
      </c>
      <c r="U13" s="181" t="s">
        <v>181</v>
      </c>
      <c r="V13" s="181" t="s">
        <v>181</v>
      </c>
      <c r="W13" s="181" t="s">
        <v>181</v>
      </c>
      <c r="X13" s="181" t="s">
        <v>181</v>
      </c>
    </row>
    <row r="14" s="182" customFormat="true" ht="16.4" hidden="false" customHeight="false" outlineLevel="0" collapsed="false">
      <c r="A14" s="27" t="str">
        <f aca="false">'Previsão de Cargas'!A14</f>
        <v>58 - TUE M9</v>
      </c>
      <c r="B14" s="71" t="str">
        <f aca="false">'Previsão de Cargas'!B14</f>
        <v>CCM2</v>
      </c>
      <c r="C14" s="174" t="s">
        <v>88</v>
      </c>
      <c r="D14" s="175" t="n">
        <f aca="false">_Vnom</f>
        <v>380</v>
      </c>
      <c r="E14" s="176" t="n">
        <f aca="false">'Previsão de Cargas'!D14</f>
        <v>10</v>
      </c>
      <c r="F14" s="36" t="n">
        <f aca="false">'Previsão de Cargas'!I14</f>
        <v>8.09782608695652</v>
      </c>
      <c r="G14" s="177" t="n">
        <f aca="false">'Previsão de Cargas'!E14</f>
        <v>0.84</v>
      </c>
      <c r="H14" s="36" t="n">
        <f aca="false">'Previsão de Cargas'!K14</f>
        <v>5.23067892073326</v>
      </c>
      <c r="I14" s="36" t="n">
        <f aca="false">'Previsão de Cargas'!L14</f>
        <v>14.646873656501</v>
      </c>
      <c r="J14" s="36" t="n">
        <f aca="false">'Capac.Cond.Corre.'!E12</f>
        <v>1</v>
      </c>
      <c r="K14" s="36" t="n">
        <f aca="false">'Capac.Cond.Corre.'!G12</f>
        <v>0.72</v>
      </c>
      <c r="L14" s="178" t="str">
        <f aca="false">'Capac.Cond.Corre.'!J12</f>
        <v>PVC 0,6/1 kV (Sintenax)</v>
      </c>
      <c r="M14" s="179" t="n">
        <v>1</v>
      </c>
      <c r="N14" s="36" t="n">
        <f aca="false">'Queda de Tensão'!K12</f>
        <v>4</v>
      </c>
      <c r="O14" s="180" t="str">
        <f aca="false">Proteção!J14</f>
        <v>3RU11 26-4BB0</v>
      </c>
      <c r="P14" s="178" t="n">
        <f aca="false">Proteção!I14</f>
        <v>18.3085920706263</v>
      </c>
      <c r="Q14" s="178" t="str">
        <f aca="false">Proteção!N14</f>
        <v>3RT10 26-1AQ00</v>
      </c>
      <c r="R14" s="178" t="n">
        <f aca="false">Proteção!M14</f>
        <v>25</v>
      </c>
      <c r="S14" s="178" t="str">
        <f aca="false">Proteção!Q14</f>
        <v>Diazed DIII gG (5SB4 11)</v>
      </c>
      <c r="T14" s="178" t="n">
        <f aca="false">Proteção!R14</f>
        <v>35</v>
      </c>
      <c r="U14" s="181" t="s">
        <v>181</v>
      </c>
      <c r="V14" s="181" t="s">
        <v>181</v>
      </c>
      <c r="W14" s="181" t="s">
        <v>181</v>
      </c>
      <c r="X14" s="181" t="s">
        <v>181</v>
      </c>
    </row>
    <row r="15" s="182" customFormat="true" ht="16.4" hidden="false" customHeight="false" outlineLevel="0" collapsed="false">
      <c r="A15" s="27" t="str">
        <f aca="false">'Previsão de Cargas'!A15</f>
        <v>59 - TUE M10</v>
      </c>
      <c r="B15" s="71"/>
      <c r="C15" s="174" t="s">
        <v>89</v>
      </c>
      <c r="D15" s="175" t="n">
        <f aca="false">_Vnom</f>
        <v>380</v>
      </c>
      <c r="E15" s="176" t="n">
        <f aca="false">'Previsão de Cargas'!D15</f>
        <v>10</v>
      </c>
      <c r="F15" s="36" t="n">
        <f aca="false">'Previsão de Cargas'!I15</f>
        <v>8.09782608695652</v>
      </c>
      <c r="G15" s="177" t="n">
        <f aca="false">'Previsão de Cargas'!E15</f>
        <v>0.84</v>
      </c>
      <c r="H15" s="36" t="n">
        <f aca="false">'Previsão de Cargas'!K15</f>
        <v>5.23067892073326</v>
      </c>
      <c r="I15" s="36" t="n">
        <f aca="false">'Previsão de Cargas'!L15</f>
        <v>14.646873656501</v>
      </c>
      <c r="J15" s="36" t="n">
        <f aca="false">'Capac.Cond.Corre.'!E13</f>
        <v>1</v>
      </c>
      <c r="K15" s="36" t="n">
        <f aca="false">'Capac.Cond.Corre.'!G13</f>
        <v>0.72</v>
      </c>
      <c r="L15" s="178" t="str">
        <f aca="false">'Capac.Cond.Corre.'!J13</f>
        <v>PVC 0,6/1 kV (Sintenax)</v>
      </c>
      <c r="M15" s="179" t="n">
        <v>1</v>
      </c>
      <c r="N15" s="36" t="n">
        <f aca="false">'Queda de Tensão'!K13</f>
        <v>4</v>
      </c>
      <c r="O15" s="180" t="str">
        <f aca="false">Proteção!J15</f>
        <v>3RU11 26-4BB0</v>
      </c>
      <c r="P15" s="178" t="n">
        <f aca="false">Proteção!I15</f>
        <v>18.3085920706263</v>
      </c>
      <c r="Q15" s="178" t="str">
        <f aca="false">Proteção!N15</f>
        <v>3RT10 26-1AQ00</v>
      </c>
      <c r="R15" s="178" t="n">
        <f aca="false">Proteção!M15</f>
        <v>25</v>
      </c>
      <c r="S15" s="178" t="str">
        <f aca="false">Proteção!Q15</f>
        <v>Diazed DIII gG (5SB4 11)</v>
      </c>
      <c r="T15" s="178" t="n">
        <f aca="false">Proteção!R15</f>
        <v>35</v>
      </c>
      <c r="U15" s="181" t="s">
        <v>181</v>
      </c>
      <c r="V15" s="181" t="s">
        <v>181</v>
      </c>
      <c r="W15" s="181" t="s">
        <v>181</v>
      </c>
      <c r="X15" s="181" t="s">
        <v>181</v>
      </c>
    </row>
    <row r="16" s="182" customFormat="true" ht="16.4" hidden="false" customHeight="false" outlineLevel="0" collapsed="false">
      <c r="A16" s="27" t="str">
        <f aca="false">'Previsão de Cargas'!A16</f>
        <v>60 - TUE M11</v>
      </c>
      <c r="B16" s="71"/>
      <c r="C16" s="174" t="s">
        <v>90</v>
      </c>
      <c r="D16" s="175" t="n">
        <f aca="false">_Vnom</f>
        <v>380</v>
      </c>
      <c r="E16" s="176" t="n">
        <f aca="false">'Previsão de Cargas'!D16</f>
        <v>10</v>
      </c>
      <c r="F16" s="36" t="n">
        <f aca="false">'Previsão de Cargas'!I16</f>
        <v>8.09782608695652</v>
      </c>
      <c r="G16" s="177" t="n">
        <f aca="false">'Previsão de Cargas'!E16</f>
        <v>0.84</v>
      </c>
      <c r="H16" s="36" t="n">
        <f aca="false">'Previsão de Cargas'!K16</f>
        <v>5.23067892073326</v>
      </c>
      <c r="I16" s="36" t="n">
        <f aca="false">'Previsão de Cargas'!L16</f>
        <v>14.646873656501</v>
      </c>
      <c r="J16" s="36" t="n">
        <f aca="false">'Capac.Cond.Corre.'!E14</f>
        <v>1</v>
      </c>
      <c r="K16" s="36" t="n">
        <f aca="false">'Capac.Cond.Corre.'!G14</f>
        <v>0.72</v>
      </c>
      <c r="L16" s="178" t="str">
        <f aca="false">'Capac.Cond.Corre.'!J14</f>
        <v>PVC 0,6/1 kV (Sintenax)</v>
      </c>
      <c r="M16" s="179" t="n">
        <v>1</v>
      </c>
      <c r="N16" s="36" t="n">
        <f aca="false">'Queda de Tensão'!K14</f>
        <v>4</v>
      </c>
      <c r="O16" s="180" t="str">
        <f aca="false">Proteção!J16</f>
        <v>3RU11 26-4BB0</v>
      </c>
      <c r="P16" s="178" t="n">
        <f aca="false">Proteção!I16</f>
        <v>18.3085920706263</v>
      </c>
      <c r="Q16" s="178" t="str">
        <f aca="false">Proteção!N16</f>
        <v>3RT10 26-1AQ00</v>
      </c>
      <c r="R16" s="178" t="n">
        <f aca="false">Proteção!M16</f>
        <v>25</v>
      </c>
      <c r="S16" s="178" t="str">
        <f aca="false">Proteção!Q16</f>
        <v>Diazed DIII gG (5SB4 11)</v>
      </c>
      <c r="T16" s="178" t="n">
        <f aca="false">Proteção!R16</f>
        <v>35</v>
      </c>
      <c r="U16" s="181" t="s">
        <v>181</v>
      </c>
      <c r="V16" s="181" t="s">
        <v>181</v>
      </c>
      <c r="W16" s="181" t="s">
        <v>181</v>
      </c>
      <c r="X16" s="181" t="s">
        <v>181</v>
      </c>
    </row>
    <row r="17" s="182" customFormat="true" ht="16.4" hidden="false" customHeight="false" outlineLevel="0" collapsed="false">
      <c r="A17" s="27" t="str">
        <f aca="false">'Previsão de Cargas'!A17</f>
        <v>61 - TUE M12</v>
      </c>
      <c r="B17" s="71"/>
      <c r="C17" s="174" t="s">
        <v>91</v>
      </c>
      <c r="D17" s="175" t="n">
        <f aca="false">_Vnom</f>
        <v>380</v>
      </c>
      <c r="E17" s="176" t="n">
        <f aca="false">'Previsão de Cargas'!D17</f>
        <v>10</v>
      </c>
      <c r="F17" s="36" t="n">
        <f aca="false">'Previsão de Cargas'!I17</f>
        <v>8.09782608695652</v>
      </c>
      <c r="G17" s="177" t="n">
        <f aca="false">'Previsão de Cargas'!E17</f>
        <v>0.84</v>
      </c>
      <c r="H17" s="36" t="n">
        <f aca="false">'Previsão de Cargas'!K17</f>
        <v>5.23067892073326</v>
      </c>
      <c r="I17" s="36" t="n">
        <f aca="false">'Previsão de Cargas'!L17</f>
        <v>14.646873656501</v>
      </c>
      <c r="J17" s="36" t="n">
        <f aca="false">'Capac.Cond.Corre.'!E15</f>
        <v>1</v>
      </c>
      <c r="K17" s="36" t="n">
        <f aca="false">'Capac.Cond.Corre.'!G15</f>
        <v>0.72</v>
      </c>
      <c r="L17" s="178" t="str">
        <f aca="false">'Capac.Cond.Corre.'!J15</f>
        <v>PVC 0,6/1 kV (Sintenax)</v>
      </c>
      <c r="M17" s="179" t="n">
        <v>1</v>
      </c>
      <c r="N17" s="36" t="n">
        <f aca="false">'Queda de Tensão'!K15</f>
        <v>4</v>
      </c>
      <c r="O17" s="180" t="str">
        <f aca="false">Proteção!J17</f>
        <v>3RU11 26-4BB0</v>
      </c>
      <c r="P17" s="178" t="n">
        <f aca="false">Proteção!I17</f>
        <v>18.3085920706263</v>
      </c>
      <c r="Q17" s="178" t="str">
        <f aca="false">Proteção!N17</f>
        <v>3RT10 26-1AQ00</v>
      </c>
      <c r="R17" s="178" t="n">
        <f aca="false">Proteção!M17</f>
        <v>25</v>
      </c>
      <c r="S17" s="178" t="str">
        <f aca="false">Proteção!Q17</f>
        <v>Diazed DIII gG (5SB4 11)</v>
      </c>
      <c r="T17" s="178" t="n">
        <f aca="false">Proteção!R17</f>
        <v>35</v>
      </c>
      <c r="U17" s="181" t="s">
        <v>181</v>
      </c>
      <c r="V17" s="181" t="s">
        <v>181</v>
      </c>
      <c r="W17" s="181" t="s">
        <v>181</v>
      </c>
      <c r="X17" s="181" t="s">
        <v>181</v>
      </c>
    </row>
    <row r="18" s="182" customFormat="true" ht="23.85" hidden="false" customHeight="false" outlineLevel="0" collapsed="false">
      <c r="A18" s="27" t="str">
        <f aca="false">'Previsão de Cargas'!A18</f>
        <v>62 - TUE M13</v>
      </c>
      <c r="B18" s="71"/>
      <c r="C18" s="174" t="s">
        <v>92</v>
      </c>
      <c r="D18" s="175" t="n">
        <f aca="false">_Vnom</f>
        <v>380</v>
      </c>
      <c r="E18" s="176" t="n">
        <f aca="false">'Previsão de Cargas'!D18</f>
        <v>30</v>
      </c>
      <c r="F18" s="36" t="n">
        <f aca="false">'Previsão de Cargas'!I18</f>
        <v>23.7765957446809</v>
      </c>
      <c r="G18" s="177" t="n">
        <f aca="false">'Previsão de Cargas'!E18</f>
        <v>0.81</v>
      </c>
      <c r="H18" s="36" t="n">
        <f aca="false">'Previsão de Cargas'!K18</f>
        <v>17.2139581544363</v>
      </c>
      <c r="I18" s="36" t="n">
        <f aca="false">'Previsão de Cargas'!L18</f>
        <v>44.5985183677856</v>
      </c>
      <c r="J18" s="36" t="n">
        <f aca="false">'Capac.Cond.Corre.'!E16</f>
        <v>1</v>
      </c>
      <c r="K18" s="36" t="n">
        <f aca="false">'Capac.Cond.Corre.'!G16</f>
        <v>0.72</v>
      </c>
      <c r="L18" s="178" t="str">
        <f aca="false">'Capac.Cond.Corre.'!J16</f>
        <v>PVC 0,6/1 kV (Sintenax)</v>
      </c>
      <c r="M18" s="179" t="n">
        <v>2</v>
      </c>
      <c r="N18" s="36" t="n">
        <f aca="false">'Queda de Tensão'!K16</f>
        <v>16</v>
      </c>
      <c r="O18" s="180" t="str">
        <f aca="false">Proteção!J18</f>
        <v>3RU11 36-4FB0</v>
      </c>
      <c r="P18" s="178" t="n">
        <f aca="false">Proteção!I18</f>
        <v>32.1862082313743</v>
      </c>
      <c r="Q18" s="178" t="str">
        <f aca="false">Proteção!N18</f>
        <v>K1/K2: 3RT10 36-1AQ00 | K3: 3RT10 25-1AQ00 (17 A)</v>
      </c>
      <c r="R18" s="178" t="n">
        <f aca="false">Proteção!M18</f>
        <v>50</v>
      </c>
      <c r="S18" s="178" t="str">
        <f aca="false">Proteção!Q18</f>
        <v>NH00 gG (3NA3 824)</v>
      </c>
      <c r="T18" s="178" t="n">
        <f aca="false">Proteção!R18</f>
        <v>80</v>
      </c>
      <c r="U18" s="181" t="s">
        <v>181</v>
      </c>
      <c r="V18" s="181" t="s">
        <v>181</v>
      </c>
      <c r="W18" s="181" t="s">
        <v>181</v>
      </c>
      <c r="X18" s="181" t="s">
        <v>181</v>
      </c>
    </row>
    <row r="19" s="182" customFormat="true" ht="23.85" hidden="false" customHeight="false" outlineLevel="0" collapsed="false">
      <c r="A19" s="27" t="str">
        <f aca="false">'Previsão de Cargas'!A19</f>
        <v>63 - TUE M14</v>
      </c>
      <c r="B19" s="71"/>
      <c r="C19" s="174" t="s">
        <v>93</v>
      </c>
      <c r="D19" s="175" t="n">
        <f aca="false">_Vnom</f>
        <v>380</v>
      </c>
      <c r="E19" s="176" t="n">
        <f aca="false">'Previsão de Cargas'!D19</f>
        <v>30</v>
      </c>
      <c r="F19" s="36" t="n">
        <f aca="false">'Previsão de Cargas'!I19</f>
        <v>23.7765957446809</v>
      </c>
      <c r="G19" s="177" t="n">
        <f aca="false">'Previsão de Cargas'!E19</f>
        <v>0.81</v>
      </c>
      <c r="H19" s="36" t="n">
        <f aca="false">'Previsão de Cargas'!K19</f>
        <v>17.2139581544363</v>
      </c>
      <c r="I19" s="36" t="n">
        <f aca="false">'Previsão de Cargas'!L19</f>
        <v>44.5985183677856</v>
      </c>
      <c r="J19" s="36" t="n">
        <f aca="false">'Capac.Cond.Corre.'!E17</f>
        <v>1</v>
      </c>
      <c r="K19" s="36" t="n">
        <f aca="false">'Capac.Cond.Corre.'!G17</f>
        <v>0.72</v>
      </c>
      <c r="L19" s="178" t="str">
        <f aca="false">'Capac.Cond.Corre.'!J17</f>
        <v>PVC 0,6/1 kV (Sintenax)</v>
      </c>
      <c r="M19" s="179" t="n">
        <v>2</v>
      </c>
      <c r="N19" s="36" t="n">
        <f aca="false">'Queda de Tensão'!K17</f>
        <v>16</v>
      </c>
      <c r="O19" s="180" t="str">
        <f aca="false">Proteção!J19</f>
        <v>3RU11 36-4FB0</v>
      </c>
      <c r="P19" s="178" t="n">
        <f aca="false">Proteção!I19</f>
        <v>32.1862082313743</v>
      </c>
      <c r="Q19" s="178" t="str">
        <f aca="false">Proteção!N19</f>
        <v>K1/K2: 3RT10 36-1AQ00 | K3: 3RT10 25-1AQ00 (17 A)</v>
      </c>
      <c r="R19" s="178" t="n">
        <f aca="false">Proteção!M19</f>
        <v>50</v>
      </c>
      <c r="S19" s="178" t="str">
        <f aca="false">Proteção!Q19</f>
        <v>NH00 gG (3NA3 824)</v>
      </c>
      <c r="T19" s="178" t="n">
        <f aca="false">Proteção!R19</f>
        <v>80</v>
      </c>
      <c r="U19" s="181" t="s">
        <v>181</v>
      </c>
      <c r="V19" s="181" t="s">
        <v>181</v>
      </c>
      <c r="W19" s="181" t="s">
        <v>181</v>
      </c>
      <c r="X19" s="181" t="s">
        <v>181</v>
      </c>
    </row>
    <row r="20" s="182" customFormat="true" ht="16.4" hidden="false" customHeight="false" outlineLevel="0" collapsed="false">
      <c r="A20" s="27" t="str">
        <f aca="false">'Previsão de Cargas'!A20</f>
        <v>64 - TUE M15</v>
      </c>
      <c r="B20" s="71" t="str">
        <f aca="false">'Previsão de Cargas'!B20</f>
        <v>CCM3</v>
      </c>
      <c r="C20" s="174" t="s">
        <v>94</v>
      </c>
      <c r="D20" s="175" t="n">
        <f aca="false">_Vnom</f>
        <v>380</v>
      </c>
      <c r="E20" s="176" t="n">
        <f aca="false">'Previsão de Cargas'!D20</f>
        <v>7.5</v>
      </c>
      <c r="F20" s="36" t="n">
        <f aca="false">'Previsão de Cargas'!I20</f>
        <v>6.14010989010989</v>
      </c>
      <c r="G20" s="177" t="n">
        <f aca="false">'Previsão de Cargas'!E20</f>
        <v>0.78</v>
      </c>
      <c r="H20" s="36" t="n">
        <f aca="false">'Previsão de Cargas'!K20</f>
        <v>4.92609613108018</v>
      </c>
      <c r="I20" s="36" t="n">
        <f aca="false">'Previsão de Cargas'!L20</f>
        <v>11.9601690212848</v>
      </c>
      <c r="J20" s="36" t="n">
        <f aca="false">'Capac.Cond.Corre.'!E18</f>
        <v>1</v>
      </c>
      <c r="K20" s="36" t="n">
        <f aca="false">'Capac.Cond.Corre.'!G18</f>
        <v>0.72</v>
      </c>
      <c r="L20" s="178" t="str">
        <f aca="false">'Capac.Cond.Corre.'!J18</f>
        <v>PVC 0,6/1 kV (Sintenax)</v>
      </c>
      <c r="M20" s="179" t="n">
        <v>1</v>
      </c>
      <c r="N20" s="36" t="n">
        <f aca="false">'Queda de Tensão'!K18</f>
        <v>2.5</v>
      </c>
      <c r="O20" s="180" t="str">
        <f aca="false">Proteção!J20</f>
        <v>3RU11 26-4AB0</v>
      </c>
      <c r="P20" s="178" t="n">
        <f aca="false">Proteção!I20</f>
        <v>14.9502112766061</v>
      </c>
      <c r="Q20" s="178" t="str">
        <f aca="false">Proteção!N20</f>
        <v>3RT10 25-1AQ00</v>
      </c>
      <c r="R20" s="178" t="n">
        <f aca="false">Proteção!M20</f>
        <v>17</v>
      </c>
      <c r="S20" s="178" t="str">
        <f aca="false">Proteção!Q20</f>
        <v>Diazed DII gG (5SB2 81)</v>
      </c>
      <c r="T20" s="178" t="n">
        <f aca="false">Proteção!R20</f>
        <v>25</v>
      </c>
      <c r="U20" s="181" t="s">
        <v>181</v>
      </c>
      <c r="V20" s="181" t="s">
        <v>181</v>
      </c>
      <c r="W20" s="181" t="s">
        <v>181</v>
      </c>
      <c r="X20" s="181" t="s">
        <v>181</v>
      </c>
    </row>
    <row r="21" s="182" customFormat="true" ht="16.4" hidden="false" customHeight="false" outlineLevel="0" collapsed="false">
      <c r="A21" s="27" t="str">
        <f aca="false">'Previsão de Cargas'!A21</f>
        <v>65 - TUE M16</v>
      </c>
      <c r="B21" s="71"/>
      <c r="C21" s="174" t="s">
        <v>95</v>
      </c>
      <c r="D21" s="175" t="n">
        <f aca="false">_Vnom</f>
        <v>380</v>
      </c>
      <c r="E21" s="176" t="n">
        <f aca="false">'Previsão de Cargas'!D21</f>
        <v>7.5</v>
      </c>
      <c r="F21" s="36" t="n">
        <f aca="false">'Previsão de Cargas'!I21</f>
        <v>6.14010989010989</v>
      </c>
      <c r="G21" s="177" t="n">
        <f aca="false">'Previsão de Cargas'!E21</f>
        <v>0.78</v>
      </c>
      <c r="H21" s="36" t="n">
        <f aca="false">'Previsão de Cargas'!K21</f>
        <v>4.92609613108018</v>
      </c>
      <c r="I21" s="36" t="n">
        <f aca="false">'Previsão de Cargas'!L21</f>
        <v>11.9601690212848</v>
      </c>
      <c r="J21" s="36" t="n">
        <f aca="false">'Capac.Cond.Corre.'!E19</f>
        <v>1</v>
      </c>
      <c r="K21" s="36" t="n">
        <f aca="false">'Capac.Cond.Corre.'!G19</f>
        <v>0.72</v>
      </c>
      <c r="L21" s="178" t="str">
        <f aca="false">'Capac.Cond.Corre.'!J19</f>
        <v>PVC 0,6/1 kV (Sintenax)</v>
      </c>
      <c r="M21" s="179" t="n">
        <v>1</v>
      </c>
      <c r="N21" s="36" t="n">
        <f aca="false">'Queda de Tensão'!K19</f>
        <v>2.5</v>
      </c>
      <c r="O21" s="180" t="str">
        <f aca="false">Proteção!J21</f>
        <v>3RU11 26-4AB0</v>
      </c>
      <c r="P21" s="178" t="n">
        <f aca="false">Proteção!I21</f>
        <v>14.9502112766061</v>
      </c>
      <c r="Q21" s="178" t="str">
        <f aca="false">Proteção!N21</f>
        <v>3RT10 25-1AQ00</v>
      </c>
      <c r="R21" s="178" t="n">
        <f aca="false">Proteção!M21</f>
        <v>17</v>
      </c>
      <c r="S21" s="178" t="str">
        <f aca="false">Proteção!Q21</f>
        <v>Diazed DII gG (5SB2 81)</v>
      </c>
      <c r="T21" s="178" t="n">
        <f aca="false">Proteção!R21</f>
        <v>25</v>
      </c>
      <c r="U21" s="181" t="s">
        <v>181</v>
      </c>
      <c r="V21" s="181" t="s">
        <v>181</v>
      </c>
      <c r="W21" s="181" t="s">
        <v>181</v>
      </c>
      <c r="X21" s="181" t="s">
        <v>181</v>
      </c>
    </row>
    <row r="22" s="182" customFormat="true" ht="16.4" hidden="false" customHeight="false" outlineLevel="0" collapsed="false">
      <c r="A22" s="27" t="str">
        <f aca="false">'Previsão de Cargas'!A22</f>
        <v>66 - TUE M17</v>
      </c>
      <c r="B22" s="71"/>
      <c r="C22" s="174" t="s">
        <v>96</v>
      </c>
      <c r="D22" s="175" t="n">
        <f aca="false">_Vnom</f>
        <v>380</v>
      </c>
      <c r="E22" s="176" t="n">
        <f aca="false">'Previsão de Cargas'!D22</f>
        <v>7.5</v>
      </c>
      <c r="F22" s="36" t="n">
        <f aca="false">'Previsão de Cargas'!I22</f>
        <v>6.14010989010989</v>
      </c>
      <c r="G22" s="177" t="n">
        <f aca="false">'Previsão de Cargas'!E22</f>
        <v>0.78</v>
      </c>
      <c r="H22" s="36" t="n">
        <f aca="false">'Previsão de Cargas'!K22</f>
        <v>4.92609613108018</v>
      </c>
      <c r="I22" s="36" t="n">
        <f aca="false">'Previsão de Cargas'!L22</f>
        <v>11.9601690212848</v>
      </c>
      <c r="J22" s="36" t="n">
        <f aca="false">'Capac.Cond.Corre.'!E20</f>
        <v>1</v>
      </c>
      <c r="K22" s="36" t="n">
        <f aca="false">'Capac.Cond.Corre.'!G20</f>
        <v>0.72</v>
      </c>
      <c r="L22" s="178" t="str">
        <f aca="false">'Capac.Cond.Corre.'!J20</f>
        <v>PVC 0,6/1 kV (Sintenax)</v>
      </c>
      <c r="M22" s="179" t="n">
        <v>1</v>
      </c>
      <c r="N22" s="36" t="n">
        <f aca="false">'Queda de Tensão'!K20</f>
        <v>2.5</v>
      </c>
      <c r="O22" s="180" t="str">
        <f aca="false">Proteção!J22</f>
        <v>3RU11 26-4AB0</v>
      </c>
      <c r="P22" s="178" t="n">
        <f aca="false">Proteção!I22</f>
        <v>14.9502112766061</v>
      </c>
      <c r="Q22" s="178" t="str">
        <f aca="false">Proteção!N22</f>
        <v>3RT10 25-1AQ00</v>
      </c>
      <c r="R22" s="178" t="n">
        <f aca="false">Proteção!M22</f>
        <v>17</v>
      </c>
      <c r="S22" s="178" t="str">
        <f aca="false">Proteção!Q22</f>
        <v>Diazed DII gG (5SB2 81)</v>
      </c>
      <c r="T22" s="178" t="n">
        <f aca="false">Proteção!R22</f>
        <v>25</v>
      </c>
      <c r="U22" s="181" t="s">
        <v>181</v>
      </c>
      <c r="V22" s="181" t="s">
        <v>181</v>
      </c>
      <c r="W22" s="181" t="s">
        <v>181</v>
      </c>
      <c r="X22" s="181" t="s">
        <v>181</v>
      </c>
    </row>
    <row r="23" s="182" customFormat="true" ht="16.4" hidden="false" customHeight="false" outlineLevel="0" collapsed="false">
      <c r="A23" s="27" t="str">
        <f aca="false">'Previsão de Cargas'!A23</f>
        <v>67 - TUE M18</v>
      </c>
      <c r="B23" s="71"/>
      <c r="C23" s="174" t="s">
        <v>97</v>
      </c>
      <c r="D23" s="175" t="n">
        <f aca="false">_Vnom</f>
        <v>380</v>
      </c>
      <c r="E23" s="176" t="n">
        <f aca="false">'Previsão de Cargas'!D23</f>
        <v>7.5</v>
      </c>
      <c r="F23" s="36" t="n">
        <f aca="false">'Previsão de Cargas'!I23</f>
        <v>6.14010989010989</v>
      </c>
      <c r="G23" s="177" t="n">
        <f aca="false">'Previsão de Cargas'!E23</f>
        <v>0.78</v>
      </c>
      <c r="H23" s="36" t="n">
        <f aca="false">'Previsão de Cargas'!K23</f>
        <v>4.92609613108018</v>
      </c>
      <c r="I23" s="36" t="n">
        <f aca="false">'Previsão de Cargas'!L23</f>
        <v>11.9601690212848</v>
      </c>
      <c r="J23" s="36" t="n">
        <f aca="false">'Capac.Cond.Corre.'!E21</f>
        <v>1</v>
      </c>
      <c r="K23" s="36" t="n">
        <f aca="false">'Capac.Cond.Corre.'!G21</f>
        <v>0.72</v>
      </c>
      <c r="L23" s="178" t="str">
        <f aca="false">'Capac.Cond.Corre.'!J21</f>
        <v>PVC 0,6/1 kV (Sintenax)</v>
      </c>
      <c r="M23" s="179" t="n">
        <v>1</v>
      </c>
      <c r="N23" s="36" t="n">
        <f aca="false">'Queda de Tensão'!K21</f>
        <v>2.5</v>
      </c>
      <c r="O23" s="180" t="str">
        <f aca="false">Proteção!J23</f>
        <v>3RU11 26-4AB0</v>
      </c>
      <c r="P23" s="178" t="n">
        <f aca="false">Proteção!I23</f>
        <v>14.9502112766061</v>
      </c>
      <c r="Q23" s="178" t="str">
        <f aca="false">Proteção!N23</f>
        <v>3RT10 25-1AQ00</v>
      </c>
      <c r="R23" s="178" t="n">
        <f aca="false">Proteção!M23</f>
        <v>17</v>
      </c>
      <c r="S23" s="178" t="str">
        <f aca="false">Proteção!Q23</f>
        <v>Diazed DII gG (5SB2 81)</v>
      </c>
      <c r="T23" s="178" t="n">
        <f aca="false">Proteção!R23</f>
        <v>25</v>
      </c>
      <c r="U23" s="181" t="s">
        <v>181</v>
      </c>
      <c r="V23" s="181" t="s">
        <v>181</v>
      </c>
      <c r="W23" s="181" t="s">
        <v>181</v>
      </c>
      <c r="X23" s="181" t="s">
        <v>181</v>
      </c>
    </row>
    <row r="24" s="182" customFormat="true" ht="23.85" hidden="false" customHeight="false" outlineLevel="0" collapsed="false">
      <c r="A24" s="27" t="str">
        <f aca="false">'Previsão de Cargas'!A24</f>
        <v>68 - TUE M19</v>
      </c>
      <c r="B24" s="71"/>
      <c r="C24" s="174" t="s">
        <v>98</v>
      </c>
      <c r="D24" s="175" t="n">
        <f aca="false">_Vnom</f>
        <v>380</v>
      </c>
      <c r="E24" s="176" t="n">
        <f aca="false">'Previsão de Cargas'!D24</f>
        <v>20</v>
      </c>
      <c r="F24" s="36" t="n">
        <f aca="false">'Previsão de Cargas'!I24</f>
        <v>16.0215053763441</v>
      </c>
      <c r="G24" s="177" t="n">
        <f aca="false">'Previsão de Cargas'!E24</f>
        <v>0.81</v>
      </c>
      <c r="H24" s="36" t="n">
        <f aca="false">'Previsão de Cargas'!K24</f>
        <v>11.5993696524517</v>
      </c>
      <c r="I24" s="36" t="n">
        <f aca="false">'Previsão de Cargas'!L24</f>
        <v>30.052048219153</v>
      </c>
      <c r="J24" s="36" t="n">
        <f aca="false">'Capac.Cond.Corre.'!E22</f>
        <v>1</v>
      </c>
      <c r="K24" s="36" t="n">
        <f aca="false">'Capac.Cond.Corre.'!G22</f>
        <v>0.72</v>
      </c>
      <c r="L24" s="178" t="str">
        <f aca="false">'Capac.Cond.Corre.'!J22</f>
        <v>PVC 0,6/1 kV (Sintenax)</v>
      </c>
      <c r="M24" s="179" t="n">
        <v>2</v>
      </c>
      <c r="N24" s="36" t="n">
        <f aca="false">'Queda de Tensão'!K22</f>
        <v>6</v>
      </c>
      <c r="O24" s="180" t="str">
        <f aca="false">Proteção!J24</f>
        <v>3RU11 36-4DB0</v>
      </c>
      <c r="P24" s="178" t="n">
        <f aca="false">Proteção!I24</f>
        <v>21.6881976612845</v>
      </c>
      <c r="Q24" s="178" t="str">
        <f aca="false">Proteção!N24</f>
        <v>K1/K2: 3RT10 34-1AQ00 | K3: 3RT10 24-1AQ00 (12 A)</v>
      </c>
      <c r="R24" s="178" t="n">
        <f aca="false">Proteção!M24</f>
        <v>32</v>
      </c>
      <c r="S24" s="178" t="str">
        <f aca="false">Proteção!Q24</f>
        <v>Diazed DIII gG (5SB4 21)</v>
      </c>
      <c r="T24" s="178" t="n">
        <f aca="false">Proteção!R24</f>
        <v>50</v>
      </c>
      <c r="U24" s="181" t="s">
        <v>181</v>
      </c>
      <c r="V24" s="181" t="s">
        <v>181</v>
      </c>
      <c r="W24" s="181" t="s">
        <v>181</v>
      </c>
      <c r="X24" s="181" t="s">
        <v>181</v>
      </c>
    </row>
    <row r="25" s="182" customFormat="true" ht="23.85" hidden="false" customHeight="false" outlineLevel="0" collapsed="false">
      <c r="A25" s="27" t="str">
        <f aca="false">'Previsão de Cargas'!A25</f>
        <v>69 - TUE M20</v>
      </c>
      <c r="B25" s="71"/>
      <c r="C25" s="174" t="s">
        <v>99</v>
      </c>
      <c r="D25" s="175" t="n">
        <f aca="false">_Vnom</f>
        <v>380</v>
      </c>
      <c r="E25" s="176" t="n">
        <f aca="false">'Previsão de Cargas'!D25</f>
        <v>20</v>
      </c>
      <c r="F25" s="36" t="n">
        <f aca="false">'Previsão de Cargas'!I25</f>
        <v>16.0215053763441</v>
      </c>
      <c r="G25" s="177" t="n">
        <f aca="false">'Previsão de Cargas'!E25</f>
        <v>0.81</v>
      </c>
      <c r="H25" s="36" t="n">
        <f aca="false">'Previsão de Cargas'!K25</f>
        <v>11.5993696524517</v>
      </c>
      <c r="I25" s="36" t="n">
        <f aca="false">'Previsão de Cargas'!L25</f>
        <v>30.052048219153</v>
      </c>
      <c r="J25" s="36" t="n">
        <f aca="false">'Capac.Cond.Corre.'!E23</f>
        <v>1</v>
      </c>
      <c r="K25" s="36" t="n">
        <f aca="false">'Capac.Cond.Corre.'!G23</f>
        <v>0.72</v>
      </c>
      <c r="L25" s="178" t="str">
        <f aca="false">'Capac.Cond.Corre.'!J23</f>
        <v>PVC 0,6/1 kV (Sintenax)</v>
      </c>
      <c r="M25" s="179" t="n">
        <v>2</v>
      </c>
      <c r="N25" s="36" t="n">
        <f aca="false">'Queda de Tensão'!K23</f>
        <v>6</v>
      </c>
      <c r="O25" s="180" t="str">
        <f aca="false">Proteção!J25</f>
        <v>3RU11 36-4DB0</v>
      </c>
      <c r="P25" s="178" t="n">
        <f aca="false">Proteção!I25</f>
        <v>21.6881976612845</v>
      </c>
      <c r="Q25" s="178" t="str">
        <f aca="false">Proteção!N25</f>
        <v>K1/K2: 3RT10 34-1AQ00 | K3: 3RT10 24-1AQ00 (12 A)</v>
      </c>
      <c r="R25" s="178" t="n">
        <f aca="false">Proteção!M25</f>
        <v>32</v>
      </c>
      <c r="S25" s="178" t="str">
        <f aca="false">Proteção!Q25</f>
        <v>Diazed DIII gG (5SB4 21)</v>
      </c>
      <c r="T25" s="178" t="n">
        <f aca="false">Proteção!R25</f>
        <v>50</v>
      </c>
      <c r="U25" s="181" t="s">
        <v>181</v>
      </c>
      <c r="V25" s="181" t="s">
        <v>181</v>
      </c>
      <c r="W25" s="181" t="s">
        <v>181</v>
      </c>
      <c r="X25" s="181" t="s">
        <v>181</v>
      </c>
    </row>
    <row r="26" s="182" customFormat="true" ht="23.85" hidden="false" customHeight="false" outlineLevel="0" collapsed="false">
      <c r="A26" s="27" t="str">
        <f aca="false">'Previsão de Cargas'!A26</f>
        <v>70 - TUE M21</v>
      </c>
      <c r="B26" s="71"/>
      <c r="C26" s="174" t="s">
        <v>100</v>
      </c>
      <c r="D26" s="175" t="n">
        <f aca="false">_Vnom</f>
        <v>380</v>
      </c>
      <c r="E26" s="176" t="n">
        <f aca="false">'Previsão de Cargas'!D26</f>
        <v>40</v>
      </c>
      <c r="F26" s="36" t="n">
        <f aca="false">'Previsão de Cargas'!I26</f>
        <v>31.5677966101695</v>
      </c>
      <c r="G26" s="177" t="n">
        <f aca="false">'Previsão de Cargas'!E26</f>
        <v>0.84</v>
      </c>
      <c r="H26" s="36" t="n">
        <f aca="false">'Previsão de Cargas'!K26</f>
        <v>20.3907822333669</v>
      </c>
      <c r="I26" s="36" t="n">
        <f aca="false">'Previsão de Cargas'!L26</f>
        <v>57.0979820507666</v>
      </c>
      <c r="J26" s="36" t="n">
        <f aca="false">'Capac.Cond.Corre.'!E24</f>
        <v>1</v>
      </c>
      <c r="K26" s="36" t="n">
        <f aca="false">'Capac.Cond.Corre.'!G24</f>
        <v>0.72</v>
      </c>
      <c r="L26" s="178" t="str">
        <f aca="false">'Capac.Cond.Corre.'!J24</f>
        <v>PVC 0,6/1 kV (Sintenax)</v>
      </c>
      <c r="M26" s="179" t="n">
        <v>2</v>
      </c>
      <c r="N26" s="36" t="n">
        <f aca="false">'Queda de Tensão'!K24</f>
        <v>16</v>
      </c>
      <c r="O26" s="183" t="str">
        <f aca="false">Proteção!J26</f>
        <v>3RU11 46-4HB0</v>
      </c>
      <c r="P26" s="183" t="n">
        <f aca="false">Proteção!I26</f>
        <v>41.2069191339932</v>
      </c>
      <c r="Q26" s="178" t="str">
        <f aca="false">Proteção!N26</f>
        <v>K1/K2: 3RT10 44-1AQ00 | K3: 3RT10 26-1AQ00 (25 A)</v>
      </c>
      <c r="R26" s="178" t="n">
        <f aca="false">Proteção!M26</f>
        <v>65</v>
      </c>
      <c r="S26" s="178" t="str">
        <f aca="false">Proteção!Q26</f>
        <v>NH00 gG (3NA3 830)</v>
      </c>
      <c r="T26" s="178" t="n">
        <f aca="false">Proteção!R26</f>
        <v>100</v>
      </c>
      <c r="U26" s="181" t="s">
        <v>181</v>
      </c>
      <c r="V26" s="181" t="s">
        <v>181</v>
      </c>
      <c r="W26" s="181" t="s">
        <v>181</v>
      </c>
      <c r="X26" s="181" t="s">
        <v>181</v>
      </c>
    </row>
    <row r="27" s="182" customFormat="true" ht="23.85" hidden="false" customHeight="false" outlineLevel="0" collapsed="false">
      <c r="A27" s="27" t="str">
        <f aca="false">'Previsão de Cargas'!A27</f>
        <v>71 - TUE M22</v>
      </c>
      <c r="B27" s="71"/>
      <c r="C27" s="174" t="s">
        <v>101</v>
      </c>
      <c r="D27" s="175" t="n">
        <f aca="false">_Vnom</f>
        <v>380</v>
      </c>
      <c r="E27" s="176" t="n">
        <f aca="false">'Previsão de Cargas'!D27</f>
        <v>40</v>
      </c>
      <c r="F27" s="36" t="n">
        <f aca="false">'Previsão de Cargas'!I27</f>
        <v>31.5677966101695</v>
      </c>
      <c r="G27" s="177" t="n">
        <f aca="false">'Previsão de Cargas'!E27</f>
        <v>0.84</v>
      </c>
      <c r="H27" s="36" t="n">
        <f aca="false">'Previsão de Cargas'!K27</f>
        <v>20.3907822333669</v>
      </c>
      <c r="I27" s="36" t="n">
        <f aca="false">'Previsão de Cargas'!L27</f>
        <v>57.0979820507666</v>
      </c>
      <c r="J27" s="36" t="n">
        <f aca="false">'Capac.Cond.Corre.'!E25</f>
        <v>1</v>
      </c>
      <c r="K27" s="36" t="n">
        <f aca="false">'Capac.Cond.Corre.'!G25</f>
        <v>0.72</v>
      </c>
      <c r="L27" s="178" t="str">
        <f aca="false">'Capac.Cond.Corre.'!J25</f>
        <v>PVC 0,6/1 kV (Sintenax)</v>
      </c>
      <c r="M27" s="179" t="n">
        <v>2</v>
      </c>
      <c r="N27" s="36" t="n">
        <f aca="false">'Queda de Tensão'!K25</f>
        <v>16</v>
      </c>
      <c r="O27" s="183" t="str">
        <f aca="false">Proteção!J27</f>
        <v>3RU11 46-4HB0</v>
      </c>
      <c r="P27" s="183" t="n">
        <f aca="false">Proteção!I27</f>
        <v>41.2069191339932</v>
      </c>
      <c r="Q27" s="178" t="str">
        <f aca="false">Proteção!N27</f>
        <v>K1/K2: 3RT10 44-1AQ00 | K3: 3RT10 26-1AQ00 (25 A)</v>
      </c>
      <c r="R27" s="178" t="n">
        <f aca="false">Proteção!M27</f>
        <v>65</v>
      </c>
      <c r="S27" s="178" t="str">
        <f aca="false">Proteção!Q27</f>
        <v>NH00 gG (3NA3 830)</v>
      </c>
      <c r="T27" s="178" t="n">
        <f aca="false">Proteção!R27</f>
        <v>100</v>
      </c>
      <c r="U27" s="181" t="s">
        <v>181</v>
      </c>
      <c r="V27" s="181" t="s">
        <v>181</v>
      </c>
      <c r="W27" s="181" t="s">
        <v>181</v>
      </c>
      <c r="X27" s="181" t="s">
        <v>181</v>
      </c>
    </row>
    <row r="28" s="182" customFormat="true" ht="53.7" hidden="false" customHeight="false" outlineLevel="0" collapsed="false">
      <c r="A28" s="27" t="str">
        <f aca="false">'Previsão de Cargas'!A28</f>
        <v>72 - TUE M23</v>
      </c>
      <c r="B28" s="71" t="str">
        <f aca="false">'Previsão de Cargas'!B28</f>
        <v>CCM4</v>
      </c>
      <c r="C28" s="174" t="s">
        <v>102</v>
      </c>
      <c r="D28" s="175" t="n">
        <f aca="false">_Vnom</f>
        <v>380</v>
      </c>
      <c r="E28" s="176" t="n">
        <f aca="false">'Previsão de Cargas'!D28</f>
        <v>75</v>
      </c>
      <c r="F28" s="36" t="n">
        <f aca="false">'Previsão de Cargas'!I28</f>
        <v>58.5691823899371</v>
      </c>
      <c r="G28" s="177" t="n">
        <f aca="false">'Previsão de Cargas'!E28</f>
        <v>0.87</v>
      </c>
      <c r="H28" s="36" t="n">
        <f aca="false">'Previsão de Cargas'!K28</f>
        <v>33.1926852871311</v>
      </c>
      <c r="I28" s="36" t="n">
        <f aca="false">'Previsão de Cargas'!L28</f>
        <v>102.283524558519</v>
      </c>
      <c r="J28" s="36" t="n">
        <f aca="false">'Capac.Cond.Corre.'!E26</f>
        <v>1</v>
      </c>
      <c r="K28" s="36" t="n">
        <f aca="false">'Capac.Cond.Corre.'!G26</f>
        <v>0.88</v>
      </c>
      <c r="L28" s="178" t="str">
        <f aca="false">'Capac.Cond.Corre.'!J26</f>
        <v>EPR 0,6/1 kV (Afumex)</v>
      </c>
      <c r="M28" s="179" t="n">
        <v>1</v>
      </c>
      <c r="N28" s="36" t="n">
        <f aca="false">'Queda de Tensão'!K26</f>
        <v>35</v>
      </c>
      <c r="O28" s="178" t="str">
        <f aca="false">Proteção!I28</f>
        <v>Soft-starter WEG SSW07 0130 (130 A) – proteção de sobrecarga integrada, ajuste = FS×IN ≈ 128 A – A CONFIRMAR (pesquisa no catálogo WEG)</v>
      </c>
      <c r="P28" s="178"/>
      <c r="Q28" s="178" t="str">
        <f aca="false">Proteção!N28</f>
        <v>3RT10 55 (150 A) – A CONFIRMAR (slide: mesmo fabricante da soft-starter)</v>
      </c>
      <c r="R28" s="178" t="n">
        <f aca="false">Proteção!M28</f>
        <v>150</v>
      </c>
      <c r="S28" s="178" t="str">
        <f aca="false">Proteção!Q28</f>
        <v>aR ultrarrápido NH1 (WEG FNH1-400K-A) – A CONFIRMAR no manual SSW07</v>
      </c>
      <c r="T28" s="178" t="n">
        <f aca="false">Proteção!R28</f>
        <v>400</v>
      </c>
      <c r="U28" s="181" t="s">
        <v>208</v>
      </c>
      <c r="V28" s="181" t="n">
        <f aca="false">Proteção!R28</f>
        <v>400</v>
      </c>
      <c r="W28" s="181" t="s">
        <v>181</v>
      </c>
      <c r="X28" s="181" t="s">
        <v>181</v>
      </c>
    </row>
    <row r="29" s="182" customFormat="true" ht="53.7" hidden="false" customHeight="false" outlineLevel="0" collapsed="false">
      <c r="A29" s="27" t="str">
        <f aca="false">'Previsão de Cargas'!A29</f>
        <v>73 - TUE M24</v>
      </c>
      <c r="B29" s="71"/>
      <c r="C29" s="116" t="s">
        <v>105</v>
      </c>
      <c r="D29" s="175" t="n">
        <f aca="false">_Vnom</f>
        <v>380</v>
      </c>
      <c r="E29" s="176" t="n">
        <f aca="false">'Previsão de Cargas'!D29</f>
        <v>75</v>
      </c>
      <c r="F29" s="36" t="n">
        <f aca="false">'Previsão de Cargas'!I29</f>
        <v>58.5691823899371</v>
      </c>
      <c r="G29" s="177" t="n">
        <f aca="false">'Previsão de Cargas'!E29</f>
        <v>0.87</v>
      </c>
      <c r="H29" s="36" t="n">
        <f aca="false">'Previsão de Cargas'!K29</f>
        <v>33.1926852871311</v>
      </c>
      <c r="I29" s="36" t="n">
        <f aca="false">'Previsão de Cargas'!L29</f>
        <v>102.283524558519</v>
      </c>
      <c r="J29" s="36" t="n">
        <f aca="false">'Capac.Cond.Corre.'!E27</f>
        <v>1</v>
      </c>
      <c r="K29" s="36" t="n">
        <f aca="false">'Capac.Cond.Corre.'!G27</f>
        <v>0.88</v>
      </c>
      <c r="L29" s="178" t="str">
        <f aca="false">'Capac.Cond.Corre.'!J27</f>
        <v>EPR 0,6/1 kV (Afumex)</v>
      </c>
      <c r="M29" s="179" t="n">
        <v>1</v>
      </c>
      <c r="N29" s="36" t="n">
        <f aca="false">'Queda de Tensão'!K27</f>
        <v>35</v>
      </c>
      <c r="O29" s="178" t="str">
        <f aca="false">Proteção!I29</f>
        <v>Soft-starter WEG SSW07 0130 (130 A) – proteção de sobrecarga integrada, ajuste = FS×IN ≈ 128 A – A CONFIRMAR (pesquisa no catálogo WEG)</v>
      </c>
      <c r="P29" s="178"/>
      <c r="Q29" s="178" t="str">
        <f aca="false">Proteção!N29</f>
        <v>3RT10 55 (150 A) – A CONFIRMAR (slide: mesmo fabricante da soft-starter)</v>
      </c>
      <c r="R29" s="178" t="n">
        <f aca="false">Proteção!M29</f>
        <v>150</v>
      </c>
      <c r="S29" s="178" t="str">
        <f aca="false">Proteção!Q29</f>
        <v>aR ultrarrápido NH1 (WEG FNH1-400K-A) – A CONFIRMAR no manual SSW07</v>
      </c>
      <c r="T29" s="178" t="n">
        <f aca="false">Proteção!R29</f>
        <v>400</v>
      </c>
      <c r="U29" s="181" t="s">
        <v>208</v>
      </c>
      <c r="V29" s="181" t="n">
        <f aca="false">Proteção!R29</f>
        <v>400</v>
      </c>
      <c r="W29" s="181" t="s">
        <v>181</v>
      </c>
      <c r="X29" s="181" t="s">
        <v>181</v>
      </c>
    </row>
    <row r="30" s="182" customFormat="true" ht="23.85" hidden="false" customHeight="false" outlineLevel="0" collapsed="false">
      <c r="A30" s="27" t="str">
        <f aca="false">'Capac.Cond.Corre.'!A28</f>
        <v>Alimentador QD1</v>
      </c>
      <c r="B30" s="184" t="str">
        <f aca="false">'Previsão de Cargas'!P6</f>
        <v>QGBT</v>
      </c>
      <c r="C30" s="116" t="str">
        <f aca="false">'Previsão de Cargas'!Q6</f>
        <v>QD1</v>
      </c>
      <c r="D30" s="175" t="n">
        <f aca="false">_Vnom</f>
        <v>380</v>
      </c>
      <c r="E30" s="185" t="s">
        <v>181</v>
      </c>
      <c r="F30" s="36" t="n">
        <f aca="false">'Previsão de Cargas'!R6</f>
        <v>55.961</v>
      </c>
      <c r="G30" s="131" t="n">
        <f aca="false">'Previsão de Cargas'!R6/'Previsão de Cargas'!T6</f>
        <v>0.809853143905934</v>
      </c>
      <c r="H30" s="36" t="n">
        <f aca="false">'Previsão de Cargas'!S6</f>
        <v>40.5364242792726</v>
      </c>
      <c r="I30" s="36" t="n">
        <f aca="false">'Capac.Cond.Corre.'!D28</f>
        <v>120.965390062164</v>
      </c>
      <c r="J30" s="36" t="n">
        <f aca="false">'Capac.Cond.Corre.'!E28</f>
        <v>1</v>
      </c>
      <c r="K30" s="36" t="n">
        <f aca="false">'Capac.Cond.Corre.'!G28</f>
        <v>0.79</v>
      </c>
      <c r="L30" s="178" t="str">
        <f aca="false">'Capac.Cond.Corre.'!J28</f>
        <v>EPR 0,6/1 kV (Afumex)</v>
      </c>
      <c r="M30" s="179" t="n">
        <v>1</v>
      </c>
      <c r="N30" s="36" t="n">
        <f aca="false">'Queda de Tensão'!K28</f>
        <v>35</v>
      </c>
      <c r="O30" s="186" t="s">
        <v>181</v>
      </c>
      <c r="P30" s="181" t="s">
        <v>181</v>
      </c>
      <c r="Q30" s="181" t="s">
        <v>181</v>
      </c>
      <c r="R30" s="181" t="s">
        <v>181</v>
      </c>
      <c r="S30" s="181" t="s">
        <v>181</v>
      </c>
      <c r="T30" s="181" t="s">
        <v>181</v>
      </c>
      <c r="U30" s="181" t="s">
        <v>181</v>
      </c>
      <c r="V30" s="181" t="s">
        <v>181</v>
      </c>
      <c r="W30" s="178" t="str">
        <f aca="false">Proteção!AC30</f>
        <v>Disjuntor termomagnético tripolar (Tarefa 1)</v>
      </c>
      <c r="X30" s="178" t="n">
        <f aca="false">Proteção!AD30</f>
        <v>125</v>
      </c>
    </row>
    <row r="31" s="182" customFormat="true" ht="23.85" hidden="false" customHeight="false" outlineLevel="0" collapsed="false">
      <c r="A31" s="27" t="str">
        <f aca="false">'Capac.Cond.Corre.'!A29</f>
        <v>Alimentador QD2</v>
      </c>
      <c r="B31" s="184"/>
      <c r="C31" s="116" t="str">
        <f aca="false">'Previsão de Cargas'!Q7</f>
        <v>QD2</v>
      </c>
      <c r="D31" s="175" t="n">
        <f aca="false">_Vnom</f>
        <v>380</v>
      </c>
      <c r="E31" s="185" t="s">
        <v>181</v>
      </c>
      <c r="F31" s="36" t="n">
        <f aca="false">'Previsão de Cargas'!R7</f>
        <v>77.6251</v>
      </c>
      <c r="G31" s="131" t="n">
        <f aca="false">'Previsão de Cargas'!R7/'Previsão de Cargas'!T7</f>
        <v>0.818922258923541</v>
      </c>
      <c r="H31" s="36" t="n">
        <f aca="false">'Previsão de Cargas'!S7</f>
        <v>54.4000250643333</v>
      </c>
      <c r="I31" s="36" t="n">
        <f aca="false">'Capac.Cond.Corre.'!D29</f>
        <v>161.924544707008</v>
      </c>
      <c r="J31" s="36" t="n">
        <f aca="false">'Capac.Cond.Corre.'!E29</f>
        <v>1</v>
      </c>
      <c r="K31" s="36" t="n">
        <f aca="false">'Capac.Cond.Corre.'!G29</f>
        <v>0.79</v>
      </c>
      <c r="L31" s="178" t="str">
        <f aca="false">'Capac.Cond.Corre.'!J29</f>
        <v>EPR 0,6/1 kV (Afumex)</v>
      </c>
      <c r="M31" s="179" t="n">
        <v>1</v>
      </c>
      <c r="N31" s="36" t="n">
        <f aca="false">'Queda de Tensão'!K29</f>
        <v>70</v>
      </c>
      <c r="O31" s="186" t="s">
        <v>181</v>
      </c>
      <c r="P31" s="181" t="s">
        <v>181</v>
      </c>
      <c r="Q31" s="181" t="s">
        <v>181</v>
      </c>
      <c r="R31" s="181" t="s">
        <v>181</v>
      </c>
      <c r="S31" s="181" t="s">
        <v>181</v>
      </c>
      <c r="T31" s="181" t="s">
        <v>181</v>
      </c>
      <c r="U31" s="181" t="s">
        <v>181</v>
      </c>
      <c r="V31" s="181" t="s">
        <v>181</v>
      </c>
      <c r="W31" s="178" t="str">
        <f aca="false">Proteção!AC31</f>
        <v>Disjuntor termomagnético tripolar (Tarefa 1)</v>
      </c>
      <c r="X31" s="178" t="n">
        <f aca="false">Proteção!AD31</f>
        <v>200</v>
      </c>
    </row>
    <row r="32" s="182" customFormat="true" ht="31.3" hidden="false" customHeight="false" outlineLevel="0" collapsed="false">
      <c r="A32" s="27" t="str">
        <f aca="false">'Capac.Cond.Corre.'!A30</f>
        <v>Alimentador QD3</v>
      </c>
      <c r="B32" s="184"/>
      <c r="C32" s="116" t="str">
        <f aca="false">'Previsão de Cargas'!Q8</f>
        <v>QD3</v>
      </c>
      <c r="D32" s="175" t="n">
        <f aca="false">_Vnom</f>
        <v>380</v>
      </c>
      <c r="E32" s="185" t="s">
        <v>181</v>
      </c>
      <c r="F32" s="36" t="n">
        <f aca="false">'Previsão de Cargas'!R8</f>
        <v>19.5458</v>
      </c>
      <c r="G32" s="131" t="n">
        <f aca="false">'Previsão de Cargas'!R8/'Previsão de Cargas'!T8</f>
        <v>0.906874586907457</v>
      </c>
      <c r="H32" s="36" t="n">
        <f aca="false">'Previsão de Cargas'!S8</f>
        <v>9.08241600599657</v>
      </c>
      <c r="I32" s="36" t="n">
        <f aca="false">'Capac.Cond.Corre.'!D30</f>
        <v>42.5450585552223</v>
      </c>
      <c r="J32" s="36" t="n">
        <f aca="false">'Capac.Cond.Corre.'!E30</f>
        <v>1</v>
      </c>
      <c r="K32" s="36" t="n">
        <f aca="false">'Capac.Cond.Corre.'!G30</f>
        <v>1</v>
      </c>
      <c r="L32" s="178" t="str">
        <f aca="false">'Capac.Cond.Corre.'!J30</f>
        <v>PVC 450/750 V (T1, eletroduto embutido)</v>
      </c>
      <c r="M32" s="179" t="n">
        <v>1</v>
      </c>
      <c r="N32" s="36" t="n">
        <f aca="false">'Queda de Tensão'!K30</f>
        <v>10</v>
      </c>
      <c r="O32" s="187" t="s">
        <v>181</v>
      </c>
      <c r="P32" s="187" t="s">
        <v>181</v>
      </c>
      <c r="Q32" s="187" t="s">
        <v>181</v>
      </c>
      <c r="R32" s="187" t="s">
        <v>181</v>
      </c>
      <c r="S32" s="181" t="s">
        <v>181</v>
      </c>
      <c r="T32" s="181" t="s">
        <v>181</v>
      </c>
      <c r="U32" s="181" t="s">
        <v>181</v>
      </c>
      <c r="V32" s="181" t="s">
        <v>181</v>
      </c>
      <c r="W32" s="178" t="str">
        <f aca="false">Proteção!AC32</f>
        <v>Disjuntor termomagnético tripolar (Tarefa 1)</v>
      </c>
      <c r="X32" s="178" t="n">
        <f aca="false">Proteção!AD32</f>
        <v>50</v>
      </c>
    </row>
    <row r="33" s="182" customFormat="true" ht="31.3" hidden="false" customHeight="false" outlineLevel="0" collapsed="false">
      <c r="A33" s="27" t="str">
        <f aca="false">'Capac.Cond.Corre.'!A31</f>
        <v>Alimentador QD4</v>
      </c>
      <c r="B33" s="184"/>
      <c r="C33" s="116" t="str">
        <f aca="false">'Previsão de Cargas'!Q9</f>
        <v>QD4</v>
      </c>
      <c r="D33" s="175" t="n">
        <f aca="false">_Vnom</f>
        <v>380</v>
      </c>
      <c r="E33" s="185" t="s">
        <v>181</v>
      </c>
      <c r="F33" s="36" t="n">
        <f aca="false">'Previsão de Cargas'!R9</f>
        <v>22.596</v>
      </c>
      <c r="G33" s="131" t="n">
        <f aca="false">'Previsão de Cargas'!R9/'Previsão de Cargas'!T9</f>
        <v>0.922121430198109</v>
      </c>
      <c r="H33" s="36" t="n">
        <f aca="false">'Previsão de Cargas'!S9</f>
        <v>9.48075327935214</v>
      </c>
      <c r="I33" s="36" t="n">
        <f aca="false">'Capac.Cond.Corre.'!D31</f>
        <v>53.0234538328167</v>
      </c>
      <c r="J33" s="36" t="n">
        <f aca="false">'Capac.Cond.Corre.'!E31</f>
        <v>1</v>
      </c>
      <c r="K33" s="36" t="n">
        <f aca="false">'Capac.Cond.Corre.'!G31</f>
        <v>1</v>
      </c>
      <c r="L33" s="178" t="str">
        <f aca="false">'Capac.Cond.Corre.'!J31</f>
        <v>PVC 450/750 V (T1, eletroduto embutido)</v>
      </c>
      <c r="M33" s="179" t="n">
        <v>1</v>
      </c>
      <c r="N33" s="36" t="n">
        <f aca="false">'Queda de Tensão'!K31</f>
        <v>16</v>
      </c>
      <c r="O33" s="187" t="s">
        <v>181</v>
      </c>
      <c r="P33" s="187" t="s">
        <v>181</v>
      </c>
      <c r="Q33" s="187" t="s">
        <v>181</v>
      </c>
      <c r="R33" s="187" t="s">
        <v>181</v>
      </c>
      <c r="S33" s="181" t="s">
        <v>181</v>
      </c>
      <c r="T33" s="181" t="s">
        <v>181</v>
      </c>
      <c r="U33" s="181" t="s">
        <v>181</v>
      </c>
      <c r="V33" s="181" t="s">
        <v>181</v>
      </c>
      <c r="W33" s="178" t="str">
        <f aca="false">Proteção!AC33</f>
        <v>Disjuntor termomagnético tripolar (Tarefa 1)</v>
      </c>
      <c r="X33" s="178" t="n">
        <f aca="false">Proteção!AD33</f>
        <v>63</v>
      </c>
    </row>
    <row r="34" s="182" customFormat="true" ht="31.3" hidden="false" customHeight="false" outlineLevel="0" collapsed="false">
      <c r="A34" s="27" t="str">
        <f aca="false">'Capac.Cond.Corre.'!A32</f>
        <v>Alimentador CCM1</v>
      </c>
      <c r="B34" s="184"/>
      <c r="C34" s="116" t="str">
        <f aca="false">'Previsão de Cargas'!Q10</f>
        <v>CCM1</v>
      </c>
      <c r="D34" s="175" t="n">
        <f aca="false">_Vnom</f>
        <v>380</v>
      </c>
      <c r="E34" s="185" t="s">
        <v>181</v>
      </c>
      <c r="F34" s="36" t="n">
        <f aca="false">'Previsão de Cargas'!R10</f>
        <v>65.0246680693608</v>
      </c>
      <c r="G34" s="131" t="n">
        <f aca="false">'Previsão de Cargas'!R10/'Previsão de Cargas'!T10</f>
        <v>0.814573140259511</v>
      </c>
      <c r="H34" s="36" t="n">
        <f aca="false">'Previsão de Cargas'!S10</f>
        <v>46.3043315542897</v>
      </c>
      <c r="I34" s="36" t="n">
        <f aca="false">'Capac.Cond.Corre.'!D32</f>
        <v>80.5326358307487</v>
      </c>
      <c r="J34" s="36" t="n">
        <f aca="false">'Capac.Cond.Corre.'!E32</f>
        <v>1</v>
      </c>
      <c r="K34" s="36" t="n">
        <f aca="false">'Capac.Cond.Corre.'!G32</f>
        <v>0.79</v>
      </c>
      <c r="L34" s="178" t="str">
        <f aca="false">'Capac.Cond.Corre.'!J32</f>
        <v>EPR 0,6/1 kV (Afumex)</v>
      </c>
      <c r="M34" s="179" t="n">
        <v>1</v>
      </c>
      <c r="N34" s="36" t="n">
        <f aca="false">'Queda de Tensão'!K32</f>
        <v>25</v>
      </c>
      <c r="O34" s="187" t="s">
        <v>181</v>
      </c>
      <c r="P34" s="187" t="s">
        <v>181</v>
      </c>
      <c r="Q34" s="187" t="s">
        <v>181</v>
      </c>
      <c r="R34" s="187" t="s">
        <v>181</v>
      </c>
      <c r="S34" s="178" t="str">
        <f aca="false">Proteção!Y6</f>
        <v>NH00 gG (3NA3 836)</v>
      </c>
      <c r="T34" s="178" t="n">
        <f aca="false">Proteção!Z6</f>
        <v>160</v>
      </c>
      <c r="U34" s="178" t="str">
        <f aca="false">Proteção!AA6</f>
        <v>Seccionadora tripolar sob carga 160 A, com base NH00</v>
      </c>
      <c r="V34" s="178" t="n">
        <f aca="false">Proteção!AB6</f>
        <v>160</v>
      </c>
      <c r="W34" s="181" t="str">
        <f aca="false">Proteção!AC6</f>
        <v>Disjuntor termomagnético tripolar (caixa moldada), no QGBT</v>
      </c>
      <c r="X34" s="181" t="n">
        <f aca="false">Proteção!AD6</f>
        <v>100</v>
      </c>
    </row>
    <row r="35" s="182" customFormat="true" ht="31.3" hidden="false" customHeight="false" outlineLevel="0" collapsed="false">
      <c r="A35" s="27" t="str">
        <f aca="false">'Capac.Cond.Corre.'!A33</f>
        <v>Alimentador CCM2</v>
      </c>
      <c r="B35" s="184"/>
      <c r="C35" s="116" t="str">
        <f aca="false">'Previsão de Cargas'!Q11</f>
        <v>CCM2</v>
      </c>
      <c r="D35" s="175" t="n">
        <f aca="false">_Vnom</f>
        <v>380</v>
      </c>
      <c r="E35" s="185" t="s">
        <v>181</v>
      </c>
      <c r="F35" s="36" t="n">
        <f aca="false">'Previsão de Cargas'!R11</f>
        <v>79.9444958371878</v>
      </c>
      <c r="G35" s="131" t="n">
        <f aca="false">'Previsão de Cargas'!R11/'Previsão de Cargas'!T11</f>
        <v>0.822170808822067</v>
      </c>
      <c r="H35" s="36" t="n">
        <f aca="false">'Previsão de Cargas'!S11</f>
        <v>55.3506319918056</v>
      </c>
      <c r="I35" s="36" t="n">
        <f aca="false">'Capac.Cond.Corre.'!D33</f>
        <v>99.5226308753054</v>
      </c>
      <c r="J35" s="36" t="n">
        <f aca="false">'Capac.Cond.Corre.'!E33</f>
        <v>1</v>
      </c>
      <c r="K35" s="36" t="n">
        <f aca="false">'Capac.Cond.Corre.'!G33</f>
        <v>0.79</v>
      </c>
      <c r="L35" s="178" t="str">
        <f aca="false">'Capac.Cond.Corre.'!J33</f>
        <v>EPR 0,6/1 kV (Afumex)</v>
      </c>
      <c r="M35" s="179" t="n">
        <v>1</v>
      </c>
      <c r="N35" s="36" t="n">
        <f aca="false">'Queda de Tensão'!K33</f>
        <v>25</v>
      </c>
      <c r="O35" s="187" t="s">
        <v>181</v>
      </c>
      <c r="P35" s="187" t="s">
        <v>181</v>
      </c>
      <c r="Q35" s="187" t="s">
        <v>181</v>
      </c>
      <c r="R35" s="187" t="s">
        <v>181</v>
      </c>
      <c r="S35" s="178" t="str">
        <f aca="false">Proteção!Y14</f>
        <v>NH1 gG (3NA3 140)</v>
      </c>
      <c r="T35" s="178" t="n">
        <f aca="false">Proteção!Z14</f>
        <v>200</v>
      </c>
      <c r="U35" s="178" t="str">
        <f aca="false">Proteção!AA14</f>
        <v>Seccionadora tripolar sob carga 200 A, com base NH1</v>
      </c>
      <c r="V35" s="178" t="n">
        <f aca="false">Proteção!AB14</f>
        <v>200</v>
      </c>
      <c r="W35" s="181" t="str">
        <f aca="false">Proteção!AC14</f>
        <v>Disjuntor termomagnético tripolar (caixa moldada), no QGBT</v>
      </c>
      <c r="X35" s="181" t="n">
        <f aca="false">Proteção!AD14</f>
        <v>100</v>
      </c>
    </row>
    <row r="36" s="182" customFormat="true" ht="31.3" hidden="false" customHeight="false" outlineLevel="0" collapsed="false">
      <c r="A36" s="27" t="str">
        <f aca="false">'Capac.Cond.Corre.'!A34</f>
        <v>Alimentador CCM3</v>
      </c>
      <c r="B36" s="184"/>
      <c r="C36" s="116" t="str">
        <f aca="false">'Previsão de Cargas'!Q12</f>
        <v>CCM3</v>
      </c>
      <c r="D36" s="175" t="n">
        <f aca="false">_Vnom</f>
        <v>380</v>
      </c>
      <c r="E36" s="185" t="s">
        <v>181</v>
      </c>
      <c r="F36" s="36" t="n">
        <f aca="false">'Previsão de Cargas'!R12</f>
        <v>119.739043533467</v>
      </c>
      <c r="G36" s="131" t="n">
        <f aca="false">'Previsão de Cargas'!R12/'Previsão de Cargas'!T12</f>
        <v>0.81965826401308</v>
      </c>
      <c r="H36" s="36" t="n">
        <f aca="false">'Previsão de Cargas'!S12</f>
        <v>83.684688295958</v>
      </c>
      <c r="I36" s="36" t="n">
        <f aca="false">'Capac.Cond.Corre.'!D34</f>
        <v>150.16347916849</v>
      </c>
      <c r="J36" s="36" t="n">
        <f aca="false">'Capac.Cond.Corre.'!E34</f>
        <v>1</v>
      </c>
      <c r="K36" s="36" t="n">
        <f aca="false">'Capac.Cond.Corre.'!G34</f>
        <v>0.79</v>
      </c>
      <c r="L36" s="178" t="str">
        <f aca="false">'Capac.Cond.Corre.'!J34</f>
        <v>EPR 0,6/1 kV (Afumex)</v>
      </c>
      <c r="M36" s="179" t="n">
        <v>1</v>
      </c>
      <c r="N36" s="36" t="n">
        <f aca="false">'Queda de Tensão'!K34</f>
        <v>50</v>
      </c>
      <c r="O36" s="187" t="s">
        <v>181</v>
      </c>
      <c r="P36" s="187" t="s">
        <v>181</v>
      </c>
      <c r="Q36" s="187" t="s">
        <v>181</v>
      </c>
      <c r="R36" s="187" t="s">
        <v>181</v>
      </c>
      <c r="S36" s="178" t="str">
        <f aca="false">Proteção!Y20</f>
        <v>NH2 gG (3NA3 250)</v>
      </c>
      <c r="T36" s="178" t="n">
        <f aca="false">Proteção!Z20</f>
        <v>300</v>
      </c>
      <c r="U36" s="178" t="str">
        <f aca="false">Proteção!AA20</f>
        <v>Seccionadora tripolar sob carga 300 A, com base NH2</v>
      </c>
      <c r="V36" s="178" t="n">
        <f aca="false">Proteção!AB20</f>
        <v>300</v>
      </c>
      <c r="W36" s="181" t="str">
        <f aca="false">Proteção!AC20</f>
        <v>Disjuntor termomagnético tripolar (caixa moldada), no QGBT</v>
      </c>
      <c r="X36" s="181" t="n">
        <f aca="false">Proteção!AD20</f>
        <v>160</v>
      </c>
    </row>
    <row r="37" s="182" customFormat="true" ht="46.25" hidden="false" customHeight="false" outlineLevel="0" collapsed="false">
      <c r="A37" s="27" t="str">
        <f aca="false">'Capac.Cond.Corre.'!A35</f>
        <v>Alimentador CCM4</v>
      </c>
      <c r="B37" s="184"/>
      <c r="C37" s="116" t="str">
        <f aca="false">'Previsão de Cargas'!Q13</f>
        <v>CCM4</v>
      </c>
      <c r="D37" s="175" t="n">
        <f aca="false">_Vnom</f>
        <v>380</v>
      </c>
      <c r="E37" s="185" t="s">
        <v>181</v>
      </c>
      <c r="F37" s="36" t="n">
        <f aca="false">'Previsão de Cargas'!R13</f>
        <v>117.138364779874</v>
      </c>
      <c r="G37" s="131" t="n">
        <f aca="false">'Previsão de Cargas'!R13/'Previsão de Cargas'!T13</f>
        <v>0.87</v>
      </c>
      <c r="H37" s="36" t="n">
        <f aca="false">'Previsão de Cargas'!S13</f>
        <v>66.3853705742622</v>
      </c>
      <c r="I37" s="36" t="n">
        <f aca="false">'Capac.Cond.Corre.'!D35</f>
        <v>160.175999458641</v>
      </c>
      <c r="J37" s="36" t="n">
        <f aca="false">'Capac.Cond.Corre.'!E35</f>
        <v>1</v>
      </c>
      <c r="K37" s="36" t="n">
        <f aca="false">'Capac.Cond.Corre.'!G35</f>
        <v>0.79</v>
      </c>
      <c r="L37" s="178" t="str">
        <f aca="false">'Capac.Cond.Corre.'!J35</f>
        <v>EPR 0,6/1 kV (Afumex)</v>
      </c>
      <c r="M37" s="179" t="n">
        <v>1</v>
      </c>
      <c r="N37" s="36" t="n">
        <f aca="false">'Queda de Tensão'!K35</f>
        <v>70</v>
      </c>
      <c r="O37" s="187" t="s">
        <v>181</v>
      </c>
      <c r="P37" s="187" t="s">
        <v>181</v>
      </c>
      <c r="Q37" s="187" t="s">
        <v>181</v>
      </c>
      <c r="R37" s="187" t="s">
        <v>181</v>
      </c>
      <c r="S37" s="178" t="str">
        <f aca="false">Proteção!Y28</f>
        <v>NH3 gG (3NA3 372)</v>
      </c>
      <c r="T37" s="178" t="n">
        <f aca="false">Proteção!Z28</f>
        <v>630</v>
      </c>
      <c r="U37" s="178" t="str">
        <f aca="false">Proteção!AA28</f>
        <v>Seccionadora tripolar sob carga 630 A, com base NH3 – depende do fusível do 75 HP (A CONFIRMAR)</v>
      </c>
      <c r="V37" s="178" t="n">
        <f aca="false">Proteção!AB28</f>
        <v>630</v>
      </c>
      <c r="W37" s="181" t="str">
        <f aca="false">Proteção!AC28</f>
        <v>Disjuntor termomagnético tripolar (caixa moldada), no QGBT</v>
      </c>
      <c r="X37" s="181" t="n">
        <f aca="false">Proteção!AD28</f>
        <v>200</v>
      </c>
    </row>
    <row r="38" s="182" customFormat="true" ht="13.5" hidden="false" customHeight="false" outlineLevel="0" collapsed="false">
      <c r="A38" s="53"/>
      <c r="B38" s="92"/>
      <c r="C38" s="55"/>
      <c r="D38" s="188"/>
      <c r="E38" s="61"/>
      <c r="F38" s="61"/>
      <c r="G38" s="189"/>
      <c r="H38" s="190"/>
      <c r="I38" s="61"/>
      <c r="J38" s="57"/>
      <c r="K38" s="57"/>
      <c r="L38" s="61"/>
      <c r="M38" s="57"/>
      <c r="N38" s="57"/>
      <c r="O38" s="191"/>
      <c r="P38" s="94"/>
      <c r="Q38" s="94"/>
      <c r="R38" s="94"/>
      <c r="S38" s="94"/>
      <c r="T38" s="94"/>
      <c r="U38" s="94"/>
      <c r="V38" s="94"/>
      <c r="W38" s="94"/>
      <c r="X38" s="94"/>
    </row>
    <row r="39" s="182" customFormat="true" ht="13.5" hidden="false" customHeight="false" outlineLevel="0" collapsed="false">
      <c r="A39" s="53"/>
      <c r="B39" s="92"/>
      <c r="C39" s="55"/>
      <c r="D39" s="188"/>
      <c r="E39" s="61"/>
      <c r="F39" s="61"/>
      <c r="G39" s="189"/>
      <c r="H39" s="190"/>
      <c r="I39" s="61"/>
      <c r="J39" s="57"/>
      <c r="K39" s="57"/>
      <c r="L39" s="61"/>
      <c r="M39" s="57"/>
      <c r="N39" s="57"/>
      <c r="O39" s="191"/>
      <c r="P39" s="94"/>
      <c r="Q39" s="94"/>
      <c r="R39" s="94"/>
      <c r="S39" s="94"/>
      <c r="T39" s="94"/>
      <c r="U39" s="94"/>
      <c r="V39" s="94"/>
      <c r="W39" s="94"/>
      <c r="X39" s="94"/>
    </row>
    <row r="40" s="182" customFormat="true" ht="13.5" hidden="false" customHeight="false" outlineLevel="0" collapsed="false">
      <c r="A40" s="53"/>
      <c r="B40" s="92"/>
      <c r="C40" s="55"/>
      <c r="D40" s="188"/>
      <c r="E40" s="61"/>
      <c r="F40" s="61"/>
      <c r="G40" s="189"/>
      <c r="H40" s="190"/>
      <c r="I40" s="61"/>
      <c r="J40" s="57"/>
      <c r="K40" s="57"/>
      <c r="L40" s="61"/>
      <c r="M40" s="57"/>
      <c r="N40" s="57"/>
      <c r="O40" s="191"/>
      <c r="P40" s="94"/>
      <c r="Q40" s="94"/>
      <c r="R40" s="94"/>
      <c r="S40" s="94"/>
      <c r="T40" s="94"/>
      <c r="U40" s="94"/>
      <c r="V40" s="94"/>
      <c r="W40" s="94"/>
      <c r="X40" s="94"/>
    </row>
    <row r="41" s="182" customFormat="true" ht="13.5" hidden="false" customHeight="false" outlineLevel="0" collapsed="false">
      <c r="A41" s="53"/>
      <c r="B41" s="92"/>
      <c r="C41" s="92"/>
      <c r="D41" s="188"/>
      <c r="E41" s="61"/>
      <c r="F41" s="61"/>
      <c r="G41" s="189"/>
      <c r="H41" s="190"/>
      <c r="I41" s="61"/>
      <c r="J41" s="57"/>
      <c r="K41" s="57"/>
      <c r="L41" s="61"/>
      <c r="M41" s="57"/>
      <c r="N41" s="57"/>
      <c r="O41" s="191"/>
      <c r="P41" s="94"/>
      <c r="Q41" s="94"/>
      <c r="R41" s="94"/>
      <c r="S41" s="94"/>
      <c r="T41" s="94"/>
      <c r="U41" s="94"/>
      <c r="V41" s="94"/>
      <c r="W41" s="94"/>
      <c r="X41" s="94"/>
    </row>
    <row r="42" s="182" customFormat="true" ht="13.5" hidden="false" customHeight="false" outlineLevel="0" collapsed="false">
      <c r="A42" s="53"/>
      <c r="B42" s="92"/>
      <c r="C42" s="92"/>
      <c r="D42" s="188"/>
      <c r="E42" s="61"/>
      <c r="F42" s="61"/>
      <c r="G42" s="189"/>
      <c r="H42" s="190"/>
      <c r="I42" s="61"/>
      <c r="J42" s="57"/>
      <c r="K42" s="57"/>
      <c r="L42" s="61"/>
      <c r="M42" s="57"/>
      <c r="N42" s="57"/>
      <c r="O42" s="191"/>
      <c r="P42" s="94"/>
      <c r="Q42" s="94"/>
      <c r="R42" s="94"/>
      <c r="S42" s="94"/>
      <c r="T42" s="94"/>
      <c r="U42" s="94"/>
      <c r="V42" s="94"/>
      <c r="W42" s="94"/>
      <c r="X42" s="94"/>
    </row>
    <row r="43" s="182" customFormat="true" ht="13.5" hidden="false" customHeight="false" outlineLevel="0" collapsed="false">
      <c r="A43" s="53"/>
      <c r="B43" s="92"/>
      <c r="C43" s="92"/>
      <c r="D43" s="132"/>
      <c r="E43" s="132"/>
      <c r="F43" s="132"/>
      <c r="G43" s="132"/>
      <c r="H43" s="132"/>
      <c r="I43" s="132"/>
      <c r="J43" s="192"/>
      <c r="K43" s="132"/>
      <c r="L43" s="193"/>
      <c r="M43" s="132"/>
      <c r="N43" s="132"/>
      <c r="O43" s="192"/>
      <c r="P43" s="192"/>
      <c r="Q43" s="192"/>
      <c r="R43" s="192"/>
      <c r="S43" s="192"/>
      <c r="T43" s="192"/>
      <c r="U43" s="192"/>
      <c r="V43" s="192"/>
      <c r="W43" s="192"/>
      <c r="X43" s="192"/>
    </row>
    <row r="44" s="182" customFormat="true" ht="13.5" hidden="false" customHeight="false" outlineLevel="0" collapsed="false">
      <c r="A44" s="53"/>
      <c r="B44" s="92"/>
      <c r="C44" s="92"/>
      <c r="D44" s="132"/>
      <c r="E44" s="132"/>
      <c r="F44" s="132"/>
      <c r="G44" s="132"/>
      <c r="H44" s="132"/>
      <c r="I44" s="132"/>
      <c r="J44" s="192"/>
      <c r="K44" s="132"/>
      <c r="L44" s="193"/>
      <c r="M44" s="132"/>
      <c r="N44" s="132"/>
      <c r="O44" s="192"/>
      <c r="P44" s="192"/>
      <c r="Q44" s="192"/>
      <c r="R44" s="192"/>
      <c r="S44" s="192"/>
      <c r="T44" s="192"/>
      <c r="U44" s="192"/>
      <c r="V44" s="192"/>
      <c r="W44" s="192"/>
      <c r="X44" s="192"/>
    </row>
    <row r="45" s="182" customFormat="true" ht="13.5" hidden="false" customHeight="false" outlineLevel="0" collapsed="false">
      <c r="A45" s="53"/>
      <c r="B45" s="92"/>
      <c r="C45" s="92"/>
      <c r="D45" s="132"/>
      <c r="E45" s="132"/>
      <c r="F45" s="132"/>
      <c r="G45" s="132"/>
      <c r="H45" s="132"/>
      <c r="I45" s="132"/>
      <c r="J45" s="192"/>
      <c r="K45" s="132"/>
      <c r="L45" s="193"/>
      <c r="M45" s="132"/>
      <c r="N45" s="132"/>
      <c r="O45" s="192"/>
      <c r="P45" s="192"/>
      <c r="Q45" s="192"/>
      <c r="R45" s="192"/>
      <c r="S45" s="192"/>
      <c r="T45" s="192"/>
      <c r="U45" s="192"/>
      <c r="V45" s="192"/>
      <c r="W45" s="192"/>
      <c r="X45" s="192"/>
    </row>
    <row r="46" s="182" customFormat="true" ht="13.5" hidden="false" customHeight="false" outlineLevel="0" collapsed="false">
      <c r="A46" s="53"/>
      <c r="B46" s="92"/>
      <c r="C46" s="92"/>
      <c r="D46" s="132"/>
      <c r="E46" s="132"/>
      <c r="F46" s="132"/>
      <c r="G46" s="132"/>
      <c r="H46" s="132"/>
      <c r="I46" s="132"/>
      <c r="J46" s="192"/>
      <c r="K46" s="132"/>
      <c r="L46" s="193"/>
      <c r="M46" s="132"/>
      <c r="N46" s="132"/>
      <c r="O46" s="192"/>
      <c r="P46" s="192"/>
      <c r="Q46" s="192"/>
      <c r="R46" s="192"/>
      <c r="S46" s="192"/>
      <c r="T46" s="192"/>
      <c r="U46" s="192"/>
      <c r="V46" s="192"/>
      <c r="W46" s="192"/>
      <c r="X46" s="192"/>
    </row>
    <row r="47" s="182" customFormat="true" ht="13.5" hidden="false" customHeight="false" outlineLevel="0" collapsed="false">
      <c r="A47" s="53"/>
      <c r="B47" s="92"/>
      <c r="C47" s="92"/>
      <c r="D47" s="132"/>
      <c r="E47" s="132"/>
      <c r="F47" s="132"/>
      <c r="G47" s="132"/>
      <c r="H47" s="132"/>
      <c r="I47" s="132"/>
      <c r="J47" s="192"/>
      <c r="K47" s="132"/>
      <c r="L47" s="193"/>
      <c r="M47" s="132"/>
      <c r="N47" s="132"/>
      <c r="O47" s="192"/>
      <c r="P47" s="192"/>
      <c r="Q47" s="192"/>
      <c r="R47" s="192"/>
      <c r="S47" s="192"/>
      <c r="T47" s="192"/>
      <c r="U47" s="192"/>
      <c r="V47" s="192"/>
      <c r="W47" s="192"/>
      <c r="X47" s="192"/>
    </row>
    <row r="48" s="182" customFormat="true" ht="13.5" hidden="false" customHeight="false" outlineLevel="0" collapsed="false">
      <c r="A48" s="53"/>
      <c r="B48" s="92"/>
      <c r="C48" s="92"/>
      <c r="D48" s="132"/>
      <c r="E48" s="132"/>
      <c r="F48" s="132"/>
      <c r="G48" s="132"/>
      <c r="H48" s="132"/>
      <c r="I48" s="132"/>
      <c r="J48" s="192"/>
      <c r="K48" s="132"/>
      <c r="L48" s="193"/>
      <c r="M48" s="132"/>
      <c r="N48" s="132"/>
      <c r="O48" s="192"/>
      <c r="P48" s="192"/>
      <c r="Q48" s="192"/>
      <c r="R48" s="192"/>
      <c r="S48" s="192"/>
      <c r="T48" s="192"/>
      <c r="U48" s="192"/>
      <c r="V48" s="192"/>
      <c r="W48" s="192"/>
      <c r="X48" s="192"/>
    </row>
    <row r="49" s="182" customFormat="true" ht="13.5" hidden="false" customHeight="false" outlineLevel="0" collapsed="false">
      <c r="A49" s="53"/>
      <c r="B49" s="92"/>
      <c r="C49" s="92"/>
      <c r="D49" s="132"/>
      <c r="E49" s="132"/>
      <c r="F49" s="132"/>
      <c r="G49" s="132"/>
      <c r="H49" s="132"/>
      <c r="I49" s="132"/>
      <c r="J49" s="192"/>
      <c r="K49" s="132"/>
      <c r="L49" s="193"/>
      <c r="M49" s="132"/>
      <c r="N49" s="132"/>
      <c r="O49" s="192"/>
      <c r="P49" s="192"/>
      <c r="Q49" s="192"/>
      <c r="R49" s="192"/>
      <c r="S49" s="192"/>
      <c r="T49" s="192"/>
      <c r="U49" s="192"/>
      <c r="V49" s="192"/>
      <c r="W49" s="192"/>
      <c r="X49" s="192"/>
    </row>
    <row r="50" s="182" customFormat="true" ht="13.5" hidden="false" customHeight="false" outlineLevel="0" collapsed="false">
      <c r="A50" s="53"/>
      <c r="B50" s="92"/>
      <c r="C50" s="92"/>
      <c r="D50" s="132"/>
      <c r="E50" s="132"/>
      <c r="F50" s="132"/>
      <c r="G50" s="132"/>
      <c r="H50" s="132"/>
      <c r="I50" s="132"/>
      <c r="J50" s="192"/>
      <c r="K50" s="132"/>
      <c r="L50" s="193"/>
      <c r="M50" s="132"/>
      <c r="N50" s="132"/>
      <c r="O50" s="192"/>
      <c r="P50" s="192"/>
      <c r="Q50" s="192"/>
      <c r="R50" s="192"/>
      <c r="S50" s="192"/>
      <c r="T50" s="192"/>
      <c r="U50" s="192"/>
      <c r="V50" s="192"/>
      <c r="W50" s="192"/>
      <c r="X50" s="192"/>
    </row>
    <row r="51" s="182" customFormat="true" ht="13.5" hidden="false" customHeight="false" outlineLevel="0" collapsed="false">
      <c r="A51" s="53"/>
      <c r="B51" s="92"/>
      <c r="C51" s="92"/>
      <c r="D51" s="132"/>
      <c r="E51" s="132"/>
      <c r="F51" s="132"/>
      <c r="G51" s="132"/>
      <c r="H51" s="132"/>
      <c r="I51" s="132"/>
      <c r="J51" s="192"/>
      <c r="K51" s="132"/>
      <c r="L51" s="193"/>
      <c r="M51" s="132"/>
      <c r="N51" s="132"/>
      <c r="O51" s="192"/>
      <c r="P51" s="192"/>
      <c r="Q51" s="192"/>
      <c r="R51" s="192"/>
      <c r="S51" s="192"/>
      <c r="T51" s="192"/>
      <c r="U51" s="192"/>
      <c r="V51" s="192"/>
      <c r="W51" s="192"/>
      <c r="X51" s="192"/>
    </row>
    <row r="52" s="182" customFormat="true" ht="13.5" hidden="false" customHeight="false" outlineLevel="0" collapsed="false">
      <c r="A52" s="53"/>
      <c r="B52" s="92"/>
      <c r="C52" s="92"/>
      <c r="D52" s="132"/>
      <c r="E52" s="132"/>
      <c r="F52" s="132"/>
      <c r="G52" s="132"/>
      <c r="H52" s="132"/>
      <c r="I52" s="132"/>
      <c r="J52" s="192"/>
      <c r="K52" s="132"/>
      <c r="L52" s="193"/>
      <c r="M52" s="132"/>
      <c r="N52" s="132"/>
      <c r="O52" s="192"/>
      <c r="P52" s="192"/>
      <c r="Q52" s="192"/>
      <c r="R52" s="192"/>
      <c r="S52" s="192"/>
      <c r="T52" s="192"/>
      <c r="U52" s="192"/>
      <c r="V52" s="192"/>
      <c r="W52" s="192"/>
      <c r="X52" s="192"/>
    </row>
    <row r="53" s="182" customFormat="true" ht="13.5" hidden="false" customHeight="false" outlineLevel="0" collapsed="false">
      <c r="A53" s="53"/>
      <c r="B53" s="92"/>
      <c r="C53" s="92"/>
      <c r="D53" s="132"/>
      <c r="E53" s="132"/>
      <c r="F53" s="132"/>
      <c r="G53" s="132"/>
      <c r="H53" s="132"/>
      <c r="I53" s="132"/>
      <c r="J53" s="192"/>
      <c r="K53" s="132"/>
      <c r="L53" s="193"/>
      <c r="M53" s="132"/>
      <c r="N53" s="132"/>
      <c r="O53" s="192"/>
      <c r="P53" s="192"/>
      <c r="Q53" s="192"/>
      <c r="R53" s="192"/>
      <c r="S53" s="192"/>
      <c r="T53" s="192"/>
      <c r="U53" s="192"/>
      <c r="V53" s="192"/>
      <c r="W53" s="192"/>
      <c r="X53" s="192"/>
    </row>
    <row r="54" s="182" customFormat="true" ht="13.5" hidden="false" customHeight="false" outlineLevel="0" collapsed="false">
      <c r="A54" s="53"/>
      <c r="B54" s="92"/>
      <c r="C54" s="92"/>
      <c r="D54" s="132"/>
      <c r="E54" s="132"/>
      <c r="F54" s="132"/>
      <c r="G54" s="132"/>
      <c r="H54" s="132"/>
      <c r="I54" s="132"/>
      <c r="J54" s="192"/>
      <c r="K54" s="132"/>
      <c r="L54" s="193"/>
      <c r="M54" s="132"/>
      <c r="N54" s="132"/>
      <c r="O54" s="192"/>
      <c r="P54" s="192"/>
      <c r="Q54" s="192"/>
      <c r="R54" s="192"/>
      <c r="S54" s="192"/>
      <c r="T54" s="192"/>
      <c r="U54" s="192"/>
      <c r="V54" s="192"/>
      <c r="W54" s="192"/>
      <c r="X54" s="192"/>
    </row>
  </sheetData>
  <mergeCells count="32">
    <mergeCell ref="A2:J2"/>
    <mergeCell ref="V2:X2"/>
    <mergeCell ref="A3:A5"/>
    <mergeCell ref="B3:B5"/>
    <mergeCell ref="C3:C5"/>
    <mergeCell ref="D3:I3"/>
    <mergeCell ref="J3:K3"/>
    <mergeCell ref="L3:N3"/>
    <mergeCell ref="O3:X3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P4"/>
    <mergeCell ref="Q4:R4"/>
    <mergeCell ref="S4:T4"/>
    <mergeCell ref="U4:V4"/>
    <mergeCell ref="W4:X4"/>
    <mergeCell ref="B6:B13"/>
    <mergeCell ref="B14:B19"/>
    <mergeCell ref="B20:B27"/>
    <mergeCell ref="B28:B29"/>
    <mergeCell ref="O28:P28"/>
    <mergeCell ref="O29:P29"/>
    <mergeCell ref="B30:B37"/>
  </mergeCells>
  <printOptions headings="false" gridLines="false" gridLinesSet="true" horizontalCentered="true" verticalCentered="false"/>
  <pageMargins left="0.315277777777778" right="0.315277777777778" top="0.39375" bottom="0.39375" header="0.511811023622047" footer="0.511811023622047"/>
  <pageSetup paperSize="9" scale="7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44"/>
  <sheetViews>
    <sheetView showFormulas="false" showGridLines="true" showRowColHeaders="true" showZeros="true" rightToLeft="false" tabSelected="false" showOutlineSymbols="true" defaultGridColor="true" view="normal" topLeftCell="A1" colorId="64" zoomScale="108" zoomScaleNormal="108" zoomScalePageLayoutView="100" workbookViewId="0">
      <selection pane="topLeft" activeCell="A1" activeCellId="0" sqref="A1"/>
    </sheetView>
  </sheetViews>
  <sheetFormatPr defaultColWidth="9.109375" defaultRowHeight="12.75" zeroHeight="false" outlineLevelRow="0" outlineLevelCol="0"/>
  <cols>
    <col collapsed="false" customWidth="false" hidden="false" outlineLevel="0" max="2" min="1" style="194" width="9.11"/>
    <col collapsed="false" customWidth="true" hidden="false" outlineLevel="0" max="17" min="3" style="194" width="10.66"/>
    <col collapsed="false" customWidth="false" hidden="false" outlineLevel="0" max="16384" min="18" style="194" width="9.11"/>
  </cols>
  <sheetData>
    <row r="1" customFormat="false" ht="12.75" hidden="false" customHeight="false" outlineLevel="0" collapsed="false">
      <c r="A1" s="195" t="s">
        <v>209</v>
      </c>
      <c r="B1" s="195" t="n">
        <v>2.5</v>
      </c>
      <c r="C1" s="195" t="n">
        <v>4</v>
      </c>
      <c r="D1" s="195" t="n">
        <v>6</v>
      </c>
      <c r="E1" s="195" t="n">
        <v>10</v>
      </c>
      <c r="F1" s="195" t="n">
        <v>16</v>
      </c>
      <c r="G1" s="195" t="n">
        <v>25</v>
      </c>
      <c r="H1" s="195" t="n">
        <v>35</v>
      </c>
      <c r="I1" s="195" t="n">
        <v>50</v>
      </c>
      <c r="J1" s="195" t="n">
        <v>70</v>
      </c>
      <c r="K1" s="195" t="n">
        <v>95</v>
      </c>
      <c r="L1" s="195" t="n">
        <v>120</v>
      </c>
      <c r="M1" s="195" t="n">
        <v>150</v>
      </c>
      <c r="N1" s="195" t="n">
        <v>185</v>
      </c>
      <c r="O1" s="195" t="n">
        <v>240</v>
      </c>
      <c r="P1" s="195"/>
      <c r="Q1" s="195"/>
      <c r="R1" s="195"/>
      <c r="S1" s="195"/>
      <c r="T1" s="195"/>
    </row>
    <row r="2" customFormat="false" ht="12.75" hidden="false" customHeight="false" outlineLevel="0" collapsed="false">
      <c r="A2" s="195" t="s">
        <v>210</v>
      </c>
      <c r="B2" s="196" t="n">
        <v>24</v>
      </c>
      <c r="C2" s="196" t="n">
        <v>32</v>
      </c>
      <c r="D2" s="196" t="n">
        <v>41</v>
      </c>
      <c r="E2" s="196" t="n">
        <v>57</v>
      </c>
      <c r="F2" s="196" t="n">
        <v>76</v>
      </c>
      <c r="G2" s="196" t="n">
        <v>101</v>
      </c>
      <c r="H2" s="196" t="n">
        <v>125</v>
      </c>
      <c r="I2" s="196" t="n">
        <v>151</v>
      </c>
      <c r="J2" s="196" t="n">
        <v>192</v>
      </c>
      <c r="K2" s="196" t="n">
        <v>232</v>
      </c>
      <c r="L2" s="196" t="n">
        <v>269</v>
      </c>
      <c r="M2" s="196" t="n">
        <v>309</v>
      </c>
      <c r="N2" s="196" t="n">
        <v>353</v>
      </c>
      <c r="O2" s="196" t="n">
        <v>415</v>
      </c>
    </row>
    <row r="3" customFormat="false" ht="12.75" hidden="false" customHeight="false" outlineLevel="0" collapsed="false">
      <c r="A3" s="195" t="s">
        <v>211</v>
      </c>
      <c r="B3" s="196" t="n">
        <v>21</v>
      </c>
      <c r="C3" s="196" t="n">
        <v>28</v>
      </c>
      <c r="D3" s="196" t="n">
        <v>36</v>
      </c>
      <c r="E3" s="196" t="n">
        <v>50</v>
      </c>
      <c r="F3" s="196" t="n">
        <v>68</v>
      </c>
      <c r="G3" s="196" t="n">
        <v>89</v>
      </c>
      <c r="H3" s="196" t="n">
        <v>110</v>
      </c>
      <c r="I3" s="196" t="n">
        <v>134</v>
      </c>
      <c r="J3" s="196" t="n">
        <v>171</v>
      </c>
      <c r="K3" s="196" t="n">
        <v>207</v>
      </c>
      <c r="L3" s="196" t="n">
        <v>239</v>
      </c>
      <c r="M3" s="196" t="n">
        <v>275</v>
      </c>
      <c r="N3" s="196" t="n">
        <v>314</v>
      </c>
      <c r="O3" s="196" t="n">
        <v>370</v>
      </c>
    </row>
    <row r="4" customFormat="false" ht="12.75" hidden="false" customHeight="false" outlineLevel="0" collapsed="false">
      <c r="A4" s="195" t="s">
        <v>212</v>
      </c>
      <c r="B4" s="196" t="n">
        <v>23</v>
      </c>
      <c r="C4" s="196" t="n">
        <v>30</v>
      </c>
      <c r="D4" s="196" t="n">
        <v>38</v>
      </c>
      <c r="E4" s="196" t="n">
        <v>52</v>
      </c>
      <c r="F4" s="196" t="n">
        <v>69</v>
      </c>
      <c r="G4" s="196" t="n">
        <v>90</v>
      </c>
      <c r="H4" s="196" t="n">
        <v>111</v>
      </c>
      <c r="I4" s="196" t="n">
        <v>133</v>
      </c>
      <c r="J4" s="196" t="n">
        <v>168</v>
      </c>
      <c r="K4" s="196" t="n">
        <v>201</v>
      </c>
      <c r="L4" s="196" t="n">
        <v>232</v>
      </c>
      <c r="M4" s="196" t="n">
        <v>265</v>
      </c>
      <c r="N4" s="196" t="n">
        <v>300</v>
      </c>
      <c r="O4" s="196" t="n">
        <v>351</v>
      </c>
    </row>
    <row r="5" customFormat="false" ht="12.75" hidden="false" customHeight="false" outlineLevel="0" collapsed="false">
      <c r="A5" s="195" t="s">
        <v>213</v>
      </c>
      <c r="B5" s="196" t="n">
        <v>20</v>
      </c>
      <c r="C5" s="196" t="n">
        <v>27</v>
      </c>
      <c r="D5" s="196" t="n">
        <v>34</v>
      </c>
      <c r="E5" s="196" t="n">
        <v>46</v>
      </c>
      <c r="F5" s="196" t="n">
        <v>62</v>
      </c>
      <c r="G5" s="196" t="n">
        <v>80</v>
      </c>
      <c r="H5" s="196" t="n">
        <v>99</v>
      </c>
      <c r="I5" s="196" t="n">
        <v>118</v>
      </c>
      <c r="J5" s="196" t="n">
        <v>149</v>
      </c>
      <c r="K5" s="196" t="n">
        <v>179</v>
      </c>
      <c r="L5" s="196" t="n">
        <v>206</v>
      </c>
      <c r="M5" s="196" t="n">
        <v>236</v>
      </c>
      <c r="N5" s="196" t="n">
        <v>268</v>
      </c>
      <c r="O5" s="196" t="n">
        <v>313</v>
      </c>
    </row>
    <row r="6" customFormat="false" ht="12.75" hidden="false" customHeight="false" outlineLevel="0" collapsed="false">
      <c r="A6" s="195" t="s">
        <v>214</v>
      </c>
      <c r="B6" s="196" t="n">
        <v>27</v>
      </c>
      <c r="C6" s="196" t="n">
        <v>36</v>
      </c>
      <c r="D6" s="196" t="n">
        <v>46</v>
      </c>
      <c r="E6" s="196" t="n">
        <v>63</v>
      </c>
      <c r="F6" s="196" t="n">
        <v>85</v>
      </c>
      <c r="G6" s="196" t="n">
        <v>112</v>
      </c>
      <c r="H6" s="196" t="n">
        <v>138</v>
      </c>
      <c r="I6" s="196" t="n">
        <v>168</v>
      </c>
      <c r="J6" s="196" t="n">
        <v>213</v>
      </c>
      <c r="K6" s="196" t="n">
        <v>258</v>
      </c>
      <c r="L6" s="196" t="n">
        <v>299</v>
      </c>
      <c r="M6" s="196" t="n">
        <v>344</v>
      </c>
      <c r="N6" s="196" t="n">
        <v>392</v>
      </c>
      <c r="O6" s="196" t="n">
        <v>461</v>
      </c>
    </row>
    <row r="7" customFormat="false" ht="12.75" hidden="false" customHeight="false" outlineLevel="0" collapsed="false">
      <c r="A7" s="195" t="s">
        <v>215</v>
      </c>
      <c r="B7" s="196" t="n">
        <v>24</v>
      </c>
      <c r="C7" s="196" t="n">
        <v>32</v>
      </c>
      <c r="D7" s="196" t="n">
        <v>41</v>
      </c>
      <c r="E7" s="196" t="n">
        <v>57</v>
      </c>
      <c r="F7" s="196" t="n">
        <v>76</v>
      </c>
      <c r="G7" s="196" t="n">
        <v>96</v>
      </c>
      <c r="H7" s="196" t="n">
        <v>119</v>
      </c>
      <c r="I7" s="196" t="n">
        <v>144</v>
      </c>
      <c r="J7" s="196" t="n">
        <v>184</v>
      </c>
      <c r="K7" s="196" t="n">
        <v>223</v>
      </c>
      <c r="L7" s="196" t="n">
        <v>259</v>
      </c>
      <c r="M7" s="196" t="n">
        <v>299</v>
      </c>
      <c r="N7" s="196" t="n">
        <v>341</v>
      </c>
      <c r="O7" s="196" t="n">
        <v>403</v>
      </c>
    </row>
    <row r="8" customFormat="false" ht="12.75" hidden="false" customHeight="false" outlineLevel="0" collapsed="false">
      <c r="A8" s="195" t="s">
        <v>216</v>
      </c>
      <c r="B8" s="196" t="n">
        <v>29</v>
      </c>
      <c r="C8" s="196" t="n">
        <v>38</v>
      </c>
      <c r="D8" s="196" t="n">
        <v>47</v>
      </c>
      <c r="E8" s="196" t="n">
        <v>63</v>
      </c>
      <c r="F8" s="196" t="n">
        <v>81</v>
      </c>
      <c r="G8" s="196" t="n">
        <v>104</v>
      </c>
      <c r="H8" s="196" t="n">
        <v>125</v>
      </c>
      <c r="I8" s="196" t="n">
        <v>148</v>
      </c>
      <c r="J8" s="196" t="n">
        <v>183</v>
      </c>
      <c r="K8" s="196" t="n">
        <v>216</v>
      </c>
      <c r="L8" s="196" t="n">
        <v>246</v>
      </c>
      <c r="M8" s="196" t="n">
        <v>278</v>
      </c>
      <c r="N8" s="196" t="n">
        <v>312</v>
      </c>
      <c r="O8" s="196" t="n">
        <v>361</v>
      </c>
    </row>
    <row r="9" customFormat="false" ht="12.75" hidden="false" customHeight="false" outlineLevel="0" collapsed="false">
      <c r="A9" s="195" t="s">
        <v>217</v>
      </c>
      <c r="B9" s="196" t="n">
        <v>24</v>
      </c>
      <c r="C9" s="196" t="n">
        <v>31</v>
      </c>
      <c r="D9" s="196" t="n">
        <v>39</v>
      </c>
      <c r="E9" s="196" t="n">
        <v>52</v>
      </c>
      <c r="F9" s="196" t="n">
        <v>67</v>
      </c>
      <c r="G9" s="196" t="n">
        <v>86</v>
      </c>
      <c r="H9" s="196" t="n">
        <v>103</v>
      </c>
      <c r="I9" s="196" t="n">
        <v>122</v>
      </c>
      <c r="J9" s="196" t="n">
        <v>151</v>
      </c>
      <c r="K9" s="196" t="n">
        <v>179</v>
      </c>
      <c r="L9" s="196" t="n">
        <v>203</v>
      </c>
      <c r="M9" s="196" t="n">
        <v>230</v>
      </c>
      <c r="N9" s="196" t="n">
        <v>258</v>
      </c>
      <c r="O9" s="196" t="n">
        <v>297</v>
      </c>
    </row>
    <row r="10" customFormat="false" ht="12.75" hidden="false" customHeight="false" outlineLevel="0" collapsed="false">
      <c r="A10" s="195" t="s">
        <v>218</v>
      </c>
      <c r="B10" s="196" t="n">
        <v>31</v>
      </c>
      <c r="C10" s="196" t="n">
        <v>41</v>
      </c>
      <c r="D10" s="196" t="n">
        <v>53</v>
      </c>
      <c r="E10" s="197" t="n">
        <v>73</v>
      </c>
      <c r="F10" s="196" t="n">
        <v>99</v>
      </c>
      <c r="G10" s="196" t="n">
        <v>131</v>
      </c>
      <c r="H10" s="196" t="n">
        <v>162</v>
      </c>
      <c r="I10" s="196" t="n">
        <v>196</v>
      </c>
      <c r="J10" s="196" t="n">
        <v>251</v>
      </c>
      <c r="K10" s="196" t="n">
        <v>304</v>
      </c>
      <c r="L10" s="196" t="n">
        <v>352</v>
      </c>
      <c r="M10" s="196" t="n">
        <v>406</v>
      </c>
      <c r="N10" s="196" t="n">
        <v>463</v>
      </c>
      <c r="O10" s="196" t="n">
        <v>546</v>
      </c>
    </row>
    <row r="11" customFormat="false" ht="12.75" hidden="false" customHeight="false" outlineLevel="0" collapsed="false">
      <c r="A11" s="195" t="s">
        <v>219</v>
      </c>
      <c r="B11" s="196" t="n">
        <v>25</v>
      </c>
      <c r="C11" s="196" t="n">
        <v>34</v>
      </c>
      <c r="D11" s="196" t="n">
        <v>45</v>
      </c>
      <c r="E11" s="197" t="n">
        <v>61</v>
      </c>
      <c r="F11" s="196" t="n">
        <v>85</v>
      </c>
      <c r="G11" s="196" t="n">
        <v>114</v>
      </c>
      <c r="H11" s="196" t="n">
        <v>143</v>
      </c>
      <c r="I11" s="196" t="n">
        <v>174</v>
      </c>
      <c r="J11" s="196" t="n">
        <v>225</v>
      </c>
      <c r="K11" s="196" t="n">
        <v>275</v>
      </c>
      <c r="L11" s="196" t="n">
        <v>321</v>
      </c>
      <c r="M11" s="196" t="n">
        <v>372</v>
      </c>
      <c r="N11" s="196" t="n">
        <v>427</v>
      </c>
      <c r="O11" s="196" t="n">
        <v>507</v>
      </c>
    </row>
    <row r="12" customFormat="false" ht="12.75" hidden="false" customHeight="false" outlineLevel="0" collapsed="false">
      <c r="A12" s="195" t="s">
        <v>220</v>
      </c>
      <c r="B12" s="196" t="n">
        <v>24</v>
      </c>
      <c r="C12" s="196" t="n">
        <v>33</v>
      </c>
      <c r="D12" s="196" t="n">
        <v>43</v>
      </c>
      <c r="E12" s="196" t="n">
        <v>60</v>
      </c>
      <c r="F12" s="196" t="n">
        <v>82</v>
      </c>
      <c r="G12" s="196" t="n">
        <v>110</v>
      </c>
      <c r="H12" s="196" t="n">
        <v>137</v>
      </c>
      <c r="I12" s="196" t="n">
        <v>167</v>
      </c>
      <c r="J12" s="196" t="n">
        <v>216</v>
      </c>
      <c r="K12" s="196" t="n">
        <v>264</v>
      </c>
      <c r="L12" s="196" t="n">
        <v>308</v>
      </c>
      <c r="M12" s="196" t="n">
        <v>356</v>
      </c>
      <c r="N12" s="196" t="n">
        <v>409</v>
      </c>
      <c r="O12" s="196" t="n">
        <v>485</v>
      </c>
    </row>
    <row r="13" customFormat="false" ht="12.75" hidden="false" customHeight="false" outlineLevel="0" collapsed="false">
      <c r="D13" s="195"/>
      <c r="E13" s="195"/>
      <c r="F13" s="195"/>
      <c r="G13" s="195"/>
      <c r="H13" s="195"/>
      <c r="I13" s="195"/>
      <c r="J13" s="195"/>
      <c r="K13" s="195"/>
      <c r="L13" s="195"/>
      <c r="M13" s="195"/>
      <c r="N13" s="195"/>
      <c r="O13" s="195"/>
      <c r="P13" s="195"/>
      <c r="Q13" s="195"/>
    </row>
    <row r="14" customFormat="false" ht="12.75" hidden="false" customHeight="false" outlineLevel="0" collapsed="false">
      <c r="F14" s="195"/>
      <c r="G14" s="195"/>
      <c r="H14" s="195"/>
      <c r="I14" s="195"/>
      <c r="J14" s="195"/>
    </row>
    <row r="15" customFormat="false" ht="12.75" hidden="false" customHeight="false" outlineLevel="0" collapsed="false">
      <c r="D15" s="198" t="s">
        <v>221</v>
      </c>
      <c r="E15" s="199" t="s">
        <v>222</v>
      </c>
      <c r="F15" s="199" t="s">
        <v>223</v>
      </c>
      <c r="G15" s="199" t="s">
        <v>224</v>
      </c>
      <c r="H15" s="199" t="s">
        <v>225</v>
      </c>
      <c r="I15" s="199" t="s">
        <v>226</v>
      </c>
      <c r="J15" s="200" t="s">
        <v>227</v>
      </c>
      <c r="M15" s="195"/>
      <c r="N15" s="195"/>
      <c r="O15" s="195"/>
      <c r="P15" s="195"/>
      <c r="Q15" s="195"/>
    </row>
    <row r="16" customFormat="false" ht="12.75" hidden="false" customHeight="false" outlineLevel="0" collapsed="false">
      <c r="D16" s="201" t="s">
        <v>213</v>
      </c>
      <c r="E16" s="202" t="s">
        <v>213</v>
      </c>
      <c r="F16" s="202" t="s">
        <v>213</v>
      </c>
      <c r="G16" s="202" t="s">
        <v>213</v>
      </c>
      <c r="H16" s="202" t="s">
        <v>213</v>
      </c>
      <c r="I16" s="203" t="s">
        <v>217</v>
      </c>
      <c r="J16" s="204" t="s">
        <v>217</v>
      </c>
      <c r="M16" s="195"/>
      <c r="N16" s="195"/>
      <c r="O16" s="195"/>
      <c r="P16" s="195"/>
      <c r="Q16" s="195"/>
    </row>
    <row r="17" customFormat="false" ht="12.75" hidden="false" customHeight="false" outlineLevel="0" collapsed="false">
      <c r="D17" s="205" t="s">
        <v>211</v>
      </c>
      <c r="E17" s="206" t="s">
        <v>217</v>
      </c>
      <c r="F17" s="206" t="s">
        <v>217</v>
      </c>
      <c r="G17" s="206" t="s">
        <v>217</v>
      </c>
      <c r="H17" s="206" t="s">
        <v>217</v>
      </c>
      <c r="I17" s="207" t="s">
        <v>213</v>
      </c>
      <c r="J17" s="208" t="s">
        <v>213</v>
      </c>
      <c r="M17" s="195"/>
      <c r="N17" s="195"/>
      <c r="O17" s="195"/>
      <c r="P17" s="195"/>
      <c r="Q17" s="195"/>
    </row>
    <row r="18" customFormat="false" ht="12.75" hidden="false" customHeight="false" outlineLevel="0" collapsed="false">
      <c r="D18" s="209" t="s">
        <v>212</v>
      </c>
      <c r="E18" s="210" t="s">
        <v>211</v>
      </c>
      <c r="F18" s="210" t="s">
        <v>211</v>
      </c>
      <c r="G18" s="211" t="s">
        <v>212</v>
      </c>
      <c r="H18" s="211" t="s">
        <v>212</v>
      </c>
      <c r="I18" s="211" t="s">
        <v>212</v>
      </c>
      <c r="J18" s="212" t="s">
        <v>212</v>
      </c>
      <c r="M18" s="195"/>
      <c r="N18" s="195"/>
      <c r="O18" s="195"/>
      <c r="P18" s="195"/>
      <c r="Q18" s="195"/>
    </row>
    <row r="19" customFormat="false" ht="12.75" hidden="false" customHeight="false" outlineLevel="0" collapsed="false">
      <c r="D19" s="213" t="s">
        <v>217</v>
      </c>
      <c r="E19" s="211" t="s">
        <v>212</v>
      </c>
      <c r="F19" s="211" t="s">
        <v>212</v>
      </c>
      <c r="G19" s="210" t="s">
        <v>211</v>
      </c>
      <c r="H19" s="210" t="s">
        <v>211</v>
      </c>
      <c r="I19" s="210" t="s">
        <v>211</v>
      </c>
      <c r="J19" s="214" t="s">
        <v>216</v>
      </c>
      <c r="M19" s="195"/>
      <c r="N19" s="195"/>
      <c r="O19" s="195"/>
      <c r="P19" s="195"/>
      <c r="Q19" s="195"/>
    </row>
    <row r="20" customFormat="false" ht="12.75" hidden="false" customHeight="false" outlineLevel="0" collapsed="false">
      <c r="D20" s="215" t="s">
        <v>215</v>
      </c>
      <c r="E20" s="216" t="s">
        <v>215</v>
      </c>
      <c r="F20" s="216" t="s">
        <v>215</v>
      </c>
      <c r="G20" s="216" t="s">
        <v>215</v>
      </c>
      <c r="H20" s="217" t="s">
        <v>216</v>
      </c>
      <c r="I20" s="217" t="s">
        <v>216</v>
      </c>
      <c r="J20" s="218" t="s">
        <v>211</v>
      </c>
      <c r="M20" s="195"/>
      <c r="N20" s="195"/>
      <c r="O20" s="195"/>
      <c r="P20" s="195"/>
      <c r="Q20" s="195"/>
    </row>
    <row r="21" customFormat="false" ht="12.75" hidden="false" customHeight="false" outlineLevel="0" collapsed="false">
      <c r="D21" s="219" t="s">
        <v>210</v>
      </c>
      <c r="E21" s="220" t="s">
        <v>210</v>
      </c>
      <c r="F21" s="220" t="s">
        <v>210</v>
      </c>
      <c r="G21" s="217" t="s">
        <v>216</v>
      </c>
      <c r="H21" s="216" t="s">
        <v>215</v>
      </c>
      <c r="I21" s="216" t="s">
        <v>215</v>
      </c>
      <c r="J21" s="221" t="s">
        <v>215</v>
      </c>
      <c r="M21" s="195"/>
      <c r="N21" s="195"/>
      <c r="O21" s="195"/>
      <c r="P21" s="195"/>
      <c r="Q21" s="195"/>
    </row>
    <row r="22" customFormat="false" ht="12.75" hidden="false" customHeight="false" outlineLevel="0" collapsed="false">
      <c r="D22" s="222" t="s">
        <v>220</v>
      </c>
      <c r="E22" s="217" t="s">
        <v>216</v>
      </c>
      <c r="F22" s="217" t="s">
        <v>216</v>
      </c>
      <c r="G22" s="220" t="s">
        <v>210</v>
      </c>
      <c r="H22" s="220" t="s">
        <v>210</v>
      </c>
      <c r="I22" s="220" t="s">
        <v>210</v>
      </c>
      <c r="J22" s="223" t="s">
        <v>210</v>
      </c>
      <c r="M22" s="195"/>
      <c r="N22" s="195"/>
      <c r="O22" s="195"/>
      <c r="P22" s="195"/>
      <c r="Q22" s="195"/>
    </row>
    <row r="23" customFormat="false" ht="12.75" hidden="false" customHeight="false" outlineLevel="0" collapsed="false">
      <c r="D23" s="224" t="s">
        <v>219</v>
      </c>
      <c r="E23" s="225" t="s">
        <v>220</v>
      </c>
      <c r="F23" s="225" t="s">
        <v>220</v>
      </c>
      <c r="G23" s="225" t="s">
        <v>220</v>
      </c>
      <c r="H23" s="226" t="s">
        <v>214</v>
      </c>
      <c r="I23" s="226" t="s">
        <v>214</v>
      </c>
      <c r="J23" s="227" t="s">
        <v>214</v>
      </c>
    </row>
    <row r="24" customFormat="false" ht="12.75" hidden="false" customHeight="false" outlineLevel="0" collapsed="false">
      <c r="D24" s="228" t="s">
        <v>214</v>
      </c>
      <c r="E24" s="229" t="s">
        <v>219</v>
      </c>
      <c r="F24" s="226" t="s">
        <v>214</v>
      </c>
      <c r="G24" s="226" t="s">
        <v>214</v>
      </c>
      <c r="H24" s="225" t="s">
        <v>220</v>
      </c>
      <c r="I24" s="225" t="s">
        <v>220</v>
      </c>
      <c r="J24" s="230" t="s">
        <v>220</v>
      </c>
    </row>
    <row r="25" customFormat="false" ht="12.75" hidden="false" customHeight="false" outlineLevel="0" collapsed="false">
      <c r="D25" s="231" t="s">
        <v>216</v>
      </c>
      <c r="E25" s="226" t="s">
        <v>214</v>
      </c>
      <c r="F25" s="229" t="s">
        <v>219</v>
      </c>
      <c r="G25" s="229" t="s">
        <v>219</v>
      </c>
      <c r="H25" s="229" t="s">
        <v>219</v>
      </c>
      <c r="I25" s="229" t="s">
        <v>219</v>
      </c>
      <c r="J25" s="232" t="s">
        <v>219</v>
      </c>
    </row>
    <row r="26" customFormat="false" ht="12.75" hidden="false" customHeight="false" outlineLevel="0" collapsed="false">
      <c r="D26" s="233" t="s">
        <v>218</v>
      </c>
      <c r="E26" s="234" t="s">
        <v>218</v>
      </c>
      <c r="F26" s="234" t="s">
        <v>218</v>
      </c>
      <c r="G26" s="234" t="s">
        <v>218</v>
      </c>
      <c r="H26" s="234" t="s">
        <v>218</v>
      </c>
      <c r="I26" s="234" t="s">
        <v>218</v>
      </c>
      <c r="J26" s="235" t="s">
        <v>218</v>
      </c>
    </row>
    <row r="30" customFormat="false" ht="12.75" hidden="false" customHeight="false" outlineLevel="0" collapsed="false">
      <c r="A30" s="195" t="s">
        <v>209</v>
      </c>
      <c r="B30" s="195" t="s">
        <v>210</v>
      </c>
      <c r="C30" s="195" t="s">
        <v>211</v>
      </c>
      <c r="D30" s="195" t="s">
        <v>212</v>
      </c>
      <c r="E30" s="195" t="s">
        <v>213</v>
      </c>
      <c r="F30" s="195" t="s">
        <v>214</v>
      </c>
      <c r="G30" s="195" t="s">
        <v>215</v>
      </c>
      <c r="H30" s="195" t="s">
        <v>216</v>
      </c>
      <c r="I30" s="195" t="s">
        <v>217</v>
      </c>
      <c r="J30" s="195" t="s">
        <v>218</v>
      </c>
      <c r="K30" s="195" t="s">
        <v>219</v>
      </c>
      <c r="L30" s="195" t="s">
        <v>220</v>
      </c>
    </row>
    <row r="31" customFormat="false" ht="12.75" hidden="false" customHeight="false" outlineLevel="0" collapsed="false">
      <c r="A31" s="195" t="n">
        <v>2.5</v>
      </c>
      <c r="B31" s="196" t="n">
        <v>24</v>
      </c>
      <c r="C31" s="196" t="n">
        <v>21</v>
      </c>
      <c r="D31" s="196" t="n">
        <v>23</v>
      </c>
      <c r="E31" s="196" t="n">
        <v>20</v>
      </c>
      <c r="F31" s="196" t="n">
        <v>27</v>
      </c>
      <c r="G31" s="196" t="n">
        <v>24</v>
      </c>
      <c r="H31" s="196" t="n">
        <v>29</v>
      </c>
      <c r="I31" s="196" t="n">
        <v>24</v>
      </c>
      <c r="J31" s="196" t="n">
        <v>31</v>
      </c>
      <c r="K31" s="196" t="n">
        <v>25</v>
      </c>
      <c r="L31" s="196" t="n">
        <v>24</v>
      </c>
    </row>
    <row r="32" customFormat="false" ht="12.75" hidden="false" customHeight="false" outlineLevel="0" collapsed="false">
      <c r="A32" s="195" t="n">
        <v>4</v>
      </c>
      <c r="B32" s="196" t="n">
        <v>32</v>
      </c>
      <c r="C32" s="196" t="n">
        <v>28</v>
      </c>
      <c r="D32" s="196" t="n">
        <v>30</v>
      </c>
      <c r="E32" s="196" t="n">
        <v>27</v>
      </c>
      <c r="F32" s="196" t="n">
        <v>36</v>
      </c>
      <c r="G32" s="196" t="n">
        <v>32</v>
      </c>
      <c r="H32" s="196" t="n">
        <v>38</v>
      </c>
      <c r="I32" s="196" t="n">
        <v>31</v>
      </c>
      <c r="J32" s="196" t="n">
        <v>41</v>
      </c>
      <c r="K32" s="196" t="n">
        <v>34</v>
      </c>
      <c r="L32" s="196" t="n">
        <v>33</v>
      </c>
    </row>
    <row r="33" customFormat="false" ht="12.75" hidden="false" customHeight="false" outlineLevel="0" collapsed="false">
      <c r="A33" s="195" t="n">
        <v>6</v>
      </c>
      <c r="B33" s="196" t="n">
        <v>41</v>
      </c>
      <c r="C33" s="196" t="n">
        <v>36</v>
      </c>
      <c r="D33" s="196" t="n">
        <v>38</v>
      </c>
      <c r="E33" s="196" t="n">
        <v>34</v>
      </c>
      <c r="F33" s="196" t="n">
        <v>46</v>
      </c>
      <c r="G33" s="196" t="n">
        <v>41</v>
      </c>
      <c r="H33" s="196" t="n">
        <v>47</v>
      </c>
      <c r="I33" s="196" t="n">
        <v>39</v>
      </c>
      <c r="J33" s="196" t="n">
        <v>53</v>
      </c>
      <c r="K33" s="196" t="n">
        <v>45</v>
      </c>
      <c r="L33" s="196" t="n">
        <v>43</v>
      </c>
    </row>
    <row r="34" customFormat="false" ht="12.75" hidden="false" customHeight="false" outlineLevel="0" collapsed="false">
      <c r="A34" s="195" t="n">
        <v>10</v>
      </c>
      <c r="B34" s="196" t="n">
        <v>57</v>
      </c>
      <c r="C34" s="196" t="n">
        <v>50</v>
      </c>
      <c r="D34" s="196" t="n">
        <v>52</v>
      </c>
      <c r="E34" s="196" t="n">
        <v>46</v>
      </c>
      <c r="F34" s="196" t="n">
        <v>63</v>
      </c>
      <c r="G34" s="196" t="n">
        <v>57</v>
      </c>
      <c r="H34" s="196" t="n">
        <v>63</v>
      </c>
      <c r="I34" s="196" t="n">
        <v>52</v>
      </c>
      <c r="J34" s="197" t="n">
        <v>73</v>
      </c>
      <c r="K34" s="197" t="n">
        <v>61</v>
      </c>
      <c r="L34" s="196" t="n">
        <v>60</v>
      </c>
    </row>
    <row r="35" customFormat="false" ht="12.75" hidden="false" customHeight="false" outlineLevel="0" collapsed="false">
      <c r="A35" s="195" t="n">
        <v>16</v>
      </c>
      <c r="B35" s="196" t="n">
        <v>76</v>
      </c>
      <c r="C35" s="196" t="n">
        <v>68</v>
      </c>
      <c r="D35" s="196" t="n">
        <v>69</v>
      </c>
      <c r="E35" s="196" t="n">
        <v>62</v>
      </c>
      <c r="F35" s="196" t="n">
        <v>85</v>
      </c>
      <c r="G35" s="196" t="n">
        <v>76</v>
      </c>
      <c r="H35" s="196" t="n">
        <v>81</v>
      </c>
      <c r="I35" s="196" t="n">
        <v>67</v>
      </c>
      <c r="J35" s="196" t="n">
        <v>99</v>
      </c>
      <c r="K35" s="196" t="n">
        <v>85</v>
      </c>
      <c r="L35" s="196" t="n">
        <v>82</v>
      </c>
    </row>
    <row r="36" customFormat="false" ht="12.75" hidden="false" customHeight="false" outlineLevel="0" collapsed="false">
      <c r="A36" s="195" t="n">
        <v>25</v>
      </c>
      <c r="B36" s="196" t="n">
        <v>101</v>
      </c>
      <c r="C36" s="196" t="n">
        <v>89</v>
      </c>
      <c r="D36" s="196" t="n">
        <v>90</v>
      </c>
      <c r="E36" s="196" t="n">
        <v>80</v>
      </c>
      <c r="F36" s="196" t="n">
        <v>112</v>
      </c>
      <c r="G36" s="196" t="n">
        <v>96</v>
      </c>
      <c r="H36" s="196" t="n">
        <v>104</v>
      </c>
      <c r="I36" s="196" t="n">
        <v>86</v>
      </c>
      <c r="J36" s="196" t="n">
        <v>131</v>
      </c>
      <c r="K36" s="196" t="n">
        <v>114</v>
      </c>
      <c r="L36" s="196" t="n">
        <v>110</v>
      </c>
    </row>
    <row r="37" customFormat="false" ht="12.75" hidden="false" customHeight="false" outlineLevel="0" collapsed="false">
      <c r="A37" s="195" t="n">
        <v>35</v>
      </c>
      <c r="B37" s="196" t="n">
        <v>125</v>
      </c>
      <c r="C37" s="196" t="n">
        <v>110</v>
      </c>
      <c r="D37" s="196" t="n">
        <v>111</v>
      </c>
      <c r="E37" s="196" t="n">
        <v>99</v>
      </c>
      <c r="F37" s="196" t="n">
        <v>138</v>
      </c>
      <c r="G37" s="196" t="n">
        <v>119</v>
      </c>
      <c r="H37" s="196" t="n">
        <v>125</v>
      </c>
      <c r="I37" s="196" t="n">
        <v>103</v>
      </c>
      <c r="J37" s="196" t="n">
        <v>162</v>
      </c>
      <c r="K37" s="196" t="n">
        <v>143</v>
      </c>
      <c r="L37" s="196" t="n">
        <v>137</v>
      </c>
    </row>
    <row r="38" customFormat="false" ht="12.75" hidden="false" customHeight="false" outlineLevel="0" collapsed="false">
      <c r="A38" s="195" t="n">
        <v>50</v>
      </c>
      <c r="B38" s="196" t="n">
        <v>151</v>
      </c>
      <c r="C38" s="196" t="n">
        <v>134</v>
      </c>
      <c r="D38" s="196" t="n">
        <v>133</v>
      </c>
      <c r="E38" s="196" t="n">
        <v>118</v>
      </c>
      <c r="F38" s="196" t="n">
        <v>168</v>
      </c>
      <c r="G38" s="196" t="n">
        <v>144</v>
      </c>
      <c r="H38" s="196" t="n">
        <v>148</v>
      </c>
      <c r="I38" s="196" t="n">
        <v>122</v>
      </c>
      <c r="J38" s="196" t="n">
        <v>196</v>
      </c>
      <c r="K38" s="196" t="n">
        <v>174</v>
      </c>
      <c r="L38" s="196" t="n">
        <v>167</v>
      </c>
    </row>
    <row r="39" customFormat="false" ht="12.75" hidden="false" customHeight="false" outlineLevel="0" collapsed="false">
      <c r="A39" s="195" t="n">
        <v>70</v>
      </c>
      <c r="B39" s="196" t="n">
        <v>192</v>
      </c>
      <c r="C39" s="196" t="n">
        <v>171</v>
      </c>
      <c r="D39" s="196" t="n">
        <v>168</v>
      </c>
      <c r="E39" s="196" t="n">
        <v>149</v>
      </c>
      <c r="F39" s="196" t="n">
        <v>213</v>
      </c>
      <c r="G39" s="196" t="n">
        <v>184</v>
      </c>
      <c r="H39" s="196" t="n">
        <v>183</v>
      </c>
      <c r="I39" s="196" t="n">
        <v>151</v>
      </c>
      <c r="J39" s="196" t="n">
        <v>251</v>
      </c>
      <c r="K39" s="196" t="n">
        <v>225</v>
      </c>
      <c r="L39" s="196" t="n">
        <v>216</v>
      </c>
    </row>
    <row r="40" customFormat="false" ht="12.75" hidden="false" customHeight="false" outlineLevel="0" collapsed="false">
      <c r="A40" s="195" t="n">
        <v>95</v>
      </c>
      <c r="B40" s="196" t="n">
        <v>232</v>
      </c>
      <c r="C40" s="196" t="n">
        <v>207</v>
      </c>
      <c r="D40" s="196" t="n">
        <v>201</v>
      </c>
      <c r="E40" s="196" t="n">
        <v>179</v>
      </c>
      <c r="F40" s="196" t="n">
        <v>258</v>
      </c>
      <c r="G40" s="196" t="n">
        <v>223</v>
      </c>
      <c r="H40" s="196" t="n">
        <v>216</v>
      </c>
      <c r="I40" s="196" t="n">
        <v>179</v>
      </c>
      <c r="J40" s="196" t="n">
        <v>304</v>
      </c>
      <c r="K40" s="196" t="n">
        <v>275</v>
      </c>
      <c r="L40" s="196" t="n">
        <v>264</v>
      </c>
    </row>
    <row r="41" customFormat="false" ht="12.75" hidden="false" customHeight="false" outlineLevel="0" collapsed="false">
      <c r="A41" s="195" t="n">
        <v>120</v>
      </c>
      <c r="B41" s="196" t="n">
        <v>269</v>
      </c>
      <c r="C41" s="196" t="n">
        <v>239</v>
      </c>
      <c r="D41" s="196" t="n">
        <v>232</v>
      </c>
      <c r="E41" s="196" t="n">
        <v>206</v>
      </c>
      <c r="F41" s="196" t="n">
        <v>299</v>
      </c>
      <c r="G41" s="196" t="n">
        <v>259</v>
      </c>
      <c r="H41" s="196" t="n">
        <v>246</v>
      </c>
      <c r="I41" s="196" t="n">
        <v>203</v>
      </c>
      <c r="J41" s="196" t="n">
        <v>352</v>
      </c>
      <c r="K41" s="196" t="n">
        <v>321</v>
      </c>
      <c r="L41" s="196" t="n">
        <v>308</v>
      </c>
    </row>
    <row r="42" customFormat="false" ht="12.75" hidden="false" customHeight="false" outlineLevel="0" collapsed="false">
      <c r="A42" s="195" t="n">
        <v>150</v>
      </c>
      <c r="B42" s="196" t="n">
        <v>309</v>
      </c>
      <c r="C42" s="196" t="n">
        <v>275</v>
      </c>
      <c r="D42" s="196" t="n">
        <v>265</v>
      </c>
      <c r="E42" s="196" t="n">
        <v>236</v>
      </c>
      <c r="F42" s="196" t="n">
        <v>344</v>
      </c>
      <c r="G42" s="196" t="n">
        <v>299</v>
      </c>
      <c r="H42" s="196" t="n">
        <v>278</v>
      </c>
      <c r="I42" s="196" t="n">
        <v>230</v>
      </c>
      <c r="J42" s="196" t="n">
        <v>406</v>
      </c>
      <c r="K42" s="196" t="n">
        <v>372</v>
      </c>
      <c r="L42" s="196" t="n">
        <v>356</v>
      </c>
    </row>
    <row r="43" customFormat="false" ht="12.75" hidden="false" customHeight="false" outlineLevel="0" collapsed="false">
      <c r="A43" s="195" t="n">
        <v>185</v>
      </c>
      <c r="B43" s="196" t="n">
        <v>353</v>
      </c>
      <c r="C43" s="196" t="n">
        <v>314</v>
      </c>
      <c r="D43" s="196" t="n">
        <v>300</v>
      </c>
      <c r="E43" s="196" t="n">
        <v>268</v>
      </c>
      <c r="F43" s="196" t="n">
        <v>392</v>
      </c>
      <c r="G43" s="196" t="n">
        <v>341</v>
      </c>
      <c r="H43" s="196" t="n">
        <v>312</v>
      </c>
      <c r="I43" s="196" t="n">
        <v>258</v>
      </c>
      <c r="J43" s="196" t="n">
        <v>463</v>
      </c>
      <c r="K43" s="196" t="n">
        <v>427</v>
      </c>
      <c r="L43" s="196" t="n">
        <v>409</v>
      </c>
    </row>
    <row r="44" customFormat="false" ht="12.75" hidden="false" customHeight="false" outlineLevel="0" collapsed="false">
      <c r="A44" s="195" t="n">
        <v>240</v>
      </c>
      <c r="B44" s="196" t="n">
        <v>415</v>
      </c>
      <c r="C44" s="196" t="n">
        <v>370</v>
      </c>
      <c r="D44" s="196" t="n">
        <v>351</v>
      </c>
      <c r="E44" s="196" t="n">
        <v>313</v>
      </c>
      <c r="F44" s="196" t="n">
        <v>461</v>
      </c>
      <c r="G44" s="196" t="n">
        <v>403</v>
      </c>
      <c r="H44" s="196" t="n">
        <v>361</v>
      </c>
      <c r="I44" s="196" t="n">
        <v>297</v>
      </c>
      <c r="J44" s="196" t="n">
        <v>546</v>
      </c>
      <c r="K44" s="196" t="n">
        <v>507</v>
      </c>
      <c r="L44" s="196" t="n">
        <v>485</v>
      </c>
    </row>
  </sheetData>
  <printOptions headings="false" gridLines="false" gridLinesSet="true" horizontalCentered="true" verticalCentered="tru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9"/>
  <sheetViews>
    <sheetView showFormulas="false" showGridLines="true" showRowColHeaders="true" showZeros="true" rightToLeft="false" tabSelected="false" showOutlineSymbols="true" defaultGridColor="true" view="normal" topLeftCell="A46" colorId="64" zoomScale="91" zoomScaleNormal="91" zoomScalePageLayoutView="100" workbookViewId="0">
      <selection pane="topLeft" activeCell="A1" activeCellId="0" sqref="A1"/>
    </sheetView>
  </sheetViews>
  <sheetFormatPr defaultColWidth="9.109375" defaultRowHeight="12.75" zeroHeight="false" outlineLevelRow="0" outlineLevelCol="0"/>
  <cols>
    <col collapsed="false" customWidth="false" hidden="false" outlineLevel="0" max="16384" min="1" style="236" width="9.11"/>
  </cols>
  <sheetData>
    <row r="1" customFormat="false" ht="12.75" hidden="false" customHeight="true" outlineLevel="0" collapsed="false">
      <c r="A1" s="237" t="s">
        <v>228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</row>
    <row r="2" customFormat="false" ht="12.75" hidden="false" customHeight="false" outlineLevel="0" collapsed="false">
      <c r="A2" s="237"/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</row>
    <row r="3" customFormat="false" ht="12.75" hidden="false" customHeight="true" outlineLevel="0" collapsed="false">
      <c r="A3" s="237" t="s">
        <v>229</v>
      </c>
      <c r="B3" s="237"/>
      <c r="C3" s="237" t="s">
        <v>230</v>
      </c>
      <c r="D3" s="237"/>
      <c r="E3" s="237"/>
      <c r="F3" s="237" t="s">
        <v>231</v>
      </c>
      <c r="G3" s="237"/>
      <c r="H3" s="237"/>
      <c r="I3" s="237"/>
      <c r="J3" s="237"/>
      <c r="K3" s="237"/>
      <c r="L3" s="237" t="s">
        <v>232</v>
      </c>
      <c r="M3" s="237"/>
    </row>
    <row r="4" customFormat="false" ht="12.75" hidden="false" customHeight="false" outlineLevel="0" collapsed="false">
      <c r="A4" s="237"/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</row>
    <row r="5" customFormat="false" ht="12.75" hidden="false" customHeight="true" outlineLevel="0" collapsed="false">
      <c r="A5" s="238" t="n">
        <v>3</v>
      </c>
      <c r="B5" s="238"/>
      <c r="C5" s="238"/>
      <c r="D5" s="238"/>
      <c r="E5" s="238"/>
      <c r="F5" s="239" t="s">
        <v>233</v>
      </c>
      <c r="G5" s="239"/>
      <c r="H5" s="239"/>
      <c r="I5" s="239"/>
      <c r="J5" s="239"/>
      <c r="K5" s="239"/>
      <c r="L5" s="238" t="s">
        <v>234</v>
      </c>
      <c r="M5" s="238"/>
    </row>
    <row r="6" customFormat="false" ht="12.75" hidden="false" customHeight="false" outlineLevel="0" collapsed="false">
      <c r="A6" s="238"/>
      <c r="B6" s="238"/>
      <c r="C6" s="238"/>
      <c r="D6" s="238"/>
      <c r="E6" s="238"/>
      <c r="F6" s="239"/>
      <c r="G6" s="239"/>
      <c r="H6" s="239"/>
      <c r="I6" s="239"/>
      <c r="J6" s="239"/>
      <c r="K6" s="239"/>
      <c r="L6" s="238"/>
      <c r="M6" s="238"/>
    </row>
    <row r="7" customFormat="false" ht="12.75" hidden="false" customHeight="false" outlineLevel="0" collapsed="false">
      <c r="A7" s="238"/>
      <c r="B7" s="238"/>
      <c r="C7" s="238"/>
      <c r="D7" s="238"/>
      <c r="E7" s="238"/>
      <c r="F7" s="239"/>
      <c r="G7" s="239"/>
      <c r="H7" s="239"/>
      <c r="I7" s="239"/>
      <c r="J7" s="239"/>
      <c r="K7" s="239"/>
      <c r="L7" s="238"/>
      <c r="M7" s="238"/>
    </row>
    <row r="8" customFormat="false" ht="12.75" hidden="false" customHeight="false" outlineLevel="0" collapsed="false">
      <c r="A8" s="238"/>
      <c r="B8" s="238"/>
      <c r="C8" s="238"/>
      <c r="D8" s="238"/>
      <c r="E8" s="238"/>
      <c r="F8" s="239"/>
      <c r="G8" s="239"/>
      <c r="H8" s="239"/>
      <c r="I8" s="239"/>
      <c r="J8" s="239"/>
      <c r="K8" s="239"/>
      <c r="L8" s="238"/>
      <c r="M8" s="238"/>
    </row>
    <row r="9" customFormat="false" ht="12.75" hidden="false" customHeight="true" outlineLevel="0" collapsed="false">
      <c r="A9" s="238" t="n">
        <v>5</v>
      </c>
      <c r="B9" s="238"/>
      <c r="C9" s="238"/>
      <c r="D9" s="238"/>
      <c r="E9" s="238"/>
      <c r="F9" s="239" t="s">
        <v>235</v>
      </c>
      <c r="G9" s="239"/>
      <c r="H9" s="239"/>
      <c r="I9" s="239"/>
      <c r="J9" s="239"/>
      <c r="K9" s="239"/>
      <c r="L9" s="238" t="s">
        <v>234</v>
      </c>
      <c r="M9" s="238"/>
    </row>
    <row r="10" customFormat="false" ht="12.75" hidden="false" customHeight="false" outlineLevel="0" collapsed="false">
      <c r="A10" s="238"/>
      <c r="B10" s="238"/>
      <c r="C10" s="238"/>
      <c r="D10" s="238"/>
      <c r="E10" s="238"/>
      <c r="F10" s="239"/>
      <c r="G10" s="239"/>
      <c r="H10" s="239"/>
      <c r="I10" s="239"/>
      <c r="J10" s="239"/>
      <c r="K10" s="239"/>
      <c r="L10" s="238"/>
      <c r="M10" s="238"/>
    </row>
    <row r="11" customFormat="false" ht="12.75" hidden="false" customHeight="false" outlineLevel="0" collapsed="false">
      <c r="A11" s="238"/>
      <c r="B11" s="238"/>
      <c r="C11" s="238"/>
      <c r="D11" s="238"/>
      <c r="E11" s="238"/>
      <c r="F11" s="239"/>
      <c r="G11" s="239"/>
      <c r="H11" s="239"/>
      <c r="I11" s="239"/>
      <c r="J11" s="239"/>
      <c r="K11" s="239"/>
      <c r="L11" s="238"/>
      <c r="M11" s="238"/>
    </row>
    <row r="12" customFormat="false" ht="12.75" hidden="false" customHeight="false" outlineLevel="0" collapsed="false">
      <c r="A12" s="238"/>
      <c r="B12" s="238"/>
      <c r="C12" s="238"/>
      <c r="D12" s="238"/>
      <c r="E12" s="238"/>
      <c r="F12" s="239"/>
      <c r="G12" s="239"/>
      <c r="H12" s="239"/>
      <c r="I12" s="239"/>
      <c r="J12" s="239"/>
      <c r="K12" s="239"/>
      <c r="L12" s="238"/>
      <c r="M12" s="238"/>
    </row>
    <row r="13" customFormat="false" ht="12.75" hidden="false" customHeight="true" outlineLevel="0" collapsed="false">
      <c r="A13" s="238" t="n">
        <v>7</v>
      </c>
      <c r="B13" s="238"/>
      <c r="C13" s="238"/>
      <c r="D13" s="238"/>
      <c r="E13" s="238"/>
      <c r="F13" s="239" t="s">
        <v>236</v>
      </c>
      <c r="G13" s="239"/>
      <c r="H13" s="239"/>
      <c r="I13" s="239"/>
      <c r="J13" s="239"/>
      <c r="K13" s="239"/>
      <c r="L13" s="238" t="s">
        <v>234</v>
      </c>
      <c r="M13" s="238"/>
    </row>
    <row r="14" customFormat="false" ht="12.75" hidden="false" customHeight="false" outlineLevel="0" collapsed="false">
      <c r="A14" s="238"/>
      <c r="B14" s="238"/>
      <c r="C14" s="238"/>
      <c r="D14" s="238"/>
      <c r="E14" s="238"/>
      <c r="F14" s="239"/>
      <c r="G14" s="239"/>
      <c r="H14" s="239"/>
      <c r="I14" s="239"/>
      <c r="J14" s="239"/>
      <c r="K14" s="239"/>
      <c r="L14" s="238"/>
      <c r="M14" s="238"/>
    </row>
    <row r="15" customFormat="false" ht="12.75" hidden="false" customHeight="false" outlineLevel="0" collapsed="false">
      <c r="A15" s="238"/>
      <c r="B15" s="238"/>
      <c r="C15" s="238"/>
      <c r="D15" s="238"/>
      <c r="E15" s="238"/>
      <c r="F15" s="239"/>
      <c r="G15" s="239"/>
      <c r="H15" s="239"/>
      <c r="I15" s="239"/>
      <c r="J15" s="239"/>
      <c r="K15" s="239"/>
      <c r="L15" s="238"/>
      <c r="M15" s="238"/>
    </row>
    <row r="16" customFormat="false" ht="12.75" hidden="false" customHeight="false" outlineLevel="0" collapsed="false">
      <c r="A16" s="238"/>
      <c r="B16" s="238"/>
      <c r="C16" s="238"/>
      <c r="D16" s="238"/>
      <c r="E16" s="238"/>
      <c r="F16" s="239"/>
      <c r="G16" s="239"/>
      <c r="H16" s="239"/>
      <c r="I16" s="239"/>
      <c r="J16" s="239"/>
      <c r="K16" s="239"/>
      <c r="L16" s="238"/>
      <c r="M16" s="238"/>
    </row>
    <row r="17" customFormat="false" ht="12.75" hidden="false" customHeight="true" outlineLevel="0" collapsed="false">
      <c r="A17" s="238" t="n">
        <v>12</v>
      </c>
      <c r="B17" s="238"/>
      <c r="C17" s="238"/>
      <c r="D17" s="238"/>
      <c r="E17" s="238"/>
      <c r="F17" s="239" t="s">
        <v>237</v>
      </c>
      <c r="G17" s="239"/>
      <c r="H17" s="239"/>
      <c r="I17" s="239"/>
      <c r="J17" s="239"/>
      <c r="K17" s="239"/>
      <c r="L17" s="238" t="s">
        <v>238</v>
      </c>
      <c r="M17" s="238"/>
    </row>
    <row r="18" customFormat="false" ht="12.75" hidden="false" customHeight="false" outlineLevel="0" collapsed="false">
      <c r="A18" s="238"/>
      <c r="B18" s="238"/>
      <c r="C18" s="238"/>
      <c r="D18" s="238"/>
      <c r="E18" s="238"/>
      <c r="F18" s="239"/>
      <c r="G18" s="239"/>
      <c r="H18" s="239"/>
      <c r="I18" s="239"/>
      <c r="J18" s="239"/>
      <c r="K18" s="239"/>
      <c r="L18" s="238"/>
      <c r="M18" s="238"/>
    </row>
    <row r="19" customFormat="false" ht="12.75" hidden="false" customHeight="false" outlineLevel="0" collapsed="false">
      <c r="A19" s="238"/>
      <c r="B19" s="238"/>
      <c r="C19" s="238"/>
      <c r="D19" s="238"/>
      <c r="E19" s="238"/>
      <c r="F19" s="239"/>
      <c r="G19" s="239"/>
      <c r="H19" s="239"/>
      <c r="I19" s="239"/>
      <c r="J19" s="239"/>
      <c r="K19" s="239"/>
      <c r="L19" s="238"/>
      <c r="M19" s="238"/>
    </row>
    <row r="20" customFormat="false" ht="12.75" hidden="false" customHeight="false" outlineLevel="0" collapsed="false">
      <c r="A20" s="238"/>
      <c r="B20" s="238"/>
      <c r="C20" s="238"/>
      <c r="D20" s="238"/>
      <c r="E20" s="238"/>
      <c r="F20" s="239"/>
      <c r="G20" s="239"/>
      <c r="H20" s="239"/>
      <c r="I20" s="239"/>
      <c r="J20" s="239"/>
      <c r="K20" s="239"/>
      <c r="L20" s="238"/>
      <c r="M20" s="238"/>
    </row>
    <row r="21" customFormat="false" ht="12.75" hidden="false" customHeight="true" outlineLevel="0" collapsed="false">
      <c r="A21" s="238" t="n">
        <v>13</v>
      </c>
      <c r="B21" s="238"/>
      <c r="C21" s="238"/>
      <c r="D21" s="238"/>
      <c r="E21" s="238"/>
      <c r="F21" s="239" t="s">
        <v>239</v>
      </c>
      <c r="G21" s="239"/>
      <c r="H21" s="239"/>
      <c r="I21" s="239"/>
      <c r="J21" s="239"/>
      <c r="K21" s="239"/>
      <c r="L21" s="238" t="s">
        <v>240</v>
      </c>
      <c r="M21" s="238"/>
    </row>
    <row r="22" customFormat="false" ht="12.75" hidden="false" customHeight="false" outlineLevel="0" collapsed="false">
      <c r="A22" s="238"/>
      <c r="B22" s="238"/>
      <c r="C22" s="238"/>
      <c r="D22" s="238"/>
      <c r="E22" s="238"/>
      <c r="F22" s="239"/>
      <c r="G22" s="239"/>
      <c r="H22" s="239"/>
      <c r="I22" s="239"/>
      <c r="J22" s="239"/>
      <c r="K22" s="239"/>
      <c r="L22" s="238"/>
      <c r="M22" s="238"/>
    </row>
    <row r="23" customFormat="false" ht="12.75" hidden="false" customHeight="false" outlineLevel="0" collapsed="false">
      <c r="A23" s="238"/>
      <c r="B23" s="238"/>
      <c r="C23" s="238"/>
      <c r="D23" s="238"/>
      <c r="E23" s="238"/>
      <c r="F23" s="239"/>
      <c r="G23" s="239"/>
      <c r="H23" s="239"/>
      <c r="I23" s="239"/>
      <c r="J23" s="239"/>
      <c r="K23" s="239"/>
      <c r="L23" s="238"/>
      <c r="M23" s="238"/>
    </row>
    <row r="24" customFormat="false" ht="12.75" hidden="false" customHeight="false" outlineLevel="0" collapsed="false">
      <c r="A24" s="238"/>
      <c r="B24" s="238"/>
      <c r="C24" s="238"/>
      <c r="D24" s="238"/>
      <c r="E24" s="238"/>
      <c r="F24" s="239"/>
      <c r="G24" s="239"/>
      <c r="H24" s="239"/>
      <c r="I24" s="239"/>
      <c r="J24" s="239"/>
      <c r="K24" s="239"/>
      <c r="L24" s="238"/>
      <c r="M24" s="238"/>
    </row>
    <row r="25" customFormat="false" ht="15" hidden="false" customHeight="true" outlineLevel="0" collapsed="false">
      <c r="A25" s="238" t="n">
        <v>21</v>
      </c>
      <c r="B25" s="238"/>
      <c r="C25" s="238"/>
      <c r="D25" s="238"/>
      <c r="E25" s="238"/>
      <c r="F25" s="239" t="s">
        <v>241</v>
      </c>
      <c r="G25" s="239"/>
      <c r="H25" s="239"/>
      <c r="I25" s="239"/>
      <c r="J25" s="239"/>
      <c r="K25" s="239"/>
      <c r="L25" s="238" t="s">
        <v>242</v>
      </c>
      <c r="M25" s="238"/>
    </row>
    <row r="26" customFormat="false" ht="15" hidden="false" customHeight="true" outlineLevel="0" collapsed="false">
      <c r="A26" s="238"/>
      <c r="B26" s="238"/>
      <c r="C26" s="238"/>
      <c r="D26" s="238"/>
      <c r="E26" s="238"/>
      <c r="F26" s="239"/>
      <c r="G26" s="239"/>
      <c r="H26" s="239"/>
      <c r="I26" s="239"/>
      <c r="J26" s="239"/>
      <c r="K26" s="239"/>
      <c r="L26" s="238"/>
      <c r="M26" s="238"/>
    </row>
    <row r="27" customFormat="false" ht="15" hidden="false" customHeight="true" outlineLevel="0" collapsed="false">
      <c r="A27" s="238"/>
      <c r="B27" s="238"/>
      <c r="C27" s="238"/>
      <c r="D27" s="238"/>
      <c r="E27" s="238"/>
      <c r="F27" s="239"/>
      <c r="G27" s="239"/>
      <c r="H27" s="239"/>
      <c r="I27" s="239"/>
      <c r="J27" s="239"/>
      <c r="K27" s="239"/>
      <c r="L27" s="238"/>
      <c r="M27" s="238"/>
    </row>
    <row r="28" customFormat="false" ht="15" hidden="false" customHeight="true" outlineLevel="0" collapsed="false">
      <c r="A28" s="238"/>
      <c r="B28" s="238"/>
      <c r="C28" s="238"/>
      <c r="D28" s="238"/>
      <c r="E28" s="238"/>
      <c r="F28" s="239"/>
      <c r="G28" s="239"/>
      <c r="H28" s="239"/>
      <c r="I28" s="239"/>
      <c r="J28" s="239"/>
      <c r="K28" s="239"/>
      <c r="L28" s="238"/>
      <c r="M28" s="238"/>
    </row>
    <row r="29" customFormat="false" ht="15" hidden="false" customHeight="true" outlineLevel="0" collapsed="false">
      <c r="A29" s="238"/>
      <c r="B29" s="238"/>
      <c r="C29" s="238"/>
      <c r="D29" s="238"/>
      <c r="E29" s="238"/>
      <c r="F29" s="239"/>
      <c r="G29" s="239"/>
      <c r="H29" s="239"/>
      <c r="I29" s="239"/>
      <c r="J29" s="239"/>
      <c r="K29" s="239"/>
      <c r="L29" s="238"/>
      <c r="M29" s="238"/>
    </row>
    <row r="30" customFormat="false" ht="12.75" hidden="false" customHeight="true" outlineLevel="0" collapsed="false">
      <c r="A30" s="238" t="n">
        <v>22</v>
      </c>
      <c r="B30" s="238"/>
      <c r="C30" s="238"/>
      <c r="D30" s="238"/>
      <c r="E30" s="238"/>
      <c r="F30" s="239" t="s">
        <v>243</v>
      </c>
      <c r="G30" s="239"/>
      <c r="H30" s="239"/>
      <c r="I30" s="239"/>
      <c r="J30" s="239"/>
      <c r="K30" s="239"/>
      <c r="L30" s="238" t="s">
        <v>244</v>
      </c>
      <c r="M30" s="238"/>
    </row>
    <row r="31" customFormat="false" ht="12.75" hidden="false" customHeight="false" outlineLevel="0" collapsed="false">
      <c r="A31" s="238"/>
      <c r="B31" s="238"/>
      <c r="C31" s="238"/>
      <c r="D31" s="238"/>
      <c r="E31" s="238"/>
      <c r="F31" s="239"/>
      <c r="G31" s="239"/>
      <c r="H31" s="239"/>
      <c r="I31" s="239"/>
      <c r="J31" s="239"/>
      <c r="K31" s="239"/>
      <c r="L31" s="238"/>
      <c r="M31" s="238"/>
    </row>
    <row r="32" customFormat="false" ht="12.75" hidden="false" customHeight="false" outlineLevel="0" collapsed="false">
      <c r="A32" s="238"/>
      <c r="B32" s="238"/>
      <c r="C32" s="238"/>
      <c r="D32" s="238"/>
      <c r="E32" s="238"/>
      <c r="F32" s="239"/>
      <c r="G32" s="239"/>
      <c r="H32" s="239"/>
      <c r="I32" s="239"/>
      <c r="J32" s="239"/>
      <c r="K32" s="239"/>
      <c r="L32" s="238"/>
      <c r="M32" s="238"/>
    </row>
    <row r="33" customFormat="false" ht="12.75" hidden="false" customHeight="false" outlineLevel="0" collapsed="false">
      <c r="A33" s="238"/>
      <c r="B33" s="238"/>
      <c r="C33" s="238"/>
      <c r="D33" s="238"/>
      <c r="E33" s="238"/>
      <c r="F33" s="239"/>
      <c r="G33" s="239"/>
      <c r="H33" s="239"/>
      <c r="I33" s="239"/>
      <c r="J33" s="239"/>
      <c r="K33" s="239"/>
      <c r="L33" s="238"/>
      <c r="M33" s="238"/>
    </row>
    <row r="34" customFormat="false" ht="12.75" hidden="false" customHeight="true" outlineLevel="0" collapsed="false">
      <c r="A34" s="238" t="n">
        <v>23</v>
      </c>
      <c r="B34" s="238"/>
      <c r="C34" s="238"/>
      <c r="D34" s="238"/>
      <c r="E34" s="238"/>
      <c r="F34" s="239" t="s">
        <v>245</v>
      </c>
      <c r="G34" s="239"/>
      <c r="H34" s="239"/>
      <c r="I34" s="239"/>
      <c r="J34" s="239"/>
      <c r="K34" s="239"/>
      <c r="L34" s="238" t="s">
        <v>246</v>
      </c>
      <c r="M34" s="238"/>
    </row>
    <row r="35" customFormat="false" ht="12.75" hidden="false" customHeight="false" outlineLevel="0" collapsed="false">
      <c r="A35" s="238"/>
      <c r="B35" s="238"/>
      <c r="C35" s="238"/>
      <c r="D35" s="238"/>
      <c r="E35" s="238"/>
      <c r="F35" s="239"/>
      <c r="G35" s="239"/>
      <c r="H35" s="239"/>
      <c r="I35" s="239"/>
      <c r="J35" s="239"/>
      <c r="K35" s="239"/>
      <c r="L35" s="238"/>
      <c r="M35" s="238"/>
    </row>
    <row r="36" customFormat="false" ht="12.75" hidden="false" customHeight="false" outlineLevel="0" collapsed="false">
      <c r="A36" s="238"/>
      <c r="B36" s="238"/>
      <c r="C36" s="238"/>
      <c r="D36" s="238"/>
      <c r="E36" s="238"/>
      <c r="F36" s="239"/>
      <c r="G36" s="239"/>
      <c r="H36" s="239"/>
      <c r="I36" s="239"/>
      <c r="J36" s="239"/>
      <c r="K36" s="239"/>
      <c r="L36" s="238"/>
      <c r="M36" s="238"/>
    </row>
    <row r="37" customFormat="false" ht="12.75" hidden="false" customHeight="false" outlineLevel="0" collapsed="false">
      <c r="A37" s="238"/>
      <c r="B37" s="238"/>
      <c r="C37" s="238"/>
      <c r="D37" s="238"/>
      <c r="E37" s="238"/>
      <c r="F37" s="239"/>
      <c r="G37" s="239"/>
      <c r="H37" s="239"/>
      <c r="I37" s="239"/>
      <c r="J37" s="239"/>
      <c r="K37" s="239"/>
      <c r="L37" s="238"/>
      <c r="M37" s="238"/>
    </row>
    <row r="38" customFormat="false" ht="12.75" hidden="false" customHeight="true" outlineLevel="0" collapsed="false">
      <c r="A38" s="238" t="n">
        <v>24</v>
      </c>
      <c r="B38" s="238"/>
      <c r="C38" s="238"/>
      <c r="D38" s="238"/>
      <c r="E38" s="238"/>
      <c r="F38" s="239" t="s">
        <v>247</v>
      </c>
      <c r="G38" s="239"/>
      <c r="H38" s="239"/>
      <c r="I38" s="239"/>
      <c r="J38" s="239"/>
      <c r="K38" s="239"/>
      <c r="L38" s="238" t="s">
        <v>248</v>
      </c>
      <c r="M38" s="238"/>
      <c r="N38" s="236" t="s">
        <v>249</v>
      </c>
    </row>
    <row r="39" customFormat="false" ht="12.75" hidden="false" customHeight="false" outlineLevel="0" collapsed="false">
      <c r="A39" s="238"/>
      <c r="B39" s="238"/>
      <c r="C39" s="238"/>
      <c r="D39" s="238"/>
      <c r="E39" s="238"/>
      <c r="F39" s="239"/>
      <c r="G39" s="239"/>
      <c r="H39" s="239"/>
      <c r="I39" s="239"/>
      <c r="J39" s="239"/>
      <c r="K39" s="239"/>
      <c r="L39" s="238"/>
      <c r="M39" s="238"/>
    </row>
    <row r="40" customFormat="false" ht="12.75" hidden="false" customHeight="false" outlineLevel="0" collapsed="false">
      <c r="A40" s="238"/>
      <c r="B40" s="238"/>
      <c r="C40" s="238"/>
      <c r="D40" s="238"/>
      <c r="E40" s="238"/>
      <c r="F40" s="239"/>
      <c r="G40" s="239"/>
      <c r="H40" s="239"/>
      <c r="I40" s="239"/>
      <c r="J40" s="239"/>
      <c r="K40" s="239"/>
      <c r="L40" s="238"/>
      <c r="M40" s="238"/>
    </row>
    <row r="41" customFormat="false" ht="12.75" hidden="false" customHeight="false" outlineLevel="0" collapsed="false">
      <c r="A41" s="238"/>
      <c r="B41" s="238"/>
      <c r="C41" s="238"/>
      <c r="D41" s="238"/>
      <c r="E41" s="238"/>
      <c r="F41" s="239"/>
      <c r="G41" s="239"/>
      <c r="H41" s="239"/>
      <c r="I41" s="239"/>
      <c r="J41" s="239"/>
      <c r="K41" s="239"/>
      <c r="L41" s="238"/>
      <c r="M41" s="238"/>
    </row>
    <row r="42" customFormat="false" ht="12.75" hidden="false" customHeight="true" outlineLevel="0" collapsed="false">
      <c r="A42" s="238" t="n">
        <v>25</v>
      </c>
      <c r="B42" s="238"/>
      <c r="C42" s="238"/>
      <c r="D42" s="238"/>
      <c r="E42" s="238"/>
      <c r="F42" s="239" t="s">
        <v>250</v>
      </c>
      <c r="G42" s="239"/>
      <c r="H42" s="239"/>
      <c r="I42" s="239"/>
      <c r="J42" s="239"/>
      <c r="K42" s="239"/>
      <c r="L42" s="238" t="s">
        <v>246</v>
      </c>
      <c r="M42" s="238"/>
    </row>
    <row r="43" customFormat="false" ht="12.75" hidden="false" customHeight="false" outlineLevel="0" collapsed="false">
      <c r="A43" s="238"/>
      <c r="B43" s="238"/>
      <c r="C43" s="238"/>
      <c r="D43" s="238"/>
      <c r="E43" s="238"/>
      <c r="F43" s="239"/>
      <c r="G43" s="239"/>
      <c r="H43" s="239"/>
      <c r="I43" s="239"/>
      <c r="J43" s="239"/>
      <c r="K43" s="239"/>
      <c r="L43" s="238"/>
      <c r="M43" s="238"/>
    </row>
    <row r="44" customFormat="false" ht="12.75" hidden="false" customHeight="false" outlineLevel="0" collapsed="false">
      <c r="A44" s="238"/>
      <c r="B44" s="238"/>
      <c r="C44" s="238"/>
      <c r="D44" s="238"/>
      <c r="E44" s="238"/>
      <c r="F44" s="239"/>
      <c r="G44" s="239"/>
      <c r="H44" s="239"/>
      <c r="I44" s="239"/>
      <c r="J44" s="239"/>
      <c r="K44" s="239"/>
      <c r="L44" s="238"/>
      <c r="M44" s="238"/>
    </row>
    <row r="45" customFormat="false" ht="12.75" hidden="false" customHeight="false" outlineLevel="0" collapsed="false">
      <c r="A45" s="238"/>
      <c r="B45" s="238"/>
      <c r="C45" s="238"/>
      <c r="D45" s="238"/>
      <c r="E45" s="238"/>
      <c r="F45" s="239"/>
      <c r="G45" s="239"/>
      <c r="H45" s="239"/>
      <c r="I45" s="239"/>
      <c r="J45" s="239"/>
      <c r="K45" s="239"/>
      <c r="L45" s="238"/>
      <c r="M45" s="238"/>
    </row>
    <row r="46" customFormat="false" ht="12.75" hidden="false" customHeight="true" outlineLevel="0" collapsed="false">
      <c r="A46" s="238" t="s">
        <v>251</v>
      </c>
      <c r="B46" s="238"/>
      <c r="C46" s="238"/>
      <c r="D46" s="238"/>
      <c r="E46" s="238"/>
      <c r="F46" s="239" t="s">
        <v>252</v>
      </c>
      <c r="G46" s="239"/>
      <c r="H46" s="239"/>
      <c r="I46" s="239"/>
      <c r="J46" s="239"/>
      <c r="K46" s="239"/>
      <c r="L46" s="238" t="s">
        <v>234</v>
      </c>
      <c r="M46" s="238"/>
    </row>
    <row r="47" customFormat="false" ht="12.75" hidden="false" customHeight="false" outlineLevel="0" collapsed="false">
      <c r="A47" s="238"/>
      <c r="B47" s="238"/>
      <c r="C47" s="238"/>
      <c r="D47" s="238"/>
      <c r="E47" s="238"/>
      <c r="F47" s="239"/>
      <c r="G47" s="239"/>
      <c r="H47" s="239"/>
      <c r="I47" s="239"/>
      <c r="J47" s="239"/>
      <c r="K47" s="239"/>
      <c r="L47" s="238"/>
      <c r="M47" s="238"/>
    </row>
    <row r="48" customFormat="false" ht="12.75" hidden="false" customHeight="false" outlineLevel="0" collapsed="false">
      <c r="A48" s="238"/>
      <c r="B48" s="238"/>
      <c r="C48" s="238"/>
      <c r="D48" s="238"/>
      <c r="E48" s="238"/>
      <c r="F48" s="239"/>
      <c r="G48" s="239"/>
      <c r="H48" s="239"/>
      <c r="I48" s="239"/>
      <c r="J48" s="239"/>
      <c r="K48" s="239"/>
      <c r="L48" s="238"/>
      <c r="M48" s="238"/>
    </row>
    <row r="49" customFormat="false" ht="12.75" hidden="false" customHeight="false" outlineLevel="0" collapsed="false">
      <c r="A49" s="238"/>
      <c r="B49" s="238"/>
      <c r="C49" s="238"/>
      <c r="D49" s="238"/>
      <c r="E49" s="238"/>
      <c r="F49" s="239"/>
      <c r="G49" s="239"/>
      <c r="H49" s="239"/>
      <c r="I49" s="239"/>
      <c r="J49" s="239"/>
      <c r="K49" s="239"/>
      <c r="L49" s="238"/>
      <c r="M49" s="238"/>
    </row>
    <row r="50" customFormat="false" ht="12.75" hidden="false" customHeight="true" outlineLevel="0" collapsed="false">
      <c r="A50" s="238" t="n">
        <v>33</v>
      </c>
      <c r="B50" s="238"/>
      <c r="C50" s="238"/>
      <c r="D50" s="238"/>
      <c r="E50" s="238"/>
      <c r="F50" s="239" t="s">
        <v>253</v>
      </c>
      <c r="G50" s="239"/>
      <c r="H50" s="239"/>
      <c r="I50" s="239"/>
      <c r="J50" s="239"/>
      <c r="K50" s="239"/>
      <c r="L50" s="238" t="s">
        <v>234</v>
      </c>
      <c r="M50" s="238"/>
    </row>
    <row r="51" customFormat="false" ht="12.75" hidden="false" customHeight="false" outlineLevel="0" collapsed="false">
      <c r="A51" s="238"/>
      <c r="B51" s="238"/>
      <c r="C51" s="238"/>
      <c r="D51" s="238"/>
      <c r="E51" s="238"/>
      <c r="F51" s="239"/>
      <c r="G51" s="239"/>
      <c r="H51" s="239"/>
      <c r="I51" s="239"/>
      <c r="J51" s="239"/>
      <c r="K51" s="239"/>
      <c r="L51" s="238"/>
      <c r="M51" s="238"/>
    </row>
    <row r="52" customFormat="false" ht="12.75" hidden="false" customHeight="false" outlineLevel="0" collapsed="false">
      <c r="A52" s="238"/>
      <c r="B52" s="238"/>
      <c r="C52" s="238"/>
      <c r="D52" s="238"/>
      <c r="E52" s="238"/>
      <c r="F52" s="239"/>
      <c r="G52" s="239"/>
      <c r="H52" s="239"/>
      <c r="I52" s="239"/>
      <c r="J52" s="239"/>
      <c r="K52" s="239"/>
      <c r="L52" s="238"/>
      <c r="M52" s="238"/>
    </row>
    <row r="53" customFormat="false" ht="12.75" hidden="false" customHeight="false" outlineLevel="0" collapsed="false">
      <c r="A53" s="238"/>
      <c r="B53" s="238"/>
      <c r="C53" s="238"/>
      <c r="D53" s="238"/>
      <c r="E53" s="238"/>
      <c r="F53" s="239"/>
      <c r="G53" s="239"/>
      <c r="H53" s="239"/>
      <c r="I53" s="239"/>
      <c r="J53" s="239"/>
      <c r="K53" s="239"/>
      <c r="L53" s="238"/>
      <c r="M53" s="238"/>
    </row>
    <row r="54" customFormat="false" ht="12.75" hidden="false" customHeight="true" outlineLevel="0" collapsed="false">
      <c r="A54" s="238" t="n">
        <v>35</v>
      </c>
      <c r="B54" s="238"/>
      <c r="C54" s="238"/>
      <c r="D54" s="238"/>
      <c r="E54" s="238"/>
      <c r="F54" s="239" t="s">
        <v>254</v>
      </c>
      <c r="G54" s="239"/>
      <c r="H54" s="239"/>
      <c r="I54" s="239"/>
      <c r="J54" s="239"/>
      <c r="K54" s="239"/>
      <c r="L54" s="238" t="s">
        <v>234</v>
      </c>
      <c r="M54" s="238"/>
    </row>
    <row r="55" customFormat="false" ht="12.75" hidden="false" customHeight="false" outlineLevel="0" collapsed="false">
      <c r="A55" s="238"/>
      <c r="B55" s="238"/>
      <c r="C55" s="238"/>
      <c r="D55" s="238"/>
      <c r="E55" s="238"/>
      <c r="F55" s="239"/>
      <c r="G55" s="239"/>
      <c r="H55" s="239"/>
      <c r="I55" s="239"/>
      <c r="J55" s="239"/>
      <c r="K55" s="239"/>
      <c r="L55" s="238"/>
      <c r="M55" s="238"/>
    </row>
    <row r="56" customFormat="false" ht="12.75" hidden="false" customHeight="false" outlineLevel="0" collapsed="false">
      <c r="A56" s="238"/>
      <c r="B56" s="238"/>
      <c r="C56" s="238"/>
      <c r="D56" s="238"/>
      <c r="E56" s="238"/>
      <c r="F56" s="239"/>
      <c r="G56" s="239"/>
      <c r="H56" s="239"/>
      <c r="I56" s="239"/>
      <c r="J56" s="239"/>
      <c r="K56" s="239"/>
      <c r="L56" s="238"/>
      <c r="M56" s="238"/>
    </row>
    <row r="57" customFormat="false" ht="12.75" hidden="false" customHeight="false" outlineLevel="0" collapsed="false">
      <c r="A57" s="238"/>
      <c r="B57" s="238"/>
      <c r="C57" s="238"/>
      <c r="D57" s="238"/>
      <c r="E57" s="238"/>
      <c r="F57" s="239"/>
      <c r="G57" s="239"/>
      <c r="H57" s="239"/>
      <c r="I57" s="239"/>
      <c r="J57" s="239"/>
      <c r="K57" s="239"/>
      <c r="L57" s="238"/>
      <c r="M57" s="238"/>
    </row>
    <row r="58" customFormat="false" ht="12.75" hidden="false" customHeight="true" outlineLevel="0" collapsed="false">
      <c r="A58" s="238" t="n">
        <v>41</v>
      </c>
      <c r="B58" s="238"/>
      <c r="C58" s="238"/>
      <c r="D58" s="238"/>
      <c r="E58" s="238"/>
      <c r="F58" s="239" t="s">
        <v>255</v>
      </c>
      <c r="G58" s="239"/>
      <c r="H58" s="239"/>
      <c r="I58" s="239"/>
      <c r="J58" s="239"/>
      <c r="K58" s="239"/>
      <c r="L58" s="238" t="s">
        <v>256</v>
      </c>
      <c r="M58" s="238"/>
    </row>
    <row r="59" customFormat="false" ht="12.75" hidden="false" customHeight="false" outlineLevel="0" collapsed="false">
      <c r="A59" s="238"/>
      <c r="B59" s="238"/>
      <c r="C59" s="238"/>
      <c r="D59" s="238"/>
      <c r="E59" s="238"/>
      <c r="F59" s="239"/>
      <c r="G59" s="239"/>
      <c r="H59" s="239"/>
      <c r="I59" s="239"/>
      <c r="J59" s="239"/>
      <c r="K59" s="239"/>
      <c r="L59" s="238"/>
      <c r="M59" s="238"/>
    </row>
    <row r="60" customFormat="false" ht="12.75" hidden="false" customHeight="false" outlineLevel="0" collapsed="false">
      <c r="A60" s="238"/>
      <c r="B60" s="238"/>
      <c r="C60" s="238"/>
      <c r="D60" s="238"/>
      <c r="E60" s="238"/>
      <c r="F60" s="239"/>
      <c r="G60" s="239"/>
      <c r="H60" s="239"/>
      <c r="I60" s="239"/>
      <c r="J60" s="239"/>
      <c r="K60" s="239"/>
      <c r="L60" s="238"/>
      <c r="M60" s="238"/>
    </row>
    <row r="61" customFormat="false" ht="12.75" hidden="false" customHeight="false" outlineLevel="0" collapsed="false">
      <c r="A61" s="238"/>
      <c r="B61" s="238"/>
      <c r="C61" s="238"/>
      <c r="D61" s="238"/>
      <c r="E61" s="238"/>
      <c r="F61" s="239"/>
      <c r="G61" s="239"/>
      <c r="H61" s="239"/>
      <c r="I61" s="239"/>
      <c r="J61" s="239"/>
      <c r="K61" s="239"/>
      <c r="L61" s="238"/>
      <c r="M61" s="238"/>
    </row>
    <row r="62" customFormat="false" ht="12.75" hidden="false" customHeight="true" outlineLevel="0" collapsed="false">
      <c r="A62" s="238" t="n">
        <v>42</v>
      </c>
      <c r="B62" s="238"/>
      <c r="C62" s="238"/>
      <c r="D62" s="238"/>
      <c r="E62" s="238"/>
      <c r="F62" s="239" t="s">
        <v>257</v>
      </c>
      <c r="G62" s="239"/>
      <c r="H62" s="239"/>
      <c r="I62" s="239"/>
      <c r="J62" s="239"/>
      <c r="K62" s="239"/>
      <c r="L62" s="238" t="s">
        <v>234</v>
      </c>
      <c r="M62" s="238"/>
    </row>
    <row r="63" customFormat="false" ht="12.75" hidden="false" customHeight="false" outlineLevel="0" collapsed="false">
      <c r="A63" s="238"/>
      <c r="B63" s="238"/>
      <c r="C63" s="238"/>
      <c r="D63" s="238"/>
      <c r="E63" s="238"/>
      <c r="F63" s="239"/>
      <c r="G63" s="239"/>
      <c r="H63" s="239"/>
      <c r="I63" s="239"/>
      <c r="J63" s="239"/>
      <c r="K63" s="239"/>
      <c r="L63" s="238"/>
      <c r="M63" s="238"/>
    </row>
    <row r="64" customFormat="false" ht="12.75" hidden="false" customHeight="false" outlineLevel="0" collapsed="false">
      <c r="A64" s="238"/>
      <c r="B64" s="238"/>
      <c r="C64" s="238"/>
      <c r="D64" s="238"/>
      <c r="E64" s="238"/>
      <c r="F64" s="239"/>
      <c r="G64" s="239"/>
      <c r="H64" s="239"/>
      <c r="I64" s="239"/>
      <c r="J64" s="239"/>
      <c r="K64" s="239"/>
      <c r="L64" s="238"/>
      <c r="M64" s="238"/>
    </row>
    <row r="65" customFormat="false" ht="12.75" hidden="false" customHeight="false" outlineLevel="0" collapsed="false">
      <c r="A65" s="238"/>
      <c r="B65" s="238"/>
      <c r="C65" s="238"/>
      <c r="D65" s="238"/>
      <c r="E65" s="238"/>
      <c r="F65" s="239"/>
      <c r="G65" s="239"/>
      <c r="H65" s="239"/>
      <c r="I65" s="239"/>
      <c r="J65" s="239"/>
      <c r="K65" s="239"/>
      <c r="L65" s="238"/>
      <c r="M65" s="238"/>
    </row>
    <row r="66" customFormat="false" ht="12.75" hidden="false" customHeight="true" outlineLevel="0" collapsed="false">
      <c r="A66" s="238" t="s">
        <v>258</v>
      </c>
      <c r="B66" s="238"/>
      <c r="C66" s="238"/>
      <c r="D66" s="238"/>
      <c r="E66" s="238"/>
      <c r="F66" s="239" t="s">
        <v>259</v>
      </c>
      <c r="G66" s="239"/>
      <c r="H66" s="239"/>
      <c r="I66" s="239"/>
      <c r="J66" s="239"/>
      <c r="K66" s="239"/>
      <c r="L66" s="238" t="s">
        <v>260</v>
      </c>
      <c r="M66" s="238"/>
    </row>
    <row r="67" customFormat="false" ht="12.75" hidden="false" customHeight="false" outlineLevel="0" collapsed="false">
      <c r="A67" s="238"/>
      <c r="B67" s="238"/>
      <c r="C67" s="238"/>
      <c r="D67" s="238"/>
      <c r="E67" s="238"/>
      <c r="F67" s="239"/>
      <c r="G67" s="239"/>
      <c r="H67" s="239"/>
      <c r="I67" s="239"/>
      <c r="J67" s="239"/>
      <c r="K67" s="239"/>
      <c r="L67" s="238"/>
      <c r="M67" s="238"/>
    </row>
    <row r="68" customFormat="false" ht="12.75" hidden="false" customHeight="false" outlineLevel="0" collapsed="false">
      <c r="A68" s="238"/>
      <c r="B68" s="238"/>
      <c r="C68" s="238"/>
      <c r="D68" s="238"/>
      <c r="E68" s="238"/>
      <c r="F68" s="239"/>
      <c r="G68" s="239"/>
      <c r="H68" s="239"/>
      <c r="I68" s="239"/>
      <c r="J68" s="239"/>
      <c r="K68" s="239"/>
      <c r="L68" s="238"/>
      <c r="M68" s="238"/>
    </row>
    <row r="69" customFormat="false" ht="12.75" hidden="false" customHeight="false" outlineLevel="0" collapsed="false">
      <c r="A69" s="238"/>
      <c r="B69" s="238"/>
      <c r="C69" s="238"/>
      <c r="D69" s="238"/>
      <c r="E69" s="238"/>
      <c r="F69" s="239"/>
      <c r="G69" s="239"/>
      <c r="H69" s="239"/>
      <c r="I69" s="239"/>
      <c r="J69" s="239"/>
      <c r="K69" s="239"/>
      <c r="L69" s="238"/>
      <c r="M69" s="238"/>
    </row>
    <row r="70" customFormat="false" ht="12.75" hidden="false" customHeight="true" outlineLevel="0" collapsed="false">
      <c r="A70" s="238" t="s">
        <v>261</v>
      </c>
      <c r="B70" s="238"/>
      <c r="C70" s="238"/>
      <c r="D70" s="238"/>
      <c r="E70" s="238"/>
      <c r="F70" s="239" t="s">
        <v>262</v>
      </c>
      <c r="G70" s="239"/>
      <c r="H70" s="239"/>
      <c r="I70" s="239"/>
      <c r="J70" s="239"/>
      <c r="K70" s="239"/>
      <c r="L70" s="238" t="s">
        <v>263</v>
      </c>
      <c r="M70" s="238"/>
    </row>
    <row r="71" customFormat="false" ht="12.75" hidden="false" customHeight="false" outlineLevel="0" collapsed="false">
      <c r="A71" s="238"/>
      <c r="B71" s="238"/>
      <c r="C71" s="238"/>
      <c r="D71" s="238"/>
      <c r="E71" s="238"/>
      <c r="F71" s="239"/>
      <c r="G71" s="239"/>
      <c r="H71" s="239"/>
      <c r="I71" s="239"/>
      <c r="J71" s="239"/>
      <c r="K71" s="239"/>
      <c r="L71" s="238"/>
      <c r="M71" s="238"/>
    </row>
    <row r="72" customFormat="false" ht="12.75" hidden="false" customHeight="false" outlineLevel="0" collapsed="false">
      <c r="A72" s="238"/>
      <c r="B72" s="238"/>
      <c r="C72" s="238"/>
      <c r="D72" s="238"/>
      <c r="E72" s="238"/>
      <c r="F72" s="239"/>
      <c r="G72" s="239"/>
      <c r="H72" s="239"/>
      <c r="I72" s="239"/>
      <c r="J72" s="239"/>
      <c r="K72" s="239"/>
      <c r="L72" s="238"/>
      <c r="M72" s="238"/>
    </row>
    <row r="73" customFormat="false" ht="12.75" hidden="false" customHeight="false" outlineLevel="0" collapsed="false">
      <c r="A73" s="238"/>
      <c r="B73" s="238"/>
      <c r="C73" s="238"/>
      <c r="D73" s="238"/>
      <c r="E73" s="238"/>
      <c r="F73" s="239"/>
      <c r="G73" s="239"/>
      <c r="H73" s="239"/>
      <c r="I73" s="239"/>
      <c r="J73" s="239"/>
      <c r="K73" s="239"/>
      <c r="L73" s="238"/>
      <c r="M73" s="238"/>
    </row>
    <row r="74" customFormat="false" ht="12.75" hidden="false" customHeight="false" outlineLevel="0" collapsed="false">
      <c r="A74" s="238"/>
      <c r="B74" s="238"/>
      <c r="C74" s="238"/>
      <c r="D74" s="238"/>
      <c r="E74" s="238"/>
      <c r="F74" s="239"/>
      <c r="G74" s="239"/>
      <c r="H74" s="239"/>
      <c r="I74" s="239"/>
      <c r="J74" s="239"/>
      <c r="K74" s="239"/>
      <c r="L74" s="238"/>
      <c r="M74" s="238"/>
    </row>
    <row r="75" customFormat="false" ht="13.8" hidden="false" customHeight="false" outlineLevel="0" collapsed="false">
      <c r="A75" s="240" t="s">
        <v>264</v>
      </c>
      <c r="B75" s="240"/>
      <c r="C75" s="240"/>
      <c r="D75" s="240"/>
      <c r="E75" s="240"/>
      <c r="F75" s="240"/>
      <c r="G75" s="240"/>
      <c r="H75" s="240"/>
      <c r="I75" s="240"/>
      <c r="J75" s="240"/>
      <c r="K75" s="240"/>
      <c r="L75" s="240"/>
      <c r="M75" s="240"/>
    </row>
    <row r="76" customFormat="false" ht="13.8" hidden="false" customHeight="false" outlineLevel="0" collapsed="false">
      <c r="A76" s="240" t="s">
        <v>265</v>
      </c>
      <c r="B76" s="240"/>
      <c r="C76" s="240"/>
      <c r="D76" s="240"/>
      <c r="E76" s="240"/>
      <c r="F76" s="240"/>
      <c r="G76" s="240"/>
      <c r="H76" s="240"/>
      <c r="I76" s="240"/>
      <c r="J76" s="240"/>
      <c r="K76" s="240"/>
      <c r="L76" s="240"/>
      <c r="M76" s="240"/>
    </row>
    <row r="77" customFormat="false" ht="13.8" hidden="false" customHeight="false" outlineLevel="0" collapsed="false">
      <c r="A77" s="240" t="s">
        <v>266</v>
      </c>
      <c r="B77" s="240"/>
      <c r="C77" s="240"/>
      <c r="D77" s="240"/>
      <c r="E77" s="240"/>
      <c r="F77" s="240"/>
      <c r="G77" s="240"/>
      <c r="H77" s="240"/>
      <c r="I77" s="240"/>
      <c r="J77" s="240"/>
      <c r="K77" s="240"/>
      <c r="L77" s="240"/>
      <c r="M77" s="240"/>
    </row>
    <row r="78" customFormat="false" ht="13.8" hidden="false" customHeight="false" outlineLevel="0" collapsed="false">
      <c r="A78" s="240" t="s">
        <v>267</v>
      </c>
      <c r="B78" s="240"/>
      <c r="C78" s="240"/>
      <c r="D78" s="240"/>
      <c r="E78" s="240"/>
      <c r="F78" s="240"/>
      <c r="G78" s="240"/>
      <c r="H78" s="240"/>
      <c r="I78" s="240"/>
      <c r="J78" s="240"/>
      <c r="K78" s="240"/>
      <c r="L78" s="240"/>
      <c r="M78" s="240"/>
    </row>
    <row r="79" customFormat="false" ht="13.8" hidden="false" customHeight="false" outlineLevel="0" collapsed="false">
      <c r="A79" s="240" t="s">
        <v>268</v>
      </c>
      <c r="B79" s="240"/>
      <c r="C79" s="240"/>
      <c r="D79" s="240"/>
      <c r="E79" s="240"/>
      <c r="F79" s="240"/>
      <c r="G79" s="240"/>
      <c r="H79" s="240"/>
      <c r="I79" s="240"/>
      <c r="J79" s="240"/>
      <c r="K79" s="240"/>
      <c r="L79" s="240"/>
      <c r="M79" s="240"/>
    </row>
    <row r="80" customFormat="false" ht="13.8" hidden="false" customHeight="false" outlineLevel="0" collapsed="false">
      <c r="A80" s="240" t="s">
        <v>269</v>
      </c>
      <c r="B80" s="240"/>
      <c r="C80" s="240"/>
      <c r="D80" s="240"/>
      <c r="E80" s="240"/>
      <c r="F80" s="240"/>
      <c r="G80" s="240"/>
      <c r="H80" s="240"/>
      <c r="I80" s="240"/>
      <c r="J80" s="240"/>
      <c r="K80" s="240"/>
      <c r="L80" s="240"/>
      <c r="M80" s="240"/>
    </row>
    <row r="81" customFormat="false" ht="13.8" hidden="false" customHeight="false" outlineLevel="0" collapsed="false">
      <c r="A81" s="240" t="s">
        <v>270</v>
      </c>
      <c r="B81" s="240"/>
      <c r="C81" s="240"/>
      <c r="D81" s="240"/>
      <c r="E81" s="240"/>
      <c r="F81" s="240"/>
      <c r="G81" s="240"/>
      <c r="H81" s="240"/>
      <c r="I81" s="240"/>
      <c r="J81" s="240"/>
      <c r="K81" s="240"/>
      <c r="L81" s="240"/>
      <c r="M81" s="240"/>
    </row>
    <row r="82" customFormat="false" ht="13.8" hidden="false" customHeight="false" outlineLevel="0" collapsed="false">
      <c r="A82" s="240" t="s">
        <v>271</v>
      </c>
      <c r="B82" s="240"/>
      <c r="C82" s="240"/>
      <c r="D82" s="240"/>
      <c r="E82" s="240"/>
      <c r="F82" s="240"/>
      <c r="G82" s="240"/>
      <c r="H82" s="240"/>
      <c r="I82" s="240"/>
      <c r="J82" s="240"/>
      <c r="K82" s="240"/>
      <c r="L82" s="240"/>
      <c r="M82" s="240"/>
    </row>
    <row r="83" customFormat="false" ht="13.8" hidden="false" customHeight="false" outlineLevel="0" collapsed="false">
      <c r="A83" s="240" t="s">
        <v>272</v>
      </c>
      <c r="B83" s="240"/>
      <c r="C83" s="240"/>
      <c r="D83" s="240"/>
      <c r="E83" s="240"/>
      <c r="F83" s="240"/>
      <c r="G83" s="240"/>
      <c r="H83" s="240"/>
      <c r="I83" s="240"/>
      <c r="J83" s="240"/>
      <c r="K83" s="240"/>
      <c r="L83" s="240"/>
      <c r="M83" s="240"/>
    </row>
    <row r="84" customFormat="false" ht="13.8" hidden="false" customHeight="false" outlineLevel="0" collapsed="false">
      <c r="A84" s="240" t="s">
        <v>273</v>
      </c>
      <c r="B84" s="240"/>
      <c r="C84" s="240"/>
      <c r="D84" s="240"/>
      <c r="E84" s="240"/>
      <c r="F84" s="240"/>
      <c r="G84" s="240"/>
      <c r="H84" s="240"/>
      <c r="I84" s="240"/>
      <c r="J84" s="240"/>
      <c r="K84" s="240"/>
      <c r="L84" s="240"/>
      <c r="M84" s="240"/>
    </row>
    <row r="85" customFormat="false" ht="13.8" hidden="false" customHeight="false" outlineLevel="0" collapsed="false">
      <c r="A85" s="240" t="s">
        <v>274</v>
      </c>
      <c r="B85" s="240"/>
      <c r="C85" s="240"/>
      <c r="D85" s="240"/>
      <c r="E85" s="240"/>
      <c r="F85" s="240"/>
      <c r="G85" s="240"/>
      <c r="H85" s="240"/>
      <c r="I85" s="240"/>
      <c r="J85" s="240"/>
      <c r="K85" s="240"/>
      <c r="L85" s="240"/>
      <c r="M85" s="240"/>
    </row>
    <row r="86" customFormat="false" ht="13.8" hidden="false" customHeight="false" outlineLevel="0" collapsed="false">
      <c r="A86" s="240" t="s">
        <v>275</v>
      </c>
      <c r="B86" s="240"/>
      <c r="C86" s="240"/>
      <c r="D86" s="240"/>
      <c r="E86" s="240"/>
      <c r="F86" s="240"/>
      <c r="G86" s="240"/>
      <c r="H86" s="240"/>
      <c r="I86" s="240"/>
      <c r="J86" s="240"/>
      <c r="K86" s="240"/>
      <c r="L86" s="240"/>
      <c r="M86" s="240"/>
    </row>
    <row r="87" customFormat="false" ht="13.8" hidden="false" customHeight="false" outlineLevel="0" collapsed="false">
      <c r="A87" s="240" t="s">
        <v>276</v>
      </c>
      <c r="B87" s="240" t="s">
        <v>249</v>
      </c>
      <c r="C87" s="240"/>
      <c r="D87" s="240"/>
      <c r="E87" s="240"/>
      <c r="F87" s="240"/>
      <c r="G87" s="240"/>
      <c r="H87" s="240"/>
      <c r="I87" s="240"/>
      <c r="J87" s="240"/>
      <c r="K87" s="240"/>
      <c r="L87" s="240"/>
      <c r="M87" s="240"/>
    </row>
    <row r="88" customFormat="false" ht="13.8" hidden="false" customHeight="false" outlineLevel="0" collapsed="false">
      <c r="A88" s="240" t="s">
        <v>277</v>
      </c>
      <c r="B88" s="240"/>
      <c r="C88" s="240"/>
      <c r="D88" s="240"/>
      <c r="E88" s="240"/>
      <c r="F88" s="240"/>
      <c r="G88" s="240"/>
      <c r="H88" s="240"/>
      <c r="I88" s="240"/>
      <c r="J88" s="240"/>
      <c r="K88" s="240"/>
      <c r="L88" s="240"/>
      <c r="M88" s="240"/>
    </row>
    <row r="89" customFormat="false" ht="13.8" hidden="false" customHeight="false" outlineLevel="0" collapsed="false">
      <c r="A89" s="240" t="s">
        <v>278</v>
      </c>
      <c r="B89" s="240"/>
      <c r="C89" s="240"/>
      <c r="D89" s="240"/>
      <c r="E89" s="240"/>
      <c r="F89" s="240"/>
      <c r="G89" s="240"/>
      <c r="H89" s="240"/>
      <c r="I89" s="240"/>
      <c r="J89" s="240"/>
      <c r="K89" s="240"/>
      <c r="L89" s="240"/>
      <c r="M89" s="240"/>
    </row>
    <row r="90" customFormat="false" ht="13.8" hidden="false" customHeight="false" outlineLevel="0" collapsed="false">
      <c r="A90" s="240" t="s">
        <v>279</v>
      </c>
      <c r="B90" s="240"/>
      <c r="C90" s="240"/>
      <c r="D90" s="240"/>
      <c r="E90" s="240"/>
      <c r="F90" s="240"/>
      <c r="G90" s="240"/>
      <c r="H90" s="240"/>
      <c r="I90" s="240"/>
      <c r="J90" s="240"/>
      <c r="K90" s="240"/>
      <c r="L90" s="240"/>
      <c r="M90" s="240"/>
    </row>
    <row r="91" customFormat="false" ht="13.8" hidden="false" customHeight="false" outlineLevel="0" collapsed="false">
      <c r="A91" s="240" t="s">
        <v>280</v>
      </c>
      <c r="B91" s="240"/>
      <c r="C91" s="240"/>
      <c r="D91" s="240"/>
      <c r="E91" s="240"/>
      <c r="F91" s="240"/>
      <c r="G91" s="240"/>
      <c r="H91" s="240"/>
      <c r="I91" s="240"/>
      <c r="J91" s="240"/>
      <c r="K91" s="240"/>
      <c r="L91" s="240"/>
      <c r="M91" s="240"/>
    </row>
    <row r="92" customFormat="false" ht="13.8" hidden="false" customHeight="false" outlineLevel="0" collapsed="false">
      <c r="A92" s="240" t="s">
        <v>281</v>
      </c>
      <c r="B92" s="240"/>
      <c r="C92" s="240"/>
      <c r="D92" s="240"/>
      <c r="E92" s="240"/>
      <c r="F92" s="240"/>
      <c r="G92" s="240"/>
      <c r="H92" s="240"/>
      <c r="I92" s="240"/>
      <c r="J92" s="240"/>
      <c r="K92" s="240"/>
      <c r="L92" s="240"/>
      <c r="M92" s="240"/>
    </row>
    <row r="93" customFormat="false" ht="13.8" hidden="false" customHeight="false" outlineLevel="0" collapsed="false">
      <c r="A93" s="240" t="s">
        <v>282</v>
      </c>
      <c r="B93" s="240"/>
      <c r="C93" s="240"/>
      <c r="D93" s="240"/>
      <c r="E93" s="240"/>
      <c r="F93" s="240"/>
      <c r="G93" s="240"/>
      <c r="H93" s="240"/>
      <c r="I93" s="240"/>
      <c r="J93" s="240"/>
      <c r="K93" s="240"/>
      <c r="L93" s="240"/>
      <c r="M93" s="240"/>
    </row>
    <row r="94" customFormat="false" ht="13.8" hidden="false" customHeight="false" outlineLevel="0" collapsed="false">
      <c r="A94" s="240" t="s">
        <v>283</v>
      </c>
      <c r="B94" s="240"/>
      <c r="C94" s="240"/>
      <c r="D94" s="240"/>
      <c r="E94" s="240"/>
      <c r="F94" s="240"/>
      <c r="G94" s="240"/>
      <c r="H94" s="240"/>
      <c r="I94" s="240"/>
      <c r="J94" s="240"/>
      <c r="K94" s="240"/>
      <c r="L94" s="240"/>
      <c r="M94" s="240"/>
    </row>
    <row r="95" customFormat="false" ht="13.8" hidden="false" customHeight="false" outlineLevel="0" collapsed="false">
      <c r="A95" s="240" t="s">
        <v>284</v>
      </c>
      <c r="B95" s="240"/>
      <c r="C95" s="240"/>
      <c r="D95" s="240"/>
      <c r="E95" s="240"/>
      <c r="F95" s="240"/>
      <c r="G95" s="240"/>
      <c r="H95" s="240"/>
      <c r="I95" s="240"/>
      <c r="J95" s="240"/>
      <c r="K95" s="240"/>
      <c r="L95" s="240"/>
      <c r="M95" s="240"/>
    </row>
    <row r="96" customFormat="false" ht="13.8" hidden="false" customHeight="false" outlineLevel="0" collapsed="false">
      <c r="A96" s="240" t="s">
        <v>285</v>
      </c>
      <c r="B96" s="240"/>
      <c r="C96" s="240"/>
      <c r="D96" s="240"/>
      <c r="E96" s="240"/>
      <c r="F96" s="240"/>
      <c r="G96" s="240"/>
      <c r="H96" s="240"/>
      <c r="I96" s="240"/>
      <c r="J96" s="240"/>
      <c r="K96" s="240"/>
      <c r="L96" s="240"/>
      <c r="M96" s="240"/>
    </row>
    <row r="97" customFormat="false" ht="13.8" hidden="false" customHeight="false" outlineLevel="0" collapsed="false">
      <c r="A97" s="240" t="s">
        <v>286</v>
      </c>
      <c r="B97" s="240"/>
      <c r="C97" s="240"/>
      <c r="D97" s="240"/>
      <c r="E97" s="240"/>
      <c r="F97" s="240"/>
      <c r="G97" s="240"/>
      <c r="H97" s="240"/>
      <c r="I97" s="240"/>
      <c r="J97" s="240"/>
      <c r="K97" s="240"/>
      <c r="L97" s="240"/>
      <c r="M97" s="240"/>
    </row>
    <row r="98" customFormat="false" ht="13.8" hidden="false" customHeight="false" outlineLevel="0" collapsed="false">
      <c r="A98" s="240" t="s">
        <v>287</v>
      </c>
      <c r="B98" s="240"/>
      <c r="C98" s="240"/>
      <c r="D98" s="240"/>
      <c r="E98" s="240"/>
      <c r="F98" s="240"/>
      <c r="G98" s="240"/>
      <c r="H98" s="240"/>
      <c r="I98" s="240"/>
      <c r="J98" s="240"/>
      <c r="K98" s="240"/>
      <c r="L98" s="240"/>
      <c r="M98" s="240"/>
    </row>
    <row r="99" customFormat="false" ht="13.8" hidden="false" customHeight="false" outlineLevel="0" collapsed="false">
      <c r="A99" s="240"/>
      <c r="B99" s="240"/>
      <c r="C99" s="240"/>
      <c r="D99" s="240"/>
      <c r="E99" s="240"/>
      <c r="F99" s="240"/>
      <c r="G99" s="240"/>
      <c r="H99" s="240"/>
      <c r="I99" s="240"/>
      <c r="J99" s="240"/>
      <c r="K99" s="240"/>
      <c r="L99" s="240"/>
      <c r="M99" s="240"/>
    </row>
  </sheetData>
  <mergeCells count="73">
    <mergeCell ref="A1:M2"/>
    <mergeCell ref="A3:B4"/>
    <mergeCell ref="C3:E4"/>
    <mergeCell ref="F3:K4"/>
    <mergeCell ref="L3:M4"/>
    <mergeCell ref="A5:B8"/>
    <mergeCell ref="C5:E8"/>
    <mergeCell ref="F5:K8"/>
    <mergeCell ref="L5:M8"/>
    <mergeCell ref="A9:B12"/>
    <mergeCell ref="C9:E12"/>
    <mergeCell ref="F9:K12"/>
    <mergeCell ref="L9:M12"/>
    <mergeCell ref="A13:B16"/>
    <mergeCell ref="C13:E16"/>
    <mergeCell ref="F13:K16"/>
    <mergeCell ref="L13:M16"/>
    <mergeCell ref="A17:B20"/>
    <mergeCell ref="C17:E20"/>
    <mergeCell ref="F17:K20"/>
    <mergeCell ref="L17:M20"/>
    <mergeCell ref="A21:B24"/>
    <mergeCell ref="C21:E24"/>
    <mergeCell ref="F21:K24"/>
    <mergeCell ref="L21:M24"/>
    <mergeCell ref="A25:B29"/>
    <mergeCell ref="C25:E29"/>
    <mergeCell ref="F25:K29"/>
    <mergeCell ref="L25:M29"/>
    <mergeCell ref="A30:B33"/>
    <mergeCell ref="C30:E33"/>
    <mergeCell ref="F30:K33"/>
    <mergeCell ref="L30:M33"/>
    <mergeCell ref="A34:B37"/>
    <mergeCell ref="C34:E37"/>
    <mergeCell ref="F34:K37"/>
    <mergeCell ref="L34:M37"/>
    <mergeCell ref="A38:B41"/>
    <mergeCell ref="C38:E41"/>
    <mergeCell ref="F38:K41"/>
    <mergeCell ref="L38:M41"/>
    <mergeCell ref="A42:B45"/>
    <mergeCell ref="C42:E45"/>
    <mergeCell ref="F42:K45"/>
    <mergeCell ref="L42:M45"/>
    <mergeCell ref="A46:B49"/>
    <mergeCell ref="C46:E49"/>
    <mergeCell ref="F46:K49"/>
    <mergeCell ref="L46:M49"/>
    <mergeCell ref="A50:B53"/>
    <mergeCell ref="C50:E53"/>
    <mergeCell ref="F50:K53"/>
    <mergeCell ref="L50:M53"/>
    <mergeCell ref="A54:B57"/>
    <mergeCell ref="C54:E57"/>
    <mergeCell ref="F54:K57"/>
    <mergeCell ref="L54:M57"/>
    <mergeCell ref="A58:B61"/>
    <mergeCell ref="C58:E61"/>
    <mergeCell ref="F58:K61"/>
    <mergeCell ref="L58:M61"/>
    <mergeCell ref="A62:B65"/>
    <mergeCell ref="C62:E65"/>
    <mergeCell ref="F62:K65"/>
    <mergeCell ref="L62:M65"/>
    <mergeCell ref="A66:B69"/>
    <mergeCell ref="C66:E69"/>
    <mergeCell ref="F66:K69"/>
    <mergeCell ref="L66:M69"/>
    <mergeCell ref="A70:B74"/>
    <mergeCell ref="C70:E74"/>
    <mergeCell ref="F70:K74"/>
    <mergeCell ref="L70:M74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8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5"/>
  <sheetViews>
    <sheetView showFormulas="false" showGridLines="true" showRowColHeaders="true" showZeros="true" rightToLeft="false" tabSelected="false" showOutlineSymbols="true" defaultGridColor="true" view="normal" topLeftCell="A16" colorId="64" zoomScale="108" zoomScaleNormal="108" zoomScalePageLayoutView="100" workbookViewId="0">
      <selection pane="topLeft" activeCell="A1" activeCellId="0" sqref="A1"/>
    </sheetView>
  </sheetViews>
  <sheetFormatPr defaultColWidth="9.109375" defaultRowHeight="12.75" zeroHeight="false" outlineLevelRow="0" outlineLevelCol="0"/>
  <cols>
    <col collapsed="false" customWidth="false" hidden="false" outlineLevel="0" max="16384" min="1" style="236" width="9.11"/>
  </cols>
  <sheetData>
    <row r="1" customFormat="false" ht="12.75" hidden="false" customHeight="true" outlineLevel="0" collapsed="false">
      <c r="A1" s="241" t="s">
        <v>288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</row>
    <row r="2" customFormat="false" ht="12.75" hidden="false" customHeight="false" outlineLevel="0" collapsed="false">
      <c r="A2" s="241"/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</row>
    <row r="3" customFormat="false" ht="12.75" hidden="false" customHeight="false" outlineLevel="0" collapsed="false">
      <c r="A3" s="242" t="s">
        <v>289</v>
      </c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4"/>
    </row>
    <row r="4" customFormat="false" ht="12.75" hidden="false" customHeight="false" outlineLevel="0" collapsed="false">
      <c r="A4" s="245" t="s">
        <v>290</v>
      </c>
      <c r="N4" s="246"/>
    </row>
    <row r="5" customFormat="false" ht="12.75" hidden="false" customHeight="false" outlineLevel="0" collapsed="false">
      <c r="A5" s="245" t="s">
        <v>291</v>
      </c>
      <c r="N5" s="246"/>
    </row>
    <row r="6" customFormat="false" ht="12.75" hidden="false" customHeight="false" outlineLevel="0" collapsed="false">
      <c r="A6" s="245" t="s">
        <v>292</v>
      </c>
      <c r="N6" s="246"/>
    </row>
    <row r="7" customFormat="false" ht="12.75" hidden="false" customHeight="false" outlineLevel="0" collapsed="false">
      <c r="A7" s="247"/>
      <c r="B7" s="248"/>
      <c r="C7" s="248"/>
      <c r="D7" s="248"/>
      <c r="E7" s="248"/>
      <c r="F7" s="248"/>
      <c r="G7" s="248"/>
      <c r="H7" s="248"/>
      <c r="I7" s="248"/>
      <c r="J7" s="248"/>
      <c r="K7" s="248"/>
      <c r="L7" s="248"/>
      <c r="M7" s="248"/>
      <c r="N7" s="249"/>
    </row>
    <row r="8" customFormat="false" ht="12.75" hidden="false" customHeight="true" outlineLevel="0" collapsed="false">
      <c r="A8" s="241" t="s">
        <v>293</v>
      </c>
      <c r="B8" s="241"/>
      <c r="C8" s="241" t="s">
        <v>294</v>
      </c>
      <c r="D8" s="241"/>
      <c r="E8" s="241"/>
      <c r="F8" s="241"/>
      <c r="G8" s="241"/>
      <c r="H8" s="241"/>
      <c r="I8" s="241"/>
      <c r="J8" s="241"/>
      <c r="K8" s="241"/>
      <c r="L8" s="241"/>
      <c r="M8" s="241"/>
      <c r="N8" s="241"/>
    </row>
    <row r="9" customFormat="false" ht="12.75" hidden="false" customHeight="true" outlineLevel="0" collapsed="false">
      <c r="A9" s="241"/>
      <c r="B9" s="241"/>
      <c r="C9" s="241" t="s">
        <v>295</v>
      </c>
      <c r="D9" s="241"/>
      <c r="E9" s="241" t="s">
        <v>296</v>
      </c>
      <c r="F9" s="241"/>
      <c r="G9" s="241" t="s">
        <v>106</v>
      </c>
      <c r="H9" s="241"/>
      <c r="I9" s="241" t="s">
        <v>297</v>
      </c>
      <c r="J9" s="241"/>
      <c r="K9" s="241" t="s">
        <v>298</v>
      </c>
      <c r="L9" s="241"/>
      <c r="M9" s="241" t="s">
        <v>260</v>
      </c>
      <c r="N9" s="241"/>
    </row>
    <row r="10" customFormat="false" ht="12.75" hidden="false" customHeight="true" outlineLevel="0" collapsed="false">
      <c r="A10" s="241"/>
      <c r="B10" s="241"/>
      <c r="C10" s="241" t="s">
        <v>299</v>
      </c>
      <c r="D10" s="241"/>
      <c r="E10" s="241"/>
      <c r="F10" s="241"/>
      <c r="G10" s="241"/>
      <c r="H10" s="241"/>
      <c r="I10" s="241"/>
      <c r="J10" s="241"/>
      <c r="K10" s="241"/>
      <c r="L10" s="241"/>
      <c r="M10" s="241"/>
      <c r="N10" s="241"/>
    </row>
    <row r="11" customFormat="false" ht="12.75" hidden="false" customHeight="false" outlineLevel="0" collapsed="false">
      <c r="A11" s="241"/>
      <c r="B11" s="241"/>
      <c r="C11" s="250" t="n">
        <v>2</v>
      </c>
      <c r="D11" s="250" t="n">
        <v>3</v>
      </c>
      <c r="E11" s="250" t="n">
        <v>2</v>
      </c>
      <c r="F11" s="250" t="n">
        <v>3</v>
      </c>
      <c r="G11" s="250" t="n">
        <v>2</v>
      </c>
      <c r="H11" s="250" t="n">
        <v>3</v>
      </c>
      <c r="I11" s="250" t="n">
        <v>2</v>
      </c>
      <c r="J11" s="250" t="n">
        <v>3</v>
      </c>
      <c r="K11" s="250" t="n">
        <v>2</v>
      </c>
      <c r="L11" s="250" t="n">
        <v>3</v>
      </c>
      <c r="M11" s="250" t="n">
        <v>2</v>
      </c>
      <c r="N11" s="250" t="n">
        <v>3</v>
      </c>
    </row>
    <row r="12" customFormat="false" ht="12.75" hidden="false" customHeight="false" outlineLevel="0" collapsed="false">
      <c r="A12" s="251"/>
      <c r="B12" s="251"/>
      <c r="C12" s="251"/>
      <c r="D12" s="251"/>
      <c r="E12" s="251"/>
      <c r="F12" s="251"/>
      <c r="G12" s="251"/>
      <c r="H12" s="251"/>
      <c r="I12" s="251"/>
      <c r="J12" s="251"/>
      <c r="K12" s="251"/>
      <c r="L12" s="251"/>
      <c r="M12" s="251"/>
      <c r="N12" s="251"/>
    </row>
    <row r="13" customFormat="false" ht="12.75" hidden="false" customHeight="false" outlineLevel="0" collapsed="false">
      <c r="A13" s="252" t="n">
        <v>-1</v>
      </c>
      <c r="B13" s="252"/>
      <c r="C13" s="253" t="n">
        <v>-2</v>
      </c>
      <c r="D13" s="253" t="n">
        <v>-3</v>
      </c>
      <c r="E13" s="253" t="n">
        <v>-4</v>
      </c>
      <c r="F13" s="253" t="n">
        <v>-5</v>
      </c>
      <c r="G13" s="253" t="n">
        <v>-6</v>
      </c>
      <c r="H13" s="253" t="n">
        <v>-7</v>
      </c>
      <c r="I13" s="253" t="n">
        <v>-8</v>
      </c>
      <c r="J13" s="253" t="n">
        <v>-9</v>
      </c>
      <c r="K13" s="253" t="n">
        <v>-10</v>
      </c>
      <c r="L13" s="253" t="n">
        <v>-11</v>
      </c>
      <c r="M13" s="253" t="n">
        <v>-12</v>
      </c>
      <c r="N13" s="253" t="n">
        <v>-13</v>
      </c>
    </row>
    <row r="14" customFormat="false" ht="12.75" hidden="false" customHeight="true" outlineLevel="0" collapsed="false">
      <c r="A14" s="251" t="s">
        <v>300</v>
      </c>
      <c r="B14" s="251"/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</row>
    <row r="15" customFormat="false" ht="12.75" hidden="false" customHeight="false" outlineLevel="0" collapsed="false">
      <c r="A15" s="251" t="n">
        <v>0.5</v>
      </c>
      <c r="B15" s="251"/>
      <c r="C15" s="254" t="n">
        <v>7</v>
      </c>
      <c r="D15" s="254" t="n">
        <v>7</v>
      </c>
      <c r="E15" s="254" t="n">
        <v>7</v>
      </c>
      <c r="F15" s="254" t="n">
        <v>7</v>
      </c>
      <c r="G15" s="254" t="n">
        <v>9</v>
      </c>
      <c r="H15" s="254" t="n">
        <v>8</v>
      </c>
      <c r="I15" s="254" t="n">
        <v>9</v>
      </c>
      <c r="J15" s="254" t="n">
        <v>8</v>
      </c>
      <c r="K15" s="254" t="n">
        <v>10</v>
      </c>
      <c r="L15" s="254" t="n">
        <v>9</v>
      </c>
      <c r="M15" s="254" t="n">
        <v>12</v>
      </c>
      <c r="N15" s="254" t="n">
        <v>10</v>
      </c>
    </row>
    <row r="16" customFormat="false" ht="12.75" hidden="false" customHeight="false" outlineLevel="0" collapsed="false">
      <c r="A16" s="251" t="n">
        <v>0.75</v>
      </c>
      <c r="B16" s="251"/>
      <c r="C16" s="254" t="n">
        <v>9</v>
      </c>
      <c r="D16" s="254" t="n">
        <v>9</v>
      </c>
      <c r="E16" s="254" t="n">
        <v>9</v>
      </c>
      <c r="F16" s="254" t="n">
        <v>9</v>
      </c>
      <c r="G16" s="254" t="n">
        <v>11</v>
      </c>
      <c r="H16" s="254" t="n">
        <v>10</v>
      </c>
      <c r="I16" s="254" t="n">
        <v>11</v>
      </c>
      <c r="J16" s="254" t="n">
        <v>10</v>
      </c>
      <c r="K16" s="254" t="n">
        <v>13</v>
      </c>
      <c r="L16" s="254" t="n">
        <v>11</v>
      </c>
      <c r="M16" s="254" t="n">
        <v>15</v>
      </c>
      <c r="N16" s="254" t="n">
        <v>12</v>
      </c>
    </row>
    <row r="17" customFormat="false" ht="12.75" hidden="false" customHeight="false" outlineLevel="0" collapsed="false">
      <c r="A17" s="251" t="n">
        <v>1</v>
      </c>
      <c r="B17" s="251"/>
      <c r="C17" s="254" t="n">
        <v>11</v>
      </c>
      <c r="D17" s="254" t="n">
        <v>10</v>
      </c>
      <c r="E17" s="254" t="n">
        <v>11</v>
      </c>
      <c r="F17" s="254" t="n">
        <v>10</v>
      </c>
      <c r="G17" s="254" t="n">
        <v>14</v>
      </c>
      <c r="H17" s="254" t="n">
        <v>12</v>
      </c>
      <c r="I17" s="254" t="n">
        <v>13</v>
      </c>
      <c r="J17" s="254" t="n">
        <v>12</v>
      </c>
      <c r="K17" s="254" t="n">
        <v>15</v>
      </c>
      <c r="L17" s="254" t="n">
        <v>14</v>
      </c>
      <c r="M17" s="254" t="n">
        <v>18</v>
      </c>
      <c r="N17" s="254" t="n">
        <v>15</v>
      </c>
    </row>
    <row r="18" customFormat="false" ht="12.75" hidden="false" customHeight="false" outlineLevel="0" collapsed="false">
      <c r="A18" s="251" t="n">
        <v>1.5</v>
      </c>
      <c r="B18" s="251"/>
      <c r="C18" s="254" t="n">
        <v>14.5</v>
      </c>
      <c r="D18" s="254" t="n">
        <v>13.5</v>
      </c>
      <c r="E18" s="254" t="n">
        <v>14</v>
      </c>
      <c r="F18" s="254" t="n">
        <v>13</v>
      </c>
      <c r="G18" s="254" t="n">
        <v>17.5</v>
      </c>
      <c r="H18" s="254" t="n">
        <v>15.5</v>
      </c>
      <c r="I18" s="254" t="n">
        <v>16.5</v>
      </c>
      <c r="J18" s="254" t="n">
        <v>15</v>
      </c>
      <c r="K18" s="254" t="n">
        <v>19.5</v>
      </c>
      <c r="L18" s="254" t="n">
        <v>17.5</v>
      </c>
      <c r="M18" s="254" t="n">
        <v>22</v>
      </c>
      <c r="N18" s="254" t="n">
        <v>18</v>
      </c>
    </row>
    <row r="19" customFormat="false" ht="12.75" hidden="false" customHeight="false" outlineLevel="0" collapsed="false">
      <c r="A19" s="251" t="n">
        <v>2.5</v>
      </c>
      <c r="B19" s="251"/>
      <c r="C19" s="254" t="n">
        <v>19.5</v>
      </c>
      <c r="D19" s="254" t="n">
        <v>18</v>
      </c>
      <c r="E19" s="254" t="n">
        <v>18.5</v>
      </c>
      <c r="F19" s="254" t="n">
        <v>17.5</v>
      </c>
      <c r="G19" s="254" t="n">
        <v>24</v>
      </c>
      <c r="H19" s="254" t="n">
        <v>21</v>
      </c>
      <c r="I19" s="254" t="n">
        <v>23</v>
      </c>
      <c r="J19" s="254" t="n">
        <v>20</v>
      </c>
      <c r="K19" s="254" t="n">
        <v>27</v>
      </c>
      <c r="L19" s="254" t="n">
        <v>24</v>
      </c>
      <c r="M19" s="254" t="n">
        <v>29</v>
      </c>
      <c r="N19" s="254" t="n">
        <v>24</v>
      </c>
    </row>
    <row r="20" customFormat="false" ht="12.75" hidden="false" customHeight="false" outlineLevel="0" collapsed="false">
      <c r="A20" s="251" t="n">
        <v>4</v>
      </c>
      <c r="B20" s="251"/>
      <c r="C20" s="254" t="n">
        <v>26</v>
      </c>
      <c r="D20" s="254" t="n">
        <v>24</v>
      </c>
      <c r="E20" s="254" t="n">
        <v>25</v>
      </c>
      <c r="F20" s="254" t="n">
        <v>23</v>
      </c>
      <c r="G20" s="254" t="n">
        <v>32</v>
      </c>
      <c r="H20" s="254" t="n">
        <v>28</v>
      </c>
      <c r="I20" s="254" t="n">
        <v>30</v>
      </c>
      <c r="J20" s="254" t="n">
        <v>27</v>
      </c>
      <c r="K20" s="254" t="n">
        <v>36</v>
      </c>
      <c r="L20" s="254" t="n">
        <v>32</v>
      </c>
      <c r="M20" s="254" t="n">
        <v>38</v>
      </c>
      <c r="N20" s="254" t="n">
        <v>31</v>
      </c>
    </row>
    <row r="21" customFormat="false" ht="12.75" hidden="false" customHeight="false" outlineLevel="0" collapsed="false">
      <c r="A21" s="251" t="n">
        <v>6</v>
      </c>
      <c r="B21" s="251"/>
      <c r="C21" s="254" t="n">
        <v>34</v>
      </c>
      <c r="D21" s="254" t="n">
        <v>31</v>
      </c>
      <c r="E21" s="254" t="n">
        <v>32</v>
      </c>
      <c r="F21" s="254" t="n">
        <v>29</v>
      </c>
      <c r="G21" s="254" t="n">
        <v>41</v>
      </c>
      <c r="H21" s="254" t="n">
        <v>36</v>
      </c>
      <c r="I21" s="254" t="n">
        <v>38</v>
      </c>
      <c r="J21" s="254" t="n">
        <v>34</v>
      </c>
      <c r="K21" s="254" t="n">
        <v>46</v>
      </c>
      <c r="L21" s="254" t="n">
        <v>41</v>
      </c>
      <c r="M21" s="254" t="n">
        <v>47</v>
      </c>
      <c r="N21" s="254" t="n">
        <v>39</v>
      </c>
    </row>
    <row r="22" customFormat="false" ht="12.75" hidden="false" customHeight="false" outlineLevel="0" collapsed="false">
      <c r="A22" s="251" t="n">
        <v>10</v>
      </c>
      <c r="B22" s="251"/>
      <c r="C22" s="254" t="n">
        <v>46</v>
      </c>
      <c r="D22" s="254" t="n">
        <v>42</v>
      </c>
      <c r="E22" s="254" t="n">
        <v>43</v>
      </c>
      <c r="F22" s="254" t="n">
        <v>39</v>
      </c>
      <c r="G22" s="254" t="n">
        <v>57</v>
      </c>
      <c r="H22" s="254" t="n">
        <v>50</v>
      </c>
      <c r="I22" s="254" t="n">
        <v>52</v>
      </c>
      <c r="J22" s="254" t="n">
        <v>46</v>
      </c>
      <c r="K22" s="254" t="n">
        <v>63</v>
      </c>
      <c r="L22" s="254" t="n">
        <v>57</v>
      </c>
      <c r="M22" s="254" t="n">
        <v>63</v>
      </c>
      <c r="N22" s="254" t="n">
        <v>52</v>
      </c>
    </row>
    <row r="23" customFormat="false" ht="12.75" hidden="false" customHeight="false" outlineLevel="0" collapsed="false">
      <c r="A23" s="251" t="n">
        <v>16</v>
      </c>
      <c r="B23" s="251"/>
      <c r="C23" s="254" t="n">
        <v>61</v>
      </c>
      <c r="D23" s="254" t="n">
        <v>56</v>
      </c>
      <c r="E23" s="254" t="n">
        <v>57</v>
      </c>
      <c r="F23" s="254" t="n">
        <v>52</v>
      </c>
      <c r="G23" s="254" t="n">
        <v>76</v>
      </c>
      <c r="H23" s="254" t="n">
        <v>68</v>
      </c>
      <c r="I23" s="254" t="n">
        <v>69</v>
      </c>
      <c r="J23" s="254" t="n">
        <v>62</v>
      </c>
      <c r="K23" s="254" t="n">
        <v>85</v>
      </c>
      <c r="L23" s="254" t="n">
        <v>76</v>
      </c>
      <c r="M23" s="254" t="n">
        <v>81</v>
      </c>
      <c r="N23" s="254" t="n">
        <v>67</v>
      </c>
    </row>
    <row r="24" customFormat="false" ht="12.75" hidden="false" customHeight="false" outlineLevel="0" collapsed="false">
      <c r="A24" s="251" t="n">
        <v>25</v>
      </c>
      <c r="B24" s="251"/>
      <c r="C24" s="254" t="n">
        <v>80</v>
      </c>
      <c r="D24" s="254" t="n">
        <v>73</v>
      </c>
      <c r="E24" s="254" t="n">
        <v>75</v>
      </c>
      <c r="F24" s="254" t="n">
        <v>68</v>
      </c>
      <c r="G24" s="254" t="n">
        <v>101</v>
      </c>
      <c r="H24" s="254" t="n">
        <v>89</v>
      </c>
      <c r="I24" s="254" t="n">
        <v>90</v>
      </c>
      <c r="J24" s="254" t="n">
        <v>80</v>
      </c>
      <c r="K24" s="254" t="n">
        <v>112</v>
      </c>
      <c r="L24" s="254" t="n">
        <v>96</v>
      </c>
      <c r="M24" s="254" t="n">
        <v>104</v>
      </c>
      <c r="N24" s="254" t="n">
        <v>86</v>
      </c>
    </row>
    <row r="25" customFormat="false" ht="12.75" hidden="false" customHeight="false" outlineLevel="0" collapsed="false">
      <c r="A25" s="251" t="n">
        <v>35</v>
      </c>
      <c r="B25" s="251"/>
      <c r="C25" s="254" t="n">
        <v>99</v>
      </c>
      <c r="D25" s="254" t="n">
        <v>89</v>
      </c>
      <c r="E25" s="254" t="n">
        <v>92</v>
      </c>
      <c r="F25" s="254" t="n">
        <v>83</v>
      </c>
      <c r="G25" s="254" t="n">
        <v>125</v>
      </c>
      <c r="H25" s="254" t="n">
        <v>110</v>
      </c>
      <c r="I25" s="254" t="n">
        <v>111</v>
      </c>
      <c r="J25" s="254" t="n">
        <v>99</v>
      </c>
      <c r="K25" s="254" t="n">
        <v>138</v>
      </c>
      <c r="L25" s="254" t="n">
        <v>119</v>
      </c>
      <c r="M25" s="254" t="n">
        <v>125</v>
      </c>
      <c r="N25" s="254" t="n">
        <v>103</v>
      </c>
    </row>
    <row r="26" customFormat="false" ht="12.75" hidden="false" customHeight="false" outlineLevel="0" collapsed="false">
      <c r="A26" s="251" t="n">
        <v>50</v>
      </c>
      <c r="B26" s="251"/>
      <c r="C26" s="254" t="n">
        <v>119</v>
      </c>
      <c r="D26" s="254" t="n">
        <v>108</v>
      </c>
      <c r="E26" s="254" t="n">
        <v>110</v>
      </c>
      <c r="F26" s="254" t="n">
        <v>99</v>
      </c>
      <c r="G26" s="254" t="n">
        <v>151</v>
      </c>
      <c r="H26" s="254" t="n">
        <v>134</v>
      </c>
      <c r="I26" s="254" t="n">
        <v>133</v>
      </c>
      <c r="J26" s="254" t="n">
        <v>118</v>
      </c>
      <c r="K26" s="254" t="n">
        <v>168</v>
      </c>
      <c r="L26" s="254" t="n">
        <v>144</v>
      </c>
      <c r="M26" s="254" t="n">
        <v>148</v>
      </c>
      <c r="N26" s="254" t="n">
        <v>122</v>
      </c>
    </row>
    <row r="27" customFormat="false" ht="12.75" hidden="false" customHeight="false" outlineLevel="0" collapsed="false">
      <c r="A27" s="251" t="n">
        <v>70</v>
      </c>
      <c r="B27" s="251"/>
      <c r="C27" s="254" t="n">
        <v>151</v>
      </c>
      <c r="D27" s="254" t="n">
        <v>136</v>
      </c>
      <c r="E27" s="254" t="n">
        <v>139</v>
      </c>
      <c r="F27" s="254" t="n">
        <v>125</v>
      </c>
      <c r="G27" s="254" t="n">
        <v>192</v>
      </c>
      <c r="H27" s="254" t="n">
        <v>171</v>
      </c>
      <c r="I27" s="254" t="n">
        <v>168</v>
      </c>
      <c r="J27" s="254" t="n">
        <v>149</v>
      </c>
      <c r="K27" s="254" t="n">
        <v>213</v>
      </c>
      <c r="L27" s="254" t="n">
        <v>184</v>
      </c>
      <c r="M27" s="254" t="n">
        <v>183</v>
      </c>
      <c r="N27" s="254" t="n">
        <v>151</v>
      </c>
    </row>
    <row r="28" customFormat="false" ht="12.75" hidden="false" customHeight="false" outlineLevel="0" collapsed="false">
      <c r="A28" s="251" t="n">
        <v>95</v>
      </c>
      <c r="B28" s="251"/>
      <c r="C28" s="254" t="n">
        <v>182</v>
      </c>
      <c r="D28" s="254" t="n">
        <v>164</v>
      </c>
      <c r="E28" s="254" t="n">
        <v>167</v>
      </c>
      <c r="F28" s="254" t="n">
        <v>150</v>
      </c>
      <c r="G28" s="254" t="n">
        <v>232</v>
      </c>
      <c r="H28" s="254" t="n">
        <v>207</v>
      </c>
      <c r="I28" s="254" t="n">
        <v>201</v>
      </c>
      <c r="J28" s="254" t="n">
        <v>179</v>
      </c>
      <c r="K28" s="254" t="n">
        <v>258</v>
      </c>
      <c r="L28" s="254" t="n">
        <v>223</v>
      </c>
      <c r="M28" s="254" t="n">
        <v>216</v>
      </c>
      <c r="N28" s="254" t="n">
        <v>179</v>
      </c>
    </row>
    <row r="29" customFormat="false" ht="12.75" hidden="false" customHeight="false" outlineLevel="0" collapsed="false">
      <c r="A29" s="251" t="n">
        <v>120</v>
      </c>
      <c r="B29" s="251"/>
      <c r="C29" s="254" t="n">
        <v>210</v>
      </c>
      <c r="D29" s="254" t="n">
        <v>188</v>
      </c>
      <c r="E29" s="254" t="n">
        <v>192</v>
      </c>
      <c r="F29" s="254" t="n">
        <v>172</v>
      </c>
      <c r="G29" s="254" t="n">
        <v>269</v>
      </c>
      <c r="H29" s="254" t="n">
        <v>239</v>
      </c>
      <c r="I29" s="254" t="n">
        <v>232</v>
      </c>
      <c r="J29" s="254" t="n">
        <v>206</v>
      </c>
      <c r="K29" s="254" t="n">
        <v>299</v>
      </c>
      <c r="L29" s="254" t="n">
        <v>259</v>
      </c>
      <c r="M29" s="254" t="n">
        <v>246</v>
      </c>
      <c r="N29" s="254" t="n">
        <v>203</v>
      </c>
    </row>
    <row r="30" customFormat="false" ht="12.75" hidden="false" customHeight="false" outlineLevel="0" collapsed="false">
      <c r="A30" s="251" t="n">
        <v>150</v>
      </c>
      <c r="B30" s="251"/>
      <c r="C30" s="254" t="n">
        <v>240</v>
      </c>
      <c r="D30" s="254" t="n">
        <v>216</v>
      </c>
      <c r="E30" s="254" t="n">
        <v>219</v>
      </c>
      <c r="F30" s="254" t="n">
        <v>196</v>
      </c>
      <c r="G30" s="254" t="n">
        <v>309</v>
      </c>
      <c r="H30" s="254" t="n">
        <v>275</v>
      </c>
      <c r="I30" s="254" t="n">
        <v>265</v>
      </c>
      <c r="J30" s="254" t="n">
        <v>236</v>
      </c>
      <c r="K30" s="254" t="n">
        <v>344</v>
      </c>
      <c r="L30" s="254" t="n">
        <v>299</v>
      </c>
      <c r="M30" s="254" t="n">
        <v>278</v>
      </c>
      <c r="N30" s="254" t="n">
        <v>230</v>
      </c>
    </row>
    <row r="31" customFormat="false" ht="12.75" hidden="false" customHeight="false" outlineLevel="0" collapsed="false">
      <c r="A31" s="251" t="n">
        <v>185</v>
      </c>
      <c r="B31" s="251"/>
      <c r="C31" s="254" t="n">
        <v>273</v>
      </c>
      <c r="D31" s="254" t="n">
        <v>245</v>
      </c>
      <c r="E31" s="254" t="n">
        <v>248</v>
      </c>
      <c r="F31" s="254" t="n">
        <v>223</v>
      </c>
      <c r="G31" s="254" t="n">
        <v>353</v>
      </c>
      <c r="H31" s="254" t="n">
        <v>314</v>
      </c>
      <c r="I31" s="254" t="n">
        <v>300</v>
      </c>
      <c r="J31" s="254" t="n">
        <v>268</v>
      </c>
      <c r="K31" s="254" t="n">
        <v>392</v>
      </c>
      <c r="L31" s="254" t="n">
        <v>341</v>
      </c>
      <c r="M31" s="254" t="n">
        <v>312</v>
      </c>
      <c r="N31" s="254" t="n">
        <v>258</v>
      </c>
    </row>
    <row r="32" customFormat="false" ht="12.75" hidden="false" customHeight="false" outlineLevel="0" collapsed="false">
      <c r="A32" s="251" t="n">
        <v>240</v>
      </c>
      <c r="B32" s="251"/>
      <c r="C32" s="254" t="n">
        <v>321</v>
      </c>
      <c r="D32" s="254" t="n">
        <v>286</v>
      </c>
      <c r="E32" s="254" t="n">
        <v>291</v>
      </c>
      <c r="F32" s="254" t="n">
        <v>261</v>
      </c>
      <c r="G32" s="254" t="n">
        <v>415</v>
      </c>
      <c r="H32" s="254" t="n">
        <v>370</v>
      </c>
      <c r="I32" s="254" t="n">
        <v>351</v>
      </c>
      <c r="J32" s="254" t="n">
        <v>313</v>
      </c>
      <c r="K32" s="254" t="n">
        <v>461</v>
      </c>
      <c r="L32" s="254" t="n">
        <v>403</v>
      </c>
      <c r="M32" s="254" t="n">
        <v>361</v>
      </c>
      <c r="N32" s="254" t="n">
        <v>297</v>
      </c>
    </row>
    <row r="33" customFormat="false" ht="12.75" hidden="false" customHeight="false" outlineLevel="0" collapsed="false">
      <c r="A33" s="251" t="n">
        <v>300</v>
      </c>
      <c r="B33" s="251"/>
      <c r="C33" s="254" t="n">
        <v>367</v>
      </c>
      <c r="D33" s="254" t="n">
        <v>328</v>
      </c>
      <c r="E33" s="254" t="n">
        <v>334</v>
      </c>
      <c r="F33" s="254" t="n">
        <v>298</v>
      </c>
      <c r="G33" s="254" t="n">
        <v>477</v>
      </c>
      <c r="H33" s="254" t="n">
        <v>426</v>
      </c>
      <c r="I33" s="254" t="n">
        <v>401</v>
      </c>
      <c r="J33" s="254" t="n">
        <v>358</v>
      </c>
      <c r="K33" s="254" t="n">
        <v>530</v>
      </c>
      <c r="L33" s="254" t="n">
        <v>464</v>
      </c>
      <c r="M33" s="254" t="n">
        <v>408</v>
      </c>
      <c r="N33" s="254" t="n">
        <v>336</v>
      </c>
    </row>
    <row r="34" customFormat="false" ht="12.75" hidden="false" customHeight="false" outlineLevel="0" collapsed="false">
      <c r="A34" s="251" t="n">
        <v>400</v>
      </c>
      <c r="B34" s="251"/>
      <c r="C34" s="254" t="n">
        <v>438</v>
      </c>
      <c r="D34" s="254" t="n">
        <v>390</v>
      </c>
      <c r="E34" s="254" t="n">
        <v>398</v>
      </c>
      <c r="F34" s="254" t="n">
        <v>355</v>
      </c>
      <c r="G34" s="254" t="n">
        <v>571</v>
      </c>
      <c r="H34" s="254" t="n">
        <v>510</v>
      </c>
      <c r="I34" s="254" t="n">
        <v>477</v>
      </c>
      <c r="J34" s="254" t="n">
        <v>425</v>
      </c>
      <c r="K34" s="254" t="n">
        <v>634</v>
      </c>
      <c r="L34" s="254" t="n">
        <v>557</v>
      </c>
      <c r="M34" s="254" t="n">
        <v>478</v>
      </c>
      <c r="N34" s="254" t="n">
        <v>394</v>
      </c>
    </row>
    <row r="35" customFormat="false" ht="12.75" hidden="false" customHeight="false" outlineLevel="0" collapsed="false">
      <c r="A35" s="251" t="n">
        <v>500</v>
      </c>
      <c r="B35" s="251"/>
      <c r="C35" s="254" t="n">
        <v>502</v>
      </c>
      <c r="D35" s="254" t="n">
        <v>447</v>
      </c>
      <c r="E35" s="254" t="n">
        <v>456</v>
      </c>
      <c r="F35" s="254" t="n">
        <v>406</v>
      </c>
      <c r="G35" s="254" t="n">
        <v>656</v>
      </c>
      <c r="H35" s="254" t="n">
        <v>587</v>
      </c>
      <c r="I35" s="254" t="n">
        <v>545</v>
      </c>
      <c r="J35" s="254" t="n">
        <v>486</v>
      </c>
      <c r="K35" s="254" t="n">
        <v>729</v>
      </c>
      <c r="L35" s="254" t="n">
        <v>642</v>
      </c>
      <c r="M35" s="254" t="n">
        <v>540</v>
      </c>
      <c r="N35" s="254" t="n">
        <v>445</v>
      </c>
    </row>
    <row r="36" customFormat="false" ht="12.75" hidden="false" customHeight="false" outlineLevel="0" collapsed="false">
      <c r="A36" s="251" t="n">
        <v>630</v>
      </c>
      <c r="B36" s="251"/>
      <c r="C36" s="254" t="n">
        <v>578</v>
      </c>
      <c r="D36" s="254" t="n">
        <v>514</v>
      </c>
      <c r="E36" s="254" t="n">
        <v>526</v>
      </c>
      <c r="F36" s="254" t="n">
        <v>467</v>
      </c>
      <c r="G36" s="254" t="n">
        <v>758</v>
      </c>
      <c r="H36" s="254" t="n">
        <v>678</v>
      </c>
      <c r="I36" s="254" t="n">
        <v>626</v>
      </c>
      <c r="J36" s="254" t="n">
        <v>559</v>
      </c>
      <c r="K36" s="254" t="n">
        <v>843</v>
      </c>
      <c r="L36" s="254" t="n">
        <v>743</v>
      </c>
      <c r="M36" s="254" t="n">
        <v>614</v>
      </c>
      <c r="N36" s="254" t="n">
        <v>506</v>
      </c>
    </row>
    <row r="37" customFormat="false" ht="12.75" hidden="false" customHeight="false" outlineLevel="0" collapsed="false">
      <c r="A37" s="251" t="n">
        <v>800</v>
      </c>
      <c r="B37" s="251"/>
      <c r="C37" s="254" t="n">
        <v>669</v>
      </c>
      <c r="D37" s="254" t="n">
        <v>593</v>
      </c>
      <c r="E37" s="254" t="n">
        <v>609</v>
      </c>
      <c r="F37" s="254" t="n">
        <v>540</v>
      </c>
      <c r="G37" s="254" t="n">
        <v>881</v>
      </c>
      <c r="H37" s="254" t="n">
        <v>788</v>
      </c>
      <c r="I37" s="254" t="n">
        <v>723</v>
      </c>
      <c r="J37" s="254" t="n">
        <v>645</v>
      </c>
      <c r="K37" s="254" t="n">
        <v>978</v>
      </c>
      <c r="L37" s="254" t="n">
        <v>865</v>
      </c>
      <c r="M37" s="254" t="n">
        <v>700</v>
      </c>
      <c r="N37" s="254" t="n">
        <v>577</v>
      </c>
    </row>
    <row r="38" customFormat="false" ht="12.75" hidden="false" customHeight="false" outlineLevel="0" collapsed="false">
      <c r="A38" s="251" t="n">
        <v>1000</v>
      </c>
      <c r="B38" s="251"/>
      <c r="C38" s="254" t="n">
        <v>767</v>
      </c>
      <c r="D38" s="254" t="n">
        <v>679</v>
      </c>
      <c r="E38" s="254" t="n">
        <v>698</v>
      </c>
      <c r="F38" s="254" t="n">
        <v>618</v>
      </c>
      <c r="G38" s="254" t="n">
        <v>1012</v>
      </c>
      <c r="H38" s="254" t="n">
        <v>906</v>
      </c>
      <c r="I38" s="254" t="n">
        <v>827</v>
      </c>
      <c r="J38" s="254" t="n">
        <v>738</v>
      </c>
      <c r="K38" s="254" t="n">
        <v>1125</v>
      </c>
      <c r="L38" s="254" t="n">
        <v>996</v>
      </c>
      <c r="M38" s="254" t="n">
        <v>792</v>
      </c>
      <c r="N38" s="254" t="n">
        <v>652</v>
      </c>
    </row>
    <row r="39" customFormat="false" ht="12.75" hidden="false" customHeight="true" outlineLevel="0" collapsed="false">
      <c r="A39" s="251" t="s">
        <v>301</v>
      </c>
      <c r="B39" s="251"/>
      <c r="C39" s="251"/>
      <c r="D39" s="251"/>
      <c r="E39" s="251"/>
      <c r="F39" s="251"/>
      <c r="G39" s="251"/>
      <c r="H39" s="251"/>
      <c r="I39" s="251"/>
      <c r="J39" s="251"/>
      <c r="K39" s="251"/>
      <c r="L39" s="251"/>
      <c r="M39" s="251"/>
      <c r="N39" s="251"/>
    </row>
    <row r="40" customFormat="false" ht="12.75" hidden="false" customHeight="false" outlineLevel="0" collapsed="false">
      <c r="A40" s="251" t="n">
        <v>16</v>
      </c>
      <c r="B40" s="251"/>
      <c r="C40" s="254" t="n">
        <v>48</v>
      </c>
      <c r="D40" s="254" t="n">
        <v>43</v>
      </c>
      <c r="E40" s="254" t="n">
        <v>44</v>
      </c>
      <c r="F40" s="254" t="n">
        <v>41</v>
      </c>
      <c r="G40" s="254" t="n">
        <v>60</v>
      </c>
      <c r="H40" s="254" t="n">
        <v>53</v>
      </c>
      <c r="I40" s="254" t="n">
        <v>54</v>
      </c>
      <c r="J40" s="254" t="n">
        <v>48</v>
      </c>
      <c r="K40" s="254" t="n">
        <v>66</v>
      </c>
      <c r="L40" s="254" t="n">
        <v>59</v>
      </c>
      <c r="M40" s="254" t="n">
        <v>62</v>
      </c>
      <c r="N40" s="254" t="n">
        <v>52</v>
      </c>
    </row>
    <row r="41" customFormat="false" ht="12.75" hidden="false" customHeight="false" outlineLevel="0" collapsed="false">
      <c r="A41" s="251" t="n">
        <v>25</v>
      </c>
      <c r="B41" s="251"/>
      <c r="C41" s="254" t="n">
        <v>63</v>
      </c>
      <c r="D41" s="254" t="n">
        <v>57</v>
      </c>
      <c r="E41" s="254" t="n">
        <v>58</v>
      </c>
      <c r="F41" s="254" t="n">
        <v>53</v>
      </c>
      <c r="G41" s="254" t="n">
        <v>79</v>
      </c>
      <c r="H41" s="254" t="n">
        <v>70</v>
      </c>
      <c r="I41" s="254" t="n">
        <v>71</v>
      </c>
      <c r="J41" s="254" t="n">
        <v>62</v>
      </c>
      <c r="K41" s="254" t="n">
        <v>83</v>
      </c>
      <c r="L41" s="254" t="n">
        <v>73</v>
      </c>
      <c r="M41" s="254" t="n">
        <v>80</v>
      </c>
      <c r="N41" s="254" t="n">
        <v>66</v>
      </c>
    </row>
    <row r="42" customFormat="false" ht="12.75" hidden="false" customHeight="false" outlineLevel="0" collapsed="false">
      <c r="A42" s="251" t="n">
        <v>35</v>
      </c>
      <c r="B42" s="251"/>
      <c r="C42" s="254" t="n">
        <v>77</v>
      </c>
      <c r="D42" s="254" t="n">
        <v>70</v>
      </c>
      <c r="E42" s="254" t="n">
        <v>71</v>
      </c>
      <c r="F42" s="254" t="n">
        <v>65</v>
      </c>
      <c r="G42" s="254" t="n">
        <v>97</v>
      </c>
      <c r="H42" s="254" t="n">
        <v>86</v>
      </c>
      <c r="I42" s="254" t="n">
        <v>86</v>
      </c>
      <c r="J42" s="254" t="n">
        <v>77</v>
      </c>
      <c r="K42" s="254" t="n">
        <v>103</v>
      </c>
      <c r="L42" s="254" t="n">
        <v>90</v>
      </c>
      <c r="M42" s="254" t="n">
        <v>96</v>
      </c>
      <c r="N42" s="254" t="n">
        <v>80</v>
      </c>
    </row>
    <row r="43" customFormat="false" ht="12.75" hidden="false" customHeight="false" outlineLevel="0" collapsed="false">
      <c r="A43" s="251" t="n">
        <v>50</v>
      </c>
      <c r="B43" s="251"/>
      <c r="C43" s="254" t="n">
        <v>93</v>
      </c>
      <c r="D43" s="254" t="n">
        <v>84</v>
      </c>
      <c r="E43" s="254" t="n">
        <v>86</v>
      </c>
      <c r="F43" s="254" t="n">
        <v>78</v>
      </c>
      <c r="G43" s="254" t="n">
        <v>118</v>
      </c>
      <c r="H43" s="254" t="n">
        <v>104</v>
      </c>
      <c r="I43" s="254" t="n">
        <v>104</v>
      </c>
      <c r="J43" s="254" t="n">
        <v>92</v>
      </c>
      <c r="K43" s="254" t="n">
        <v>125</v>
      </c>
      <c r="L43" s="254" t="n">
        <v>110</v>
      </c>
      <c r="M43" s="254" t="n">
        <v>113</v>
      </c>
      <c r="N43" s="254" t="n">
        <v>94</v>
      </c>
    </row>
    <row r="44" customFormat="false" ht="12.75" hidden="false" customHeight="false" outlineLevel="0" collapsed="false">
      <c r="A44" s="251" t="n">
        <v>70</v>
      </c>
      <c r="B44" s="251"/>
      <c r="C44" s="254" t="n">
        <v>118</v>
      </c>
      <c r="D44" s="254" t="n">
        <v>107</v>
      </c>
      <c r="E44" s="254" t="n">
        <v>108</v>
      </c>
      <c r="F44" s="254" t="n">
        <v>98</v>
      </c>
      <c r="G44" s="254" t="n">
        <v>150</v>
      </c>
      <c r="H44" s="254" t="n">
        <v>133</v>
      </c>
      <c r="I44" s="254" t="n">
        <v>131</v>
      </c>
      <c r="J44" s="254" t="n">
        <v>116</v>
      </c>
      <c r="K44" s="254" t="n">
        <v>160</v>
      </c>
      <c r="L44" s="254" t="n">
        <v>140</v>
      </c>
      <c r="M44" s="254" t="n">
        <v>140</v>
      </c>
      <c r="N44" s="254" t="n">
        <v>117</v>
      </c>
    </row>
    <row r="45" customFormat="false" ht="12.75" hidden="false" customHeight="false" outlineLevel="0" collapsed="false">
      <c r="A45" s="251" t="n">
        <v>95</v>
      </c>
      <c r="B45" s="251"/>
      <c r="C45" s="254" t="n">
        <v>142</v>
      </c>
      <c r="D45" s="254" t="n">
        <v>129</v>
      </c>
      <c r="E45" s="254" t="n">
        <v>130</v>
      </c>
      <c r="F45" s="254" t="n">
        <v>118</v>
      </c>
      <c r="G45" s="254" t="n">
        <v>181</v>
      </c>
      <c r="H45" s="254" t="n">
        <v>161</v>
      </c>
      <c r="I45" s="254" t="n">
        <v>157</v>
      </c>
      <c r="J45" s="254" t="n">
        <v>139</v>
      </c>
      <c r="K45" s="254" t="n">
        <v>195</v>
      </c>
      <c r="L45" s="254" t="n">
        <v>170</v>
      </c>
      <c r="M45" s="254" t="n">
        <v>166</v>
      </c>
      <c r="N45" s="254" t="n">
        <v>138</v>
      </c>
    </row>
    <row r="46" customFormat="false" ht="12.75" hidden="false" customHeight="false" outlineLevel="0" collapsed="false">
      <c r="A46" s="251" t="n">
        <v>120</v>
      </c>
      <c r="B46" s="251"/>
      <c r="C46" s="254" t="n">
        <v>164</v>
      </c>
      <c r="D46" s="254" t="n">
        <v>149</v>
      </c>
      <c r="E46" s="254" t="n">
        <v>150</v>
      </c>
      <c r="F46" s="254" t="n">
        <v>135</v>
      </c>
      <c r="G46" s="254" t="n">
        <v>210</v>
      </c>
      <c r="H46" s="254" t="n">
        <v>186</v>
      </c>
      <c r="I46" s="254" t="n">
        <v>181</v>
      </c>
      <c r="J46" s="254" t="n">
        <v>160</v>
      </c>
      <c r="K46" s="254" t="n">
        <v>226</v>
      </c>
      <c r="L46" s="254" t="n">
        <v>197</v>
      </c>
      <c r="M46" s="254" t="n">
        <v>189</v>
      </c>
      <c r="N46" s="254" t="n">
        <v>157</v>
      </c>
    </row>
    <row r="47" customFormat="false" ht="12.75" hidden="false" customHeight="false" outlineLevel="0" collapsed="false">
      <c r="A47" s="251" t="n">
        <v>150</v>
      </c>
      <c r="B47" s="251"/>
      <c r="C47" s="254" t="n">
        <v>189</v>
      </c>
      <c r="D47" s="254" t="n">
        <v>170</v>
      </c>
      <c r="E47" s="254" t="n">
        <v>172</v>
      </c>
      <c r="F47" s="254" t="n">
        <v>155</v>
      </c>
      <c r="G47" s="254" t="n">
        <v>241</v>
      </c>
      <c r="H47" s="254" t="n">
        <v>214</v>
      </c>
      <c r="I47" s="254" t="n">
        <v>206</v>
      </c>
      <c r="J47" s="254" t="n">
        <v>183</v>
      </c>
      <c r="K47" s="254" t="n">
        <v>261</v>
      </c>
      <c r="L47" s="254" t="n">
        <v>227</v>
      </c>
      <c r="M47" s="254" t="n">
        <v>213</v>
      </c>
      <c r="N47" s="254" t="n">
        <v>178</v>
      </c>
    </row>
    <row r="48" customFormat="false" ht="12.75" hidden="false" customHeight="false" outlineLevel="0" collapsed="false">
      <c r="A48" s="251" t="n">
        <v>185</v>
      </c>
      <c r="B48" s="251"/>
      <c r="C48" s="254" t="n">
        <v>215</v>
      </c>
      <c r="D48" s="254" t="n">
        <v>194</v>
      </c>
      <c r="E48" s="254" t="n">
        <v>195</v>
      </c>
      <c r="F48" s="254" t="n">
        <v>176</v>
      </c>
      <c r="G48" s="254" t="n">
        <v>275</v>
      </c>
      <c r="H48" s="254" t="n">
        <v>245</v>
      </c>
      <c r="I48" s="254" t="n">
        <v>234</v>
      </c>
      <c r="J48" s="254" t="n">
        <v>208</v>
      </c>
      <c r="K48" s="254" t="n">
        <v>298</v>
      </c>
      <c r="L48" s="254" t="n">
        <v>259</v>
      </c>
      <c r="M48" s="254" t="n">
        <v>240</v>
      </c>
      <c r="N48" s="254" t="n">
        <v>200</v>
      </c>
    </row>
    <row r="49" customFormat="false" ht="12.75" hidden="false" customHeight="false" outlineLevel="0" collapsed="false">
      <c r="A49" s="251" t="n">
        <v>240</v>
      </c>
      <c r="B49" s="251"/>
      <c r="C49" s="254" t="n">
        <v>252</v>
      </c>
      <c r="D49" s="254" t="n">
        <v>227</v>
      </c>
      <c r="E49" s="254" t="n">
        <v>229</v>
      </c>
      <c r="F49" s="254" t="n">
        <v>207</v>
      </c>
      <c r="G49" s="254" t="n">
        <v>324</v>
      </c>
      <c r="H49" s="254" t="n">
        <v>288</v>
      </c>
      <c r="I49" s="254" t="n">
        <v>274</v>
      </c>
      <c r="J49" s="254" t="n">
        <v>243</v>
      </c>
      <c r="K49" s="254" t="n">
        <v>352</v>
      </c>
      <c r="L49" s="254" t="n">
        <v>305</v>
      </c>
      <c r="M49" s="254" t="n">
        <v>277</v>
      </c>
      <c r="N49" s="254" t="n">
        <v>230</v>
      </c>
    </row>
    <row r="50" customFormat="false" ht="12.75" hidden="false" customHeight="false" outlineLevel="0" collapsed="false">
      <c r="A50" s="251" t="n">
        <v>300</v>
      </c>
      <c r="B50" s="251"/>
      <c r="C50" s="254" t="n">
        <v>289</v>
      </c>
      <c r="D50" s="254" t="n">
        <v>261</v>
      </c>
      <c r="E50" s="254" t="n">
        <v>263</v>
      </c>
      <c r="F50" s="254" t="n">
        <v>237</v>
      </c>
      <c r="G50" s="254" t="n">
        <v>372</v>
      </c>
      <c r="H50" s="254" t="n">
        <v>331</v>
      </c>
      <c r="I50" s="254" t="n">
        <v>313</v>
      </c>
      <c r="J50" s="254" t="n">
        <v>278</v>
      </c>
      <c r="K50" s="254" t="n">
        <v>406</v>
      </c>
      <c r="L50" s="254" t="n">
        <v>351</v>
      </c>
      <c r="M50" s="254" t="n">
        <v>313</v>
      </c>
      <c r="N50" s="254" t="n">
        <v>260</v>
      </c>
    </row>
    <row r="51" customFormat="false" ht="12.75" hidden="false" customHeight="false" outlineLevel="0" collapsed="false">
      <c r="A51" s="251" t="n">
        <v>400</v>
      </c>
      <c r="B51" s="251"/>
      <c r="C51" s="254" t="n">
        <v>345</v>
      </c>
      <c r="D51" s="254" t="n">
        <v>311</v>
      </c>
      <c r="E51" s="254" t="n">
        <v>314</v>
      </c>
      <c r="F51" s="254" t="n">
        <v>283</v>
      </c>
      <c r="G51" s="254" t="n">
        <v>446</v>
      </c>
      <c r="H51" s="254" t="n">
        <v>397</v>
      </c>
      <c r="I51" s="254" t="n">
        <v>372</v>
      </c>
      <c r="J51" s="254" t="n">
        <v>331</v>
      </c>
      <c r="K51" s="254" t="n">
        <v>488</v>
      </c>
      <c r="L51" s="254" t="n">
        <v>422</v>
      </c>
      <c r="M51" s="254" t="n">
        <v>366</v>
      </c>
      <c r="N51" s="254" t="n">
        <v>305</v>
      </c>
    </row>
    <row r="52" customFormat="false" ht="12.75" hidden="false" customHeight="false" outlineLevel="0" collapsed="false">
      <c r="A52" s="251" t="n">
        <v>500</v>
      </c>
      <c r="B52" s="251"/>
      <c r="C52" s="254" t="n">
        <v>396</v>
      </c>
      <c r="D52" s="254" t="n">
        <v>356</v>
      </c>
      <c r="E52" s="254" t="n">
        <v>360</v>
      </c>
      <c r="F52" s="254" t="n">
        <v>324</v>
      </c>
      <c r="G52" s="254" t="n">
        <v>512</v>
      </c>
      <c r="H52" s="254" t="n">
        <v>456</v>
      </c>
      <c r="I52" s="254" t="n">
        <v>425</v>
      </c>
      <c r="J52" s="254" t="n">
        <v>378</v>
      </c>
      <c r="K52" s="254" t="n">
        <v>563</v>
      </c>
      <c r="L52" s="254" t="n">
        <v>486</v>
      </c>
      <c r="M52" s="254" t="n">
        <v>414</v>
      </c>
      <c r="N52" s="254" t="n">
        <v>345</v>
      </c>
    </row>
    <row r="53" customFormat="false" ht="12.75" hidden="false" customHeight="false" outlineLevel="0" collapsed="false">
      <c r="A53" s="251" t="n">
        <v>630</v>
      </c>
      <c r="B53" s="251"/>
      <c r="C53" s="254" t="n">
        <v>456</v>
      </c>
      <c r="D53" s="254" t="n">
        <v>410</v>
      </c>
      <c r="E53" s="254" t="n">
        <v>416</v>
      </c>
      <c r="F53" s="254" t="n">
        <v>373</v>
      </c>
      <c r="G53" s="254" t="n">
        <v>592</v>
      </c>
      <c r="H53" s="254" t="n">
        <v>527</v>
      </c>
      <c r="I53" s="254" t="n">
        <v>488</v>
      </c>
      <c r="J53" s="254" t="n">
        <v>435</v>
      </c>
      <c r="K53" s="254" t="n">
        <v>653</v>
      </c>
      <c r="L53" s="254" t="n">
        <v>562</v>
      </c>
      <c r="M53" s="254" t="n">
        <v>471</v>
      </c>
      <c r="N53" s="254" t="n">
        <v>391</v>
      </c>
    </row>
    <row r="54" customFormat="false" ht="12.75" hidden="false" customHeight="false" outlineLevel="0" collapsed="false">
      <c r="A54" s="251" t="n">
        <v>800</v>
      </c>
      <c r="B54" s="251"/>
      <c r="C54" s="254" t="n">
        <v>529</v>
      </c>
      <c r="D54" s="254" t="n">
        <v>475</v>
      </c>
      <c r="E54" s="254" t="n">
        <v>482</v>
      </c>
      <c r="F54" s="254" t="n">
        <v>432</v>
      </c>
      <c r="G54" s="254" t="n">
        <v>687</v>
      </c>
      <c r="H54" s="254" t="n">
        <v>612</v>
      </c>
      <c r="I54" s="254" t="n">
        <v>563</v>
      </c>
      <c r="J54" s="254" t="n">
        <v>502</v>
      </c>
      <c r="K54" s="254" t="n">
        <v>761</v>
      </c>
      <c r="L54" s="254" t="n">
        <v>654</v>
      </c>
      <c r="M54" s="254" t="n">
        <v>537</v>
      </c>
      <c r="N54" s="254" t="n">
        <v>446</v>
      </c>
    </row>
    <row r="55" customFormat="false" ht="12.75" hidden="false" customHeight="false" outlineLevel="0" collapsed="false">
      <c r="A55" s="251" t="n">
        <v>1000</v>
      </c>
      <c r="B55" s="251"/>
      <c r="C55" s="254" t="n">
        <v>607</v>
      </c>
      <c r="D55" s="254" t="n">
        <v>544</v>
      </c>
      <c r="E55" s="254" t="n">
        <v>552</v>
      </c>
      <c r="F55" s="254" t="n">
        <v>495</v>
      </c>
      <c r="G55" s="254" t="n">
        <v>790</v>
      </c>
      <c r="H55" s="254" t="n">
        <v>704</v>
      </c>
      <c r="I55" s="254" t="n">
        <v>643</v>
      </c>
      <c r="J55" s="254" t="n">
        <v>574</v>
      </c>
      <c r="K55" s="254" t="n">
        <v>878</v>
      </c>
      <c r="L55" s="254" t="n">
        <v>753</v>
      </c>
      <c r="M55" s="254" t="n">
        <v>607</v>
      </c>
      <c r="N55" s="254" t="n">
        <v>505</v>
      </c>
    </row>
  </sheetData>
  <mergeCells count="54">
    <mergeCell ref="A1:N2"/>
    <mergeCell ref="A8:B11"/>
    <mergeCell ref="C8:N8"/>
    <mergeCell ref="C9:D9"/>
    <mergeCell ref="E9:F9"/>
    <mergeCell ref="G9:H9"/>
    <mergeCell ref="I9:J9"/>
    <mergeCell ref="K9:L9"/>
    <mergeCell ref="M9:N9"/>
    <mergeCell ref="C10:N10"/>
    <mergeCell ref="A12:N12"/>
    <mergeCell ref="A13:B13"/>
    <mergeCell ref="A14:N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N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60"/>
  <sheetViews>
    <sheetView showFormulas="false" showGridLines="true" showRowColHeaders="true" showZeros="true" rightToLeft="false" tabSelected="false" showOutlineSymbols="true" defaultGridColor="true" view="normal" topLeftCell="A7" colorId="64" zoomScale="96" zoomScaleNormal="96" zoomScalePageLayoutView="100" workbookViewId="0">
      <selection pane="topLeft" activeCell="A1" activeCellId="0" sqref="A1"/>
    </sheetView>
  </sheetViews>
  <sheetFormatPr defaultColWidth="9.109375" defaultRowHeight="12.75" zeroHeight="false" outlineLevelRow="0" outlineLevelCol="0"/>
  <cols>
    <col collapsed="false" customWidth="false" hidden="false" outlineLevel="0" max="16384" min="1" style="236" width="9.11"/>
  </cols>
  <sheetData>
    <row r="1" customFormat="false" ht="12.75" hidden="false" customHeight="true" outlineLevel="0" collapsed="false">
      <c r="A1" s="241" t="s">
        <v>302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</row>
    <row r="2" customFormat="false" ht="12.75" hidden="false" customHeight="false" outlineLevel="0" collapsed="false">
      <c r="A2" s="241"/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</row>
    <row r="3" customFormat="false" ht="12.75" hidden="false" customHeight="false" outlineLevel="0" collapsed="false">
      <c r="A3" s="242" t="s">
        <v>289</v>
      </c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4"/>
    </row>
    <row r="4" customFormat="false" ht="12.75" hidden="false" customHeight="false" outlineLevel="0" collapsed="false">
      <c r="A4" s="245" t="s">
        <v>290</v>
      </c>
      <c r="P4" s="246"/>
    </row>
    <row r="5" customFormat="false" ht="12.75" hidden="false" customHeight="false" outlineLevel="0" collapsed="false">
      <c r="A5" s="245" t="s">
        <v>291</v>
      </c>
      <c r="P5" s="246"/>
    </row>
    <row r="6" customFormat="false" ht="12.75" hidden="false" customHeight="false" outlineLevel="0" collapsed="false">
      <c r="A6" s="245" t="s">
        <v>303</v>
      </c>
      <c r="P6" s="246"/>
    </row>
    <row r="7" customFormat="false" ht="12.75" hidden="false" customHeight="false" outlineLevel="0" collapsed="false">
      <c r="A7" s="247"/>
      <c r="B7" s="248"/>
      <c r="C7" s="248"/>
      <c r="D7" s="248"/>
      <c r="E7" s="248"/>
      <c r="F7" s="248"/>
      <c r="G7" s="248"/>
      <c r="H7" s="248"/>
      <c r="I7" s="248"/>
      <c r="J7" s="248"/>
      <c r="K7" s="248"/>
      <c r="L7" s="248"/>
      <c r="M7" s="248"/>
      <c r="N7" s="248"/>
      <c r="O7" s="248"/>
      <c r="P7" s="249"/>
    </row>
    <row r="8" customFormat="false" ht="12.75" hidden="false" customHeight="true" outlineLevel="0" collapsed="false">
      <c r="A8" s="255" t="s">
        <v>293</v>
      </c>
      <c r="B8" s="255"/>
      <c r="C8" s="255" t="s">
        <v>304</v>
      </c>
      <c r="D8" s="255"/>
      <c r="E8" s="255"/>
      <c r="F8" s="255"/>
      <c r="G8" s="241" t="s">
        <v>305</v>
      </c>
      <c r="H8" s="241"/>
      <c r="I8" s="241"/>
      <c r="J8" s="241"/>
      <c r="K8" s="241"/>
      <c r="L8" s="241"/>
      <c r="M8" s="241"/>
      <c r="N8" s="241"/>
      <c r="O8" s="241"/>
      <c r="P8" s="241"/>
    </row>
    <row r="9" customFormat="false" ht="12.75" hidden="false" customHeight="true" outlineLevel="0" collapsed="false">
      <c r="A9" s="255"/>
      <c r="B9" s="255"/>
      <c r="C9" s="241" t="s">
        <v>306</v>
      </c>
      <c r="D9" s="241"/>
      <c r="E9" s="241" t="s">
        <v>307</v>
      </c>
      <c r="F9" s="241"/>
      <c r="G9" s="241" t="s">
        <v>308</v>
      </c>
      <c r="H9" s="241"/>
      <c r="I9" s="241" t="s">
        <v>309</v>
      </c>
      <c r="J9" s="241"/>
      <c r="K9" s="241" t="s">
        <v>310</v>
      </c>
      <c r="L9" s="241"/>
      <c r="M9" s="241"/>
      <c r="N9" s="241"/>
      <c r="O9" s="241"/>
      <c r="P9" s="241"/>
    </row>
    <row r="10" customFormat="false" ht="12.75" hidden="false" customHeight="true" outlineLevel="0" collapsed="false">
      <c r="A10" s="255"/>
      <c r="B10" s="255"/>
      <c r="C10" s="241"/>
      <c r="D10" s="241"/>
      <c r="E10" s="241"/>
      <c r="F10" s="241"/>
      <c r="G10" s="241"/>
      <c r="H10" s="241"/>
      <c r="I10" s="241"/>
      <c r="J10" s="241"/>
      <c r="K10" s="241" t="s">
        <v>311</v>
      </c>
      <c r="L10" s="241"/>
      <c r="M10" s="241" t="s">
        <v>312</v>
      </c>
      <c r="N10" s="241"/>
      <c r="O10" s="241"/>
      <c r="P10" s="241"/>
    </row>
    <row r="11" customFormat="false" ht="12.75" hidden="false" customHeight="true" outlineLevel="0" collapsed="false">
      <c r="A11" s="255"/>
      <c r="B11" s="255"/>
      <c r="C11" s="241"/>
      <c r="D11" s="241"/>
      <c r="E11" s="241"/>
      <c r="F11" s="241"/>
      <c r="G11" s="241"/>
      <c r="H11" s="241"/>
      <c r="I11" s="241"/>
      <c r="J11" s="241"/>
      <c r="K11" s="241"/>
      <c r="L11" s="241"/>
      <c r="M11" s="241" t="s">
        <v>313</v>
      </c>
      <c r="N11" s="241"/>
      <c r="O11" s="241" t="s">
        <v>314</v>
      </c>
      <c r="P11" s="241"/>
    </row>
    <row r="12" customFormat="false" ht="12.75" hidden="false" customHeight="true" outlineLevel="0" collapsed="false">
      <c r="A12" s="255"/>
      <c r="B12" s="255"/>
      <c r="C12" s="256" t="s">
        <v>315</v>
      </c>
      <c r="D12" s="256"/>
      <c r="E12" s="256" t="s">
        <v>315</v>
      </c>
      <c r="F12" s="256"/>
      <c r="G12" s="241" t="s">
        <v>316</v>
      </c>
      <c r="H12" s="241"/>
      <c r="I12" s="241" t="s">
        <v>316</v>
      </c>
      <c r="J12" s="241"/>
      <c r="K12" s="241" t="s">
        <v>316</v>
      </c>
      <c r="L12" s="241"/>
      <c r="M12" s="241" t="s">
        <v>317</v>
      </c>
      <c r="N12" s="241"/>
      <c r="O12" s="241" t="s">
        <v>318</v>
      </c>
      <c r="P12" s="241"/>
    </row>
    <row r="13" customFormat="false" ht="12.75" hidden="false" customHeight="false" outlineLevel="0" collapsed="false">
      <c r="A13" s="255"/>
      <c r="B13" s="255"/>
      <c r="C13" s="256"/>
      <c r="D13" s="256"/>
      <c r="E13" s="256"/>
      <c r="F13" s="256"/>
      <c r="G13" s="256"/>
      <c r="H13" s="256"/>
      <c r="I13" s="256"/>
      <c r="J13" s="256"/>
      <c r="K13" s="256"/>
      <c r="L13" s="256"/>
      <c r="M13" s="256"/>
      <c r="N13" s="256"/>
      <c r="O13" s="257"/>
      <c r="P13" s="257"/>
    </row>
    <row r="14" customFormat="false" ht="12.75" hidden="false" customHeight="false" outlineLevel="0" collapsed="false">
      <c r="A14" s="255"/>
      <c r="B14" s="255"/>
      <c r="C14" s="256"/>
      <c r="D14" s="256"/>
      <c r="E14" s="256"/>
      <c r="F14" s="256"/>
      <c r="G14" s="256"/>
      <c r="H14" s="256"/>
      <c r="I14" s="256"/>
      <c r="J14" s="256"/>
      <c r="K14" s="256"/>
      <c r="L14" s="256"/>
      <c r="M14" s="256"/>
      <c r="N14" s="256"/>
      <c r="O14" s="257"/>
      <c r="P14" s="257"/>
    </row>
    <row r="15" customFormat="false" ht="12.75" hidden="false" customHeight="false" outlineLevel="0" collapsed="false">
      <c r="A15" s="255"/>
      <c r="B15" s="255"/>
      <c r="C15" s="256"/>
      <c r="D15" s="256"/>
      <c r="E15" s="256"/>
      <c r="F15" s="256"/>
      <c r="G15" s="256"/>
      <c r="H15" s="256"/>
      <c r="I15" s="256"/>
      <c r="J15" s="256"/>
      <c r="K15" s="256"/>
      <c r="L15" s="256"/>
      <c r="M15" s="256"/>
      <c r="N15" s="256"/>
      <c r="O15" s="257"/>
      <c r="P15" s="257"/>
    </row>
    <row r="16" customFormat="false" ht="12.75" hidden="false" customHeight="false" outlineLevel="0" collapsed="false">
      <c r="A16" s="255"/>
      <c r="B16" s="255"/>
      <c r="C16" s="256"/>
      <c r="D16" s="256"/>
      <c r="E16" s="256"/>
      <c r="F16" s="256"/>
      <c r="G16" s="256"/>
      <c r="H16" s="256"/>
      <c r="I16" s="256"/>
      <c r="J16" s="256"/>
      <c r="K16" s="256"/>
      <c r="L16" s="256"/>
      <c r="M16" s="256"/>
      <c r="N16" s="256"/>
      <c r="O16" s="257"/>
      <c r="P16" s="257"/>
    </row>
    <row r="17" s="260" customFormat="true" ht="12.75" hidden="false" customHeight="false" outlineLevel="0" collapsed="false">
      <c r="A17" s="258" t="n">
        <v>-1</v>
      </c>
      <c r="B17" s="258"/>
      <c r="C17" s="258" t="n">
        <v>-2</v>
      </c>
      <c r="D17" s="258"/>
      <c r="E17" s="258" t="n">
        <v>-3</v>
      </c>
      <c r="F17" s="258"/>
      <c r="G17" s="259" t="n">
        <v>-4</v>
      </c>
      <c r="H17" s="259"/>
      <c r="I17" s="259" t="n">
        <v>-5</v>
      </c>
      <c r="J17" s="259"/>
      <c r="K17" s="259" t="n">
        <v>-6</v>
      </c>
      <c r="L17" s="259"/>
      <c r="M17" s="259" t="n">
        <v>-7</v>
      </c>
      <c r="N17" s="259"/>
      <c r="O17" s="259" t="n">
        <v>-8</v>
      </c>
      <c r="P17" s="259"/>
    </row>
    <row r="18" customFormat="false" ht="12.75" hidden="false" customHeight="true" outlineLevel="0" collapsed="false">
      <c r="A18" s="251" t="s">
        <v>300</v>
      </c>
      <c r="B18" s="251"/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</row>
    <row r="19" s="262" customFormat="true" ht="12.75" hidden="false" customHeight="false" outlineLevel="0" collapsed="false">
      <c r="A19" s="261" t="n">
        <v>0.5</v>
      </c>
      <c r="B19" s="261"/>
      <c r="C19" s="261" t="n">
        <v>11</v>
      </c>
      <c r="D19" s="261"/>
      <c r="E19" s="261" t="n">
        <v>9</v>
      </c>
      <c r="F19" s="261"/>
      <c r="G19" s="251" t="n">
        <v>11</v>
      </c>
      <c r="H19" s="251"/>
      <c r="I19" s="251" t="n">
        <v>8</v>
      </c>
      <c r="J19" s="251"/>
      <c r="K19" s="251" t="n">
        <v>9</v>
      </c>
      <c r="L19" s="251"/>
      <c r="M19" s="251" t="n">
        <v>12</v>
      </c>
      <c r="N19" s="251"/>
      <c r="O19" s="251" t="n">
        <v>10</v>
      </c>
      <c r="P19" s="251"/>
    </row>
    <row r="20" s="262" customFormat="true" ht="12.75" hidden="false" customHeight="false" outlineLevel="0" collapsed="false">
      <c r="A20" s="261" t="n">
        <v>0.75</v>
      </c>
      <c r="B20" s="261"/>
      <c r="C20" s="261" t="n">
        <v>14</v>
      </c>
      <c r="D20" s="261"/>
      <c r="E20" s="261" t="n">
        <v>12</v>
      </c>
      <c r="F20" s="261"/>
      <c r="G20" s="251" t="n">
        <v>14</v>
      </c>
      <c r="H20" s="251"/>
      <c r="I20" s="251" t="n">
        <v>11</v>
      </c>
      <c r="J20" s="251"/>
      <c r="K20" s="251" t="n">
        <v>11</v>
      </c>
      <c r="L20" s="251"/>
      <c r="M20" s="251" t="n">
        <v>16</v>
      </c>
      <c r="N20" s="251"/>
      <c r="O20" s="251" t="n">
        <v>13</v>
      </c>
      <c r="P20" s="251"/>
    </row>
    <row r="21" s="262" customFormat="true" ht="12.75" hidden="false" customHeight="false" outlineLevel="0" collapsed="false">
      <c r="A21" s="261" t="n">
        <v>1</v>
      </c>
      <c r="B21" s="261"/>
      <c r="C21" s="261" t="n">
        <v>17</v>
      </c>
      <c r="D21" s="261"/>
      <c r="E21" s="261" t="n">
        <v>14</v>
      </c>
      <c r="F21" s="261"/>
      <c r="G21" s="251" t="n">
        <v>17</v>
      </c>
      <c r="H21" s="251"/>
      <c r="I21" s="251" t="n">
        <v>13</v>
      </c>
      <c r="J21" s="251"/>
      <c r="K21" s="251" t="n">
        <v>14</v>
      </c>
      <c r="L21" s="251"/>
      <c r="M21" s="251" t="n">
        <v>19</v>
      </c>
      <c r="N21" s="251"/>
      <c r="O21" s="251" t="n">
        <v>16</v>
      </c>
      <c r="P21" s="251"/>
    </row>
    <row r="22" s="262" customFormat="true" ht="12.75" hidden="false" customHeight="false" outlineLevel="0" collapsed="false">
      <c r="A22" s="261" t="n">
        <v>1.5</v>
      </c>
      <c r="B22" s="261"/>
      <c r="C22" s="261" t="n">
        <v>22</v>
      </c>
      <c r="D22" s="261"/>
      <c r="E22" s="261" t="n">
        <v>18.5</v>
      </c>
      <c r="F22" s="261"/>
      <c r="G22" s="251" t="n">
        <v>22</v>
      </c>
      <c r="H22" s="251"/>
      <c r="I22" s="251" t="n">
        <v>17</v>
      </c>
      <c r="J22" s="251"/>
      <c r="K22" s="251" t="n">
        <v>18</v>
      </c>
      <c r="L22" s="251"/>
      <c r="M22" s="251" t="n">
        <v>24</v>
      </c>
      <c r="N22" s="251"/>
      <c r="O22" s="251" t="n">
        <v>21</v>
      </c>
      <c r="P22" s="251"/>
    </row>
    <row r="23" s="262" customFormat="true" ht="12.75" hidden="false" customHeight="false" outlineLevel="0" collapsed="false">
      <c r="A23" s="261" t="n">
        <v>2.5</v>
      </c>
      <c r="B23" s="261"/>
      <c r="C23" s="261" t="n">
        <v>30</v>
      </c>
      <c r="D23" s="261"/>
      <c r="E23" s="261" t="n">
        <v>25</v>
      </c>
      <c r="F23" s="261"/>
      <c r="G23" s="251" t="n">
        <v>31</v>
      </c>
      <c r="H23" s="251"/>
      <c r="I23" s="251" t="n">
        <v>24</v>
      </c>
      <c r="J23" s="251"/>
      <c r="K23" s="251" t="n">
        <v>25</v>
      </c>
      <c r="L23" s="251"/>
      <c r="M23" s="251" t="n">
        <v>34</v>
      </c>
      <c r="N23" s="251"/>
      <c r="O23" s="251" t="n">
        <v>29</v>
      </c>
      <c r="P23" s="251"/>
    </row>
    <row r="24" s="262" customFormat="true" ht="12.75" hidden="false" customHeight="false" outlineLevel="0" collapsed="false">
      <c r="A24" s="261" t="n">
        <v>4</v>
      </c>
      <c r="B24" s="261"/>
      <c r="C24" s="261" t="n">
        <v>40</v>
      </c>
      <c r="D24" s="261"/>
      <c r="E24" s="261" t="n">
        <v>34</v>
      </c>
      <c r="F24" s="261"/>
      <c r="G24" s="251" t="n">
        <v>41</v>
      </c>
      <c r="H24" s="251"/>
      <c r="I24" s="251" t="n">
        <v>33</v>
      </c>
      <c r="J24" s="251"/>
      <c r="K24" s="251" t="n">
        <v>34</v>
      </c>
      <c r="L24" s="251"/>
      <c r="M24" s="251" t="n">
        <v>45</v>
      </c>
      <c r="N24" s="251"/>
      <c r="O24" s="251" t="n">
        <v>39</v>
      </c>
      <c r="P24" s="251"/>
    </row>
    <row r="25" s="262" customFormat="true" ht="12.75" hidden="false" customHeight="false" outlineLevel="0" collapsed="false">
      <c r="A25" s="261" t="n">
        <v>6</v>
      </c>
      <c r="B25" s="261"/>
      <c r="C25" s="261" t="n">
        <v>51</v>
      </c>
      <c r="D25" s="261"/>
      <c r="E25" s="261" t="n">
        <v>43</v>
      </c>
      <c r="F25" s="261"/>
      <c r="G25" s="251" t="n">
        <v>53</v>
      </c>
      <c r="H25" s="251"/>
      <c r="I25" s="251" t="n">
        <v>43</v>
      </c>
      <c r="J25" s="251"/>
      <c r="K25" s="251" t="n">
        <v>45</v>
      </c>
      <c r="L25" s="251"/>
      <c r="M25" s="251" t="n">
        <v>59</v>
      </c>
      <c r="N25" s="251"/>
      <c r="O25" s="251" t="n">
        <v>51</v>
      </c>
      <c r="P25" s="251"/>
    </row>
    <row r="26" s="262" customFormat="true" ht="12.75" hidden="false" customHeight="false" outlineLevel="0" collapsed="false">
      <c r="A26" s="261" t="n">
        <v>10</v>
      </c>
      <c r="B26" s="261"/>
      <c r="C26" s="261" t="n">
        <v>70</v>
      </c>
      <c r="D26" s="261"/>
      <c r="E26" s="261" t="n">
        <v>60</v>
      </c>
      <c r="F26" s="261"/>
      <c r="G26" s="251" t="n">
        <v>73</v>
      </c>
      <c r="H26" s="251"/>
      <c r="I26" s="251" t="n">
        <v>60</v>
      </c>
      <c r="J26" s="251"/>
      <c r="K26" s="251" t="n">
        <v>63</v>
      </c>
      <c r="L26" s="251"/>
      <c r="M26" s="251" t="n">
        <v>81</v>
      </c>
      <c r="N26" s="251"/>
      <c r="O26" s="251" t="n">
        <v>71</v>
      </c>
      <c r="P26" s="251"/>
    </row>
    <row r="27" s="262" customFormat="true" ht="12.75" hidden="false" customHeight="false" outlineLevel="0" collapsed="false">
      <c r="A27" s="261" t="n">
        <v>16</v>
      </c>
      <c r="B27" s="261"/>
      <c r="C27" s="261" t="n">
        <v>94</v>
      </c>
      <c r="D27" s="261"/>
      <c r="E27" s="261" t="n">
        <v>80</v>
      </c>
      <c r="F27" s="261"/>
      <c r="G27" s="251" t="n">
        <v>99</v>
      </c>
      <c r="H27" s="251"/>
      <c r="I27" s="251" t="n">
        <v>82</v>
      </c>
      <c r="J27" s="251"/>
      <c r="K27" s="251" t="n">
        <v>85</v>
      </c>
      <c r="L27" s="251"/>
      <c r="M27" s="251" t="n">
        <v>110</v>
      </c>
      <c r="N27" s="251"/>
      <c r="O27" s="251" t="n">
        <v>97</v>
      </c>
      <c r="P27" s="251"/>
    </row>
    <row r="28" s="262" customFormat="true" ht="12.75" hidden="false" customHeight="false" outlineLevel="0" collapsed="false">
      <c r="A28" s="261" t="n">
        <v>25</v>
      </c>
      <c r="B28" s="261"/>
      <c r="C28" s="261" t="n">
        <v>119</v>
      </c>
      <c r="D28" s="261"/>
      <c r="E28" s="261" t="n">
        <v>101</v>
      </c>
      <c r="F28" s="261"/>
      <c r="G28" s="251" t="n">
        <v>131</v>
      </c>
      <c r="H28" s="251"/>
      <c r="I28" s="251" t="n">
        <v>110</v>
      </c>
      <c r="J28" s="251"/>
      <c r="K28" s="251" t="n">
        <v>114</v>
      </c>
      <c r="L28" s="251"/>
      <c r="M28" s="251" t="n">
        <v>146</v>
      </c>
      <c r="N28" s="251"/>
      <c r="O28" s="251" t="n">
        <v>130</v>
      </c>
      <c r="P28" s="251"/>
    </row>
    <row r="29" s="262" customFormat="true" ht="12.75" hidden="false" customHeight="false" outlineLevel="0" collapsed="false">
      <c r="A29" s="261" t="n">
        <v>35</v>
      </c>
      <c r="B29" s="261"/>
      <c r="C29" s="261" t="n">
        <v>148</v>
      </c>
      <c r="D29" s="261"/>
      <c r="E29" s="261" t="n">
        <v>126</v>
      </c>
      <c r="F29" s="261"/>
      <c r="G29" s="251" t="n">
        <v>162</v>
      </c>
      <c r="H29" s="251"/>
      <c r="I29" s="251" t="n">
        <v>137</v>
      </c>
      <c r="J29" s="251"/>
      <c r="K29" s="251" t="n">
        <v>143</v>
      </c>
      <c r="L29" s="251"/>
      <c r="M29" s="251" t="n">
        <v>181</v>
      </c>
      <c r="N29" s="251"/>
      <c r="O29" s="251" t="n">
        <v>162</v>
      </c>
      <c r="P29" s="251"/>
    </row>
    <row r="30" s="262" customFormat="true" ht="12.75" hidden="false" customHeight="false" outlineLevel="0" collapsed="false">
      <c r="A30" s="261" t="n">
        <v>50</v>
      </c>
      <c r="B30" s="261"/>
      <c r="C30" s="261" t="n">
        <v>180</v>
      </c>
      <c r="D30" s="261"/>
      <c r="E30" s="261" t="n">
        <v>153</v>
      </c>
      <c r="F30" s="261"/>
      <c r="G30" s="251" t="n">
        <v>196</v>
      </c>
      <c r="H30" s="251"/>
      <c r="I30" s="251" t="n">
        <v>167</v>
      </c>
      <c r="J30" s="251"/>
      <c r="K30" s="251" t="n">
        <v>174</v>
      </c>
      <c r="L30" s="251"/>
      <c r="M30" s="251" t="n">
        <v>219</v>
      </c>
      <c r="N30" s="251"/>
      <c r="O30" s="251" t="n">
        <v>197</v>
      </c>
      <c r="P30" s="251"/>
    </row>
    <row r="31" s="262" customFormat="true" ht="12.75" hidden="false" customHeight="false" outlineLevel="0" collapsed="false">
      <c r="A31" s="261" t="n">
        <v>70</v>
      </c>
      <c r="B31" s="261"/>
      <c r="C31" s="261" t="n">
        <v>232</v>
      </c>
      <c r="D31" s="261"/>
      <c r="E31" s="261" t="n">
        <v>196</v>
      </c>
      <c r="F31" s="261"/>
      <c r="G31" s="251" t="n">
        <v>251</v>
      </c>
      <c r="H31" s="251"/>
      <c r="I31" s="251" t="n">
        <v>216</v>
      </c>
      <c r="J31" s="251"/>
      <c r="K31" s="251" t="n">
        <v>225</v>
      </c>
      <c r="L31" s="251"/>
      <c r="M31" s="251" t="n">
        <v>281</v>
      </c>
      <c r="N31" s="251"/>
      <c r="O31" s="251" t="n">
        <v>254</v>
      </c>
      <c r="P31" s="251"/>
    </row>
    <row r="32" s="262" customFormat="true" ht="12.75" hidden="false" customHeight="false" outlineLevel="0" collapsed="false">
      <c r="A32" s="261" t="n">
        <v>95</v>
      </c>
      <c r="B32" s="261"/>
      <c r="C32" s="261" t="n">
        <v>282</v>
      </c>
      <c r="D32" s="261"/>
      <c r="E32" s="261" t="n">
        <v>238</v>
      </c>
      <c r="F32" s="261"/>
      <c r="G32" s="251" t="n">
        <v>304</v>
      </c>
      <c r="H32" s="251"/>
      <c r="I32" s="251" t="n">
        <v>264</v>
      </c>
      <c r="J32" s="251"/>
      <c r="K32" s="251" t="n">
        <v>275</v>
      </c>
      <c r="L32" s="251"/>
      <c r="M32" s="251" t="n">
        <v>341</v>
      </c>
      <c r="N32" s="251"/>
      <c r="O32" s="251" t="n">
        <v>311</v>
      </c>
      <c r="P32" s="251"/>
    </row>
    <row r="33" s="262" customFormat="true" ht="12.75" hidden="false" customHeight="false" outlineLevel="0" collapsed="false">
      <c r="A33" s="261" t="n">
        <v>120</v>
      </c>
      <c r="B33" s="261"/>
      <c r="C33" s="261" t="n">
        <v>328</v>
      </c>
      <c r="D33" s="261"/>
      <c r="E33" s="261" t="n">
        <v>276</v>
      </c>
      <c r="F33" s="261"/>
      <c r="G33" s="251" t="n">
        <v>352</v>
      </c>
      <c r="H33" s="251"/>
      <c r="I33" s="251" t="n">
        <v>308</v>
      </c>
      <c r="J33" s="251"/>
      <c r="K33" s="251" t="n">
        <v>321</v>
      </c>
      <c r="L33" s="251"/>
      <c r="M33" s="251" t="n">
        <v>396</v>
      </c>
      <c r="N33" s="251"/>
      <c r="O33" s="251" t="n">
        <v>362</v>
      </c>
      <c r="P33" s="251"/>
    </row>
    <row r="34" s="262" customFormat="true" ht="12.75" hidden="false" customHeight="false" outlineLevel="0" collapsed="false">
      <c r="A34" s="261" t="n">
        <v>150</v>
      </c>
      <c r="B34" s="261"/>
      <c r="C34" s="261" t="n">
        <v>379</v>
      </c>
      <c r="D34" s="261"/>
      <c r="E34" s="261" t="n">
        <v>319</v>
      </c>
      <c r="F34" s="261"/>
      <c r="G34" s="251" t="n">
        <v>406</v>
      </c>
      <c r="H34" s="251"/>
      <c r="I34" s="251" t="n">
        <v>356</v>
      </c>
      <c r="J34" s="251"/>
      <c r="K34" s="251" t="n">
        <v>372</v>
      </c>
      <c r="L34" s="251"/>
      <c r="M34" s="251" t="n">
        <v>456</v>
      </c>
      <c r="N34" s="251"/>
      <c r="O34" s="251" t="n">
        <v>419</v>
      </c>
      <c r="P34" s="251"/>
    </row>
    <row r="35" s="262" customFormat="true" ht="12.75" hidden="false" customHeight="false" outlineLevel="0" collapsed="false">
      <c r="A35" s="261" t="n">
        <v>185</v>
      </c>
      <c r="B35" s="261"/>
      <c r="C35" s="261" t="n">
        <v>434</v>
      </c>
      <c r="D35" s="261"/>
      <c r="E35" s="261" t="n">
        <v>364</v>
      </c>
      <c r="F35" s="261"/>
      <c r="G35" s="251" t="n">
        <v>463</v>
      </c>
      <c r="H35" s="251"/>
      <c r="I35" s="251" t="n">
        <v>409</v>
      </c>
      <c r="J35" s="251"/>
      <c r="K35" s="251" t="n">
        <v>427</v>
      </c>
      <c r="L35" s="251"/>
      <c r="M35" s="251" t="n">
        <v>521</v>
      </c>
      <c r="N35" s="251"/>
      <c r="O35" s="251" t="n">
        <v>480</v>
      </c>
      <c r="P35" s="251"/>
    </row>
    <row r="36" s="262" customFormat="true" ht="12.75" hidden="false" customHeight="false" outlineLevel="0" collapsed="false">
      <c r="A36" s="261" t="n">
        <v>240</v>
      </c>
      <c r="B36" s="261"/>
      <c r="C36" s="261" t="n">
        <v>514</v>
      </c>
      <c r="D36" s="261"/>
      <c r="E36" s="261" t="n">
        <v>430</v>
      </c>
      <c r="F36" s="261"/>
      <c r="G36" s="251" t="n">
        <v>546</v>
      </c>
      <c r="H36" s="251"/>
      <c r="I36" s="251" t="n">
        <v>485</v>
      </c>
      <c r="J36" s="251"/>
      <c r="K36" s="251" t="n">
        <v>507</v>
      </c>
      <c r="L36" s="251"/>
      <c r="M36" s="251" t="n">
        <v>615</v>
      </c>
      <c r="N36" s="251"/>
      <c r="O36" s="251" t="n">
        <v>569</v>
      </c>
      <c r="P36" s="251"/>
    </row>
    <row r="37" s="262" customFormat="true" ht="12.75" hidden="false" customHeight="false" outlineLevel="0" collapsed="false">
      <c r="A37" s="261" t="n">
        <v>300</v>
      </c>
      <c r="B37" s="261"/>
      <c r="C37" s="261" t="n">
        <v>593</v>
      </c>
      <c r="D37" s="261"/>
      <c r="E37" s="261" t="n">
        <v>497</v>
      </c>
      <c r="F37" s="261"/>
      <c r="G37" s="251" t="n">
        <v>629</v>
      </c>
      <c r="H37" s="251"/>
      <c r="I37" s="251" t="n">
        <v>561</v>
      </c>
      <c r="J37" s="251"/>
      <c r="K37" s="251" t="n">
        <v>587</v>
      </c>
      <c r="L37" s="251"/>
      <c r="M37" s="251" t="n">
        <v>709</v>
      </c>
      <c r="N37" s="251"/>
      <c r="O37" s="251" t="n">
        <v>659</v>
      </c>
      <c r="P37" s="251"/>
    </row>
    <row r="38" s="262" customFormat="true" ht="12.75" hidden="false" customHeight="false" outlineLevel="0" collapsed="false">
      <c r="A38" s="261" t="n">
        <v>400</v>
      </c>
      <c r="B38" s="261"/>
      <c r="C38" s="261" t="n">
        <v>715</v>
      </c>
      <c r="D38" s="261"/>
      <c r="E38" s="261" t="n">
        <v>597</v>
      </c>
      <c r="F38" s="261"/>
      <c r="G38" s="251" t="n">
        <v>754</v>
      </c>
      <c r="H38" s="251"/>
      <c r="I38" s="251" t="n">
        <v>656</v>
      </c>
      <c r="J38" s="251"/>
      <c r="K38" s="251" t="n">
        <v>689</v>
      </c>
      <c r="L38" s="251"/>
      <c r="M38" s="251" t="n">
        <v>852</v>
      </c>
      <c r="N38" s="251"/>
      <c r="O38" s="251" t="n">
        <v>795</v>
      </c>
      <c r="P38" s="251"/>
    </row>
    <row r="39" s="262" customFormat="true" ht="12.75" hidden="false" customHeight="false" outlineLevel="0" collapsed="false">
      <c r="A39" s="261" t="n">
        <v>500</v>
      </c>
      <c r="B39" s="261"/>
      <c r="C39" s="261" t="n">
        <v>826</v>
      </c>
      <c r="D39" s="261"/>
      <c r="E39" s="261" t="n">
        <v>689</v>
      </c>
      <c r="F39" s="261"/>
      <c r="G39" s="251" t="n">
        <v>868</v>
      </c>
      <c r="H39" s="251"/>
      <c r="I39" s="251" t="n">
        <v>749</v>
      </c>
      <c r="J39" s="251"/>
      <c r="K39" s="251" t="n">
        <v>789</v>
      </c>
      <c r="L39" s="251"/>
      <c r="M39" s="251" t="n">
        <v>982</v>
      </c>
      <c r="N39" s="251"/>
      <c r="O39" s="251" t="n">
        <v>920</v>
      </c>
      <c r="P39" s="251"/>
    </row>
    <row r="40" s="262" customFormat="true" ht="12.75" hidden="false" customHeight="false" outlineLevel="0" collapsed="false">
      <c r="A40" s="261" t="n">
        <v>630</v>
      </c>
      <c r="B40" s="261"/>
      <c r="C40" s="261" t="n">
        <v>958</v>
      </c>
      <c r="D40" s="261"/>
      <c r="E40" s="261" t="n">
        <v>798</v>
      </c>
      <c r="F40" s="261"/>
      <c r="G40" s="251" t="n">
        <v>1005</v>
      </c>
      <c r="H40" s="251"/>
      <c r="I40" s="251" t="n">
        <v>855</v>
      </c>
      <c r="J40" s="251"/>
      <c r="K40" s="251" t="n">
        <v>905</v>
      </c>
      <c r="L40" s="251"/>
      <c r="M40" s="251" t="n">
        <v>1138</v>
      </c>
      <c r="N40" s="251"/>
      <c r="O40" s="251" t="n">
        <v>1070</v>
      </c>
      <c r="P40" s="251"/>
    </row>
    <row r="41" s="262" customFormat="true" ht="12.75" hidden="false" customHeight="false" outlineLevel="0" collapsed="false">
      <c r="A41" s="261" t="n">
        <v>800</v>
      </c>
      <c r="B41" s="261"/>
      <c r="C41" s="261" t="n">
        <v>1118</v>
      </c>
      <c r="D41" s="261"/>
      <c r="E41" s="261" t="n">
        <v>930</v>
      </c>
      <c r="F41" s="261"/>
      <c r="G41" s="251" t="n">
        <v>1169</v>
      </c>
      <c r="H41" s="251"/>
      <c r="I41" s="251" t="n">
        <v>971</v>
      </c>
      <c r="J41" s="251"/>
      <c r="K41" s="251" t="n">
        <v>1119</v>
      </c>
      <c r="L41" s="251"/>
      <c r="M41" s="251" t="n">
        <v>1325</v>
      </c>
      <c r="N41" s="251"/>
      <c r="O41" s="251" t="n">
        <v>1251</v>
      </c>
      <c r="P41" s="251"/>
    </row>
    <row r="42" s="262" customFormat="true" ht="12.75" hidden="false" customHeight="false" outlineLevel="0" collapsed="false">
      <c r="A42" s="261" t="n">
        <v>1000</v>
      </c>
      <c r="B42" s="261"/>
      <c r="C42" s="261" t="n">
        <v>1292</v>
      </c>
      <c r="D42" s="261"/>
      <c r="E42" s="261" t="n">
        <v>1073</v>
      </c>
      <c r="F42" s="261"/>
      <c r="G42" s="251" t="n">
        <v>1346</v>
      </c>
      <c r="H42" s="251"/>
      <c r="I42" s="251" t="n">
        <v>1079</v>
      </c>
      <c r="J42" s="251"/>
      <c r="K42" s="251" t="n">
        <v>1296</v>
      </c>
      <c r="L42" s="251"/>
      <c r="M42" s="251" t="n">
        <v>1528</v>
      </c>
      <c r="N42" s="251"/>
      <c r="O42" s="251" t="n">
        <v>1448</v>
      </c>
      <c r="P42" s="251"/>
    </row>
    <row r="43" customFormat="false" ht="12.75" hidden="false" customHeight="true" outlineLevel="0" collapsed="false">
      <c r="A43" s="251" t="s">
        <v>301</v>
      </c>
      <c r="B43" s="251"/>
      <c r="C43" s="251"/>
      <c r="D43" s="251"/>
      <c r="E43" s="251"/>
      <c r="F43" s="251"/>
      <c r="G43" s="251"/>
      <c r="H43" s="251"/>
      <c r="I43" s="251"/>
      <c r="J43" s="251"/>
      <c r="K43" s="251"/>
      <c r="L43" s="251"/>
      <c r="M43" s="251"/>
      <c r="N43" s="251"/>
      <c r="O43" s="251"/>
      <c r="P43" s="251"/>
      <c r="Q43" s="263"/>
      <c r="R43" s="264"/>
      <c r="S43" s="264"/>
      <c r="T43" s="264"/>
      <c r="U43" s="264"/>
      <c r="V43" s="264"/>
      <c r="W43" s="264"/>
    </row>
    <row r="44" s="262" customFormat="true" ht="12.75" hidden="false" customHeight="false" outlineLevel="0" collapsed="false">
      <c r="A44" s="261" t="n">
        <v>16</v>
      </c>
      <c r="B44" s="261"/>
      <c r="C44" s="261" t="n">
        <v>73</v>
      </c>
      <c r="D44" s="261"/>
      <c r="E44" s="261" t="n">
        <v>61</v>
      </c>
      <c r="F44" s="261"/>
      <c r="G44" s="251" t="n">
        <v>73</v>
      </c>
      <c r="H44" s="251"/>
      <c r="I44" s="251" t="n">
        <v>62</v>
      </c>
      <c r="J44" s="251"/>
      <c r="K44" s="251" t="n">
        <v>65</v>
      </c>
      <c r="L44" s="251"/>
      <c r="M44" s="251" t="n">
        <v>84</v>
      </c>
      <c r="N44" s="251"/>
      <c r="O44" s="251" t="n">
        <v>73</v>
      </c>
      <c r="P44" s="251"/>
    </row>
    <row r="45" s="262" customFormat="true" ht="12.75" hidden="false" customHeight="false" outlineLevel="0" collapsed="false">
      <c r="A45" s="261" t="n">
        <v>25</v>
      </c>
      <c r="B45" s="261"/>
      <c r="C45" s="261" t="n">
        <v>89</v>
      </c>
      <c r="D45" s="261"/>
      <c r="E45" s="261" t="n">
        <v>78</v>
      </c>
      <c r="F45" s="261"/>
      <c r="G45" s="251" t="n">
        <v>98</v>
      </c>
      <c r="H45" s="251"/>
      <c r="I45" s="251" t="n">
        <v>84</v>
      </c>
      <c r="J45" s="251"/>
      <c r="K45" s="251" t="n">
        <v>87</v>
      </c>
      <c r="L45" s="251"/>
      <c r="M45" s="251" t="n">
        <v>112</v>
      </c>
      <c r="N45" s="251"/>
      <c r="O45" s="251" t="n">
        <v>99</v>
      </c>
      <c r="P45" s="251"/>
    </row>
    <row r="46" s="262" customFormat="true" ht="12.75" hidden="false" customHeight="false" outlineLevel="0" collapsed="false">
      <c r="A46" s="261" t="n">
        <v>35</v>
      </c>
      <c r="B46" s="261"/>
      <c r="C46" s="261" t="n">
        <v>111</v>
      </c>
      <c r="D46" s="261"/>
      <c r="E46" s="261" t="n">
        <v>96</v>
      </c>
      <c r="F46" s="261"/>
      <c r="G46" s="251" t="n">
        <v>122</v>
      </c>
      <c r="H46" s="251"/>
      <c r="I46" s="251" t="n">
        <v>105</v>
      </c>
      <c r="J46" s="251"/>
      <c r="K46" s="251" t="n">
        <v>109</v>
      </c>
      <c r="L46" s="251"/>
      <c r="M46" s="251" t="n">
        <v>139</v>
      </c>
      <c r="N46" s="251"/>
      <c r="O46" s="251" t="n">
        <v>124</v>
      </c>
      <c r="P46" s="251"/>
    </row>
    <row r="47" s="262" customFormat="true" ht="12.75" hidden="false" customHeight="false" outlineLevel="0" collapsed="false">
      <c r="A47" s="261" t="n">
        <v>50</v>
      </c>
      <c r="B47" s="261"/>
      <c r="C47" s="261" t="n">
        <v>135</v>
      </c>
      <c r="D47" s="261"/>
      <c r="E47" s="261" t="n">
        <v>117</v>
      </c>
      <c r="F47" s="261"/>
      <c r="G47" s="251" t="n">
        <v>149</v>
      </c>
      <c r="H47" s="251"/>
      <c r="I47" s="251" t="n">
        <v>128</v>
      </c>
      <c r="J47" s="251"/>
      <c r="K47" s="251" t="n">
        <v>133</v>
      </c>
      <c r="L47" s="251"/>
      <c r="M47" s="251" t="n">
        <v>169</v>
      </c>
      <c r="N47" s="251"/>
      <c r="O47" s="251" t="n">
        <v>152</v>
      </c>
      <c r="P47" s="251"/>
    </row>
    <row r="48" s="262" customFormat="true" ht="12.75" hidden="false" customHeight="false" outlineLevel="0" collapsed="false">
      <c r="A48" s="261" t="n">
        <v>70</v>
      </c>
      <c r="B48" s="261"/>
      <c r="C48" s="261" t="n">
        <v>173</v>
      </c>
      <c r="D48" s="261"/>
      <c r="E48" s="261" t="n">
        <v>150</v>
      </c>
      <c r="F48" s="261"/>
      <c r="G48" s="251" t="n">
        <v>192</v>
      </c>
      <c r="H48" s="251"/>
      <c r="I48" s="251" t="n">
        <v>166</v>
      </c>
      <c r="J48" s="251"/>
      <c r="K48" s="251" t="n">
        <v>173</v>
      </c>
      <c r="L48" s="251"/>
      <c r="M48" s="251" t="n">
        <v>217</v>
      </c>
      <c r="N48" s="251"/>
      <c r="O48" s="251" t="n">
        <v>196</v>
      </c>
      <c r="P48" s="251"/>
    </row>
    <row r="49" s="262" customFormat="true" ht="12.75" hidden="false" customHeight="false" outlineLevel="0" collapsed="false">
      <c r="A49" s="261" t="n">
        <v>95</v>
      </c>
      <c r="B49" s="261"/>
      <c r="C49" s="261" t="n">
        <v>210</v>
      </c>
      <c r="D49" s="261"/>
      <c r="E49" s="261" t="n">
        <v>183</v>
      </c>
      <c r="F49" s="261"/>
      <c r="G49" s="251" t="n">
        <v>235</v>
      </c>
      <c r="H49" s="251"/>
      <c r="I49" s="251" t="n">
        <v>203</v>
      </c>
      <c r="J49" s="251"/>
      <c r="K49" s="251" t="n">
        <v>212</v>
      </c>
      <c r="L49" s="251"/>
      <c r="M49" s="251" t="n">
        <v>265</v>
      </c>
      <c r="N49" s="251"/>
      <c r="O49" s="251" t="n">
        <v>241</v>
      </c>
      <c r="P49" s="251"/>
    </row>
    <row r="50" s="262" customFormat="true" ht="12.75" hidden="false" customHeight="false" outlineLevel="0" collapsed="false">
      <c r="A50" s="261" t="n">
        <v>120</v>
      </c>
      <c r="B50" s="261"/>
      <c r="C50" s="261" t="n">
        <v>244</v>
      </c>
      <c r="D50" s="261"/>
      <c r="E50" s="261" t="n">
        <v>212</v>
      </c>
      <c r="F50" s="261"/>
      <c r="G50" s="251" t="n">
        <v>273</v>
      </c>
      <c r="H50" s="251"/>
      <c r="I50" s="251" t="n">
        <v>237</v>
      </c>
      <c r="J50" s="251"/>
      <c r="K50" s="251" t="n">
        <v>247</v>
      </c>
      <c r="L50" s="251"/>
      <c r="M50" s="251" t="n">
        <v>308</v>
      </c>
      <c r="N50" s="251"/>
      <c r="O50" s="251" t="n">
        <v>282</v>
      </c>
      <c r="P50" s="251"/>
    </row>
    <row r="51" s="262" customFormat="true" ht="12.75" hidden="false" customHeight="false" outlineLevel="0" collapsed="false">
      <c r="A51" s="261" t="n">
        <v>150</v>
      </c>
      <c r="B51" s="261"/>
      <c r="C51" s="261" t="n">
        <v>282</v>
      </c>
      <c r="D51" s="261"/>
      <c r="E51" s="261" t="n">
        <v>245</v>
      </c>
      <c r="F51" s="261"/>
      <c r="G51" s="251" t="n">
        <v>316</v>
      </c>
      <c r="H51" s="251"/>
      <c r="I51" s="251" t="n">
        <v>274</v>
      </c>
      <c r="J51" s="251"/>
      <c r="K51" s="251" t="n">
        <v>287</v>
      </c>
      <c r="L51" s="251"/>
      <c r="M51" s="251" t="n">
        <v>356</v>
      </c>
      <c r="N51" s="251"/>
      <c r="O51" s="251" t="n">
        <v>327</v>
      </c>
      <c r="P51" s="251"/>
    </row>
    <row r="52" s="262" customFormat="true" ht="12.75" hidden="false" customHeight="false" outlineLevel="0" collapsed="false">
      <c r="A52" s="261" t="n">
        <v>185</v>
      </c>
      <c r="B52" s="261"/>
      <c r="C52" s="261" t="n">
        <v>322</v>
      </c>
      <c r="D52" s="261"/>
      <c r="E52" s="261" t="n">
        <v>280</v>
      </c>
      <c r="F52" s="261"/>
      <c r="G52" s="251" t="n">
        <v>363</v>
      </c>
      <c r="H52" s="251"/>
      <c r="I52" s="251" t="n">
        <v>315</v>
      </c>
      <c r="J52" s="251"/>
      <c r="K52" s="251" t="n">
        <v>330</v>
      </c>
      <c r="L52" s="251"/>
      <c r="M52" s="251" t="n">
        <v>407</v>
      </c>
      <c r="N52" s="251"/>
      <c r="O52" s="251" t="n">
        <v>376</v>
      </c>
      <c r="P52" s="251"/>
    </row>
    <row r="53" s="262" customFormat="true" ht="12.75" hidden="false" customHeight="false" outlineLevel="0" collapsed="false">
      <c r="A53" s="261" t="n">
        <v>240</v>
      </c>
      <c r="B53" s="261"/>
      <c r="C53" s="261" t="n">
        <v>380</v>
      </c>
      <c r="D53" s="261"/>
      <c r="E53" s="261" t="n">
        <v>330</v>
      </c>
      <c r="F53" s="261"/>
      <c r="G53" s="251" t="n">
        <v>430</v>
      </c>
      <c r="H53" s="251"/>
      <c r="I53" s="251" t="n">
        <v>375</v>
      </c>
      <c r="J53" s="251"/>
      <c r="K53" s="251" t="n">
        <v>392</v>
      </c>
      <c r="L53" s="251"/>
      <c r="M53" s="251" t="n">
        <v>482</v>
      </c>
      <c r="N53" s="251"/>
      <c r="O53" s="251" t="n">
        <v>447</v>
      </c>
      <c r="P53" s="251"/>
    </row>
    <row r="54" s="262" customFormat="true" ht="12.75" hidden="false" customHeight="false" outlineLevel="0" collapsed="false">
      <c r="A54" s="261" t="n">
        <v>300</v>
      </c>
      <c r="B54" s="261"/>
      <c r="C54" s="261" t="n">
        <v>439</v>
      </c>
      <c r="D54" s="261"/>
      <c r="E54" s="261" t="n">
        <v>381</v>
      </c>
      <c r="F54" s="261"/>
      <c r="G54" s="251" t="n">
        <v>497</v>
      </c>
      <c r="H54" s="251"/>
      <c r="I54" s="251" t="n">
        <v>434</v>
      </c>
      <c r="J54" s="251"/>
      <c r="K54" s="251" t="n">
        <v>455</v>
      </c>
      <c r="L54" s="251"/>
      <c r="M54" s="251" t="n">
        <v>557</v>
      </c>
      <c r="N54" s="251"/>
      <c r="O54" s="251" t="n">
        <v>519</v>
      </c>
      <c r="P54" s="251"/>
    </row>
    <row r="55" s="262" customFormat="true" ht="12.75" hidden="false" customHeight="false" outlineLevel="0" collapsed="false">
      <c r="A55" s="261" t="n">
        <v>400</v>
      </c>
      <c r="B55" s="261"/>
      <c r="C55" s="261" t="n">
        <v>528</v>
      </c>
      <c r="D55" s="261"/>
      <c r="E55" s="261" t="n">
        <v>458</v>
      </c>
      <c r="F55" s="261"/>
      <c r="G55" s="251" t="n">
        <v>600</v>
      </c>
      <c r="H55" s="251"/>
      <c r="I55" s="251" t="n">
        <v>526</v>
      </c>
      <c r="J55" s="251"/>
      <c r="K55" s="251" t="n">
        <v>552</v>
      </c>
      <c r="L55" s="251"/>
      <c r="M55" s="251" t="n">
        <v>671</v>
      </c>
      <c r="N55" s="251"/>
      <c r="O55" s="251" t="n">
        <v>629</v>
      </c>
      <c r="P55" s="251"/>
    </row>
    <row r="56" s="262" customFormat="true" ht="12.75" hidden="false" customHeight="false" outlineLevel="0" collapsed="false">
      <c r="A56" s="261" t="n">
        <v>500</v>
      </c>
      <c r="B56" s="261"/>
      <c r="C56" s="261" t="n">
        <v>608</v>
      </c>
      <c r="D56" s="261"/>
      <c r="E56" s="261" t="n">
        <v>528</v>
      </c>
      <c r="F56" s="261"/>
      <c r="G56" s="251" t="n">
        <v>694</v>
      </c>
      <c r="H56" s="251"/>
      <c r="I56" s="251" t="n">
        <v>610</v>
      </c>
      <c r="J56" s="251"/>
      <c r="K56" s="251" t="n">
        <v>640</v>
      </c>
      <c r="L56" s="251"/>
      <c r="M56" s="251" t="n">
        <v>775</v>
      </c>
      <c r="N56" s="251"/>
      <c r="O56" s="251" t="n">
        <v>730</v>
      </c>
      <c r="P56" s="251"/>
    </row>
    <row r="57" s="262" customFormat="true" ht="12.75" hidden="false" customHeight="false" outlineLevel="0" collapsed="false">
      <c r="A57" s="261" t="n">
        <v>630</v>
      </c>
      <c r="B57" s="261"/>
      <c r="C57" s="261" t="n">
        <v>705</v>
      </c>
      <c r="D57" s="261"/>
      <c r="E57" s="261" t="n">
        <v>613</v>
      </c>
      <c r="F57" s="261"/>
      <c r="G57" s="251" t="n">
        <v>808</v>
      </c>
      <c r="H57" s="251"/>
      <c r="I57" s="251" t="n">
        <v>711</v>
      </c>
      <c r="J57" s="251"/>
      <c r="K57" s="251" t="n">
        <v>640</v>
      </c>
      <c r="L57" s="251"/>
      <c r="M57" s="251" t="n">
        <v>775</v>
      </c>
      <c r="N57" s="251"/>
      <c r="O57" s="251" t="n">
        <v>730</v>
      </c>
      <c r="P57" s="251"/>
    </row>
    <row r="58" s="262" customFormat="true" ht="12.75" hidden="false" customHeight="false" outlineLevel="0" collapsed="false">
      <c r="A58" s="261" t="n">
        <v>800</v>
      </c>
      <c r="B58" s="261"/>
      <c r="C58" s="261" t="n">
        <v>822</v>
      </c>
      <c r="D58" s="261"/>
      <c r="E58" s="261" t="n">
        <v>714</v>
      </c>
      <c r="F58" s="261"/>
      <c r="G58" s="251" t="n">
        <v>944</v>
      </c>
      <c r="H58" s="251"/>
      <c r="I58" s="251" t="n">
        <v>832</v>
      </c>
      <c r="J58" s="251"/>
      <c r="K58" s="251" t="n">
        <v>875</v>
      </c>
      <c r="L58" s="251"/>
      <c r="M58" s="251" t="n">
        <v>1050</v>
      </c>
      <c r="N58" s="251"/>
      <c r="O58" s="251" t="n">
        <v>1000</v>
      </c>
      <c r="P58" s="251"/>
    </row>
    <row r="59" s="262" customFormat="true" ht="12.75" hidden="false" customHeight="false" outlineLevel="0" collapsed="false">
      <c r="A59" s="261" t="n">
        <v>1000</v>
      </c>
      <c r="B59" s="261"/>
      <c r="C59" s="261" t="n">
        <v>948</v>
      </c>
      <c r="D59" s="261"/>
      <c r="E59" s="261" t="n">
        <v>823</v>
      </c>
      <c r="F59" s="261"/>
      <c r="G59" s="251" t="n">
        <v>1092</v>
      </c>
      <c r="H59" s="251"/>
      <c r="I59" s="251" t="n">
        <v>965</v>
      </c>
      <c r="J59" s="251"/>
      <c r="K59" s="251" t="n">
        <v>1015</v>
      </c>
      <c r="L59" s="251"/>
      <c r="M59" s="251" t="n">
        <v>1213</v>
      </c>
      <c r="N59" s="251"/>
      <c r="O59" s="251" t="n">
        <v>1161</v>
      </c>
      <c r="P59" s="251"/>
    </row>
    <row r="60" customFormat="false" ht="12.75" hidden="false" customHeight="false" outlineLevel="0" collapsed="false">
      <c r="A60" s="236" t="s">
        <v>319</v>
      </c>
    </row>
  </sheetData>
  <mergeCells count="357">
    <mergeCell ref="A1:P2"/>
    <mergeCell ref="A8:B16"/>
    <mergeCell ref="C8:F8"/>
    <mergeCell ref="G8:P8"/>
    <mergeCell ref="C9:D11"/>
    <mergeCell ref="E9:F11"/>
    <mergeCell ref="G9:H11"/>
    <mergeCell ref="I9:J11"/>
    <mergeCell ref="K9:P9"/>
    <mergeCell ref="K10:L11"/>
    <mergeCell ref="M10:P10"/>
    <mergeCell ref="M11:N11"/>
    <mergeCell ref="O11:P11"/>
    <mergeCell ref="C12:D12"/>
    <mergeCell ref="E12:F12"/>
    <mergeCell ref="G12:H12"/>
    <mergeCell ref="I12:J12"/>
    <mergeCell ref="K12:L12"/>
    <mergeCell ref="M12:N12"/>
    <mergeCell ref="O12:P12"/>
    <mergeCell ref="C13:D16"/>
    <mergeCell ref="E13:F16"/>
    <mergeCell ref="G13:H16"/>
    <mergeCell ref="I13:J16"/>
    <mergeCell ref="K13:L16"/>
    <mergeCell ref="M13:N16"/>
    <mergeCell ref="O13:P16"/>
    <mergeCell ref="A17:B17"/>
    <mergeCell ref="C17:D17"/>
    <mergeCell ref="E17:F17"/>
    <mergeCell ref="G17:H17"/>
    <mergeCell ref="I17:J17"/>
    <mergeCell ref="K17:L17"/>
    <mergeCell ref="M17:N17"/>
    <mergeCell ref="O17:P17"/>
    <mergeCell ref="A18:P18"/>
    <mergeCell ref="A19:B19"/>
    <mergeCell ref="C19:D19"/>
    <mergeCell ref="E19:F19"/>
    <mergeCell ref="G19:H19"/>
    <mergeCell ref="I19:J19"/>
    <mergeCell ref="K19:L19"/>
    <mergeCell ref="M19:N19"/>
    <mergeCell ref="O19:P19"/>
    <mergeCell ref="A20:B20"/>
    <mergeCell ref="C20:D20"/>
    <mergeCell ref="E20:F20"/>
    <mergeCell ref="G20:H20"/>
    <mergeCell ref="I20:J20"/>
    <mergeCell ref="K20:L20"/>
    <mergeCell ref="M20:N20"/>
    <mergeCell ref="O20:P20"/>
    <mergeCell ref="A21:B21"/>
    <mergeCell ref="C21:D21"/>
    <mergeCell ref="E21:F21"/>
    <mergeCell ref="G21:H21"/>
    <mergeCell ref="I21:J21"/>
    <mergeCell ref="K21:L21"/>
    <mergeCell ref="M21:N21"/>
    <mergeCell ref="O21:P21"/>
    <mergeCell ref="A22:B22"/>
    <mergeCell ref="C22:D22"/>
    <mergeCell ref="E22:F22"/>
    <mergeCell ref="G22:H22"/>
    <mergeCell ref="I22:J22"/>
    <mergeCell ref="K22:L22"/>
    <mergeCell ref="M22:N22"/>
    <mergeCell ref="O22:P22"/>
    <mergeCell ref="A23:B23"/>
    <mergeCell ref="C23:D23"/>
    <mergeCell ref="E23:F23"/>
    <mergeCell ref="G23:H23"/>
    <mergeCell ref="I23:J23"/>
    <mergeCell ref="K23:L23"/>
    <mergeCell ref="M23:N23"/>
    <mergeCell ref="O23:P23"/>
    <mergeCell ref="A24:B24"/>
    <mergeCell ref="C24:D24"/>
    <mergeCell ref="E24:F24"/>
    <mergeCell ref="G24:H24"/>
    <mergeCell ref="I24:J24"/>
    <mergeCell ref="K24:L24"/>
    <mergeCell ref="M24:N24"/>
    <mergeCell ref="O24:P24"/>
    <mergeCell ref="A25:B25"/>
    <mergeCell ref="C25:D25"/>
    <mergeCell ref="E25:F25"/>
    <mergeCell ref="G25:H25"/>
    <mergeCell ref="I25:J25"/>
    <mergeCell ref="K25:L25"/>
    <mergeCell ref="M25:N25"/>
    <mergeCell ref="O25:P25"/>
    <mergeCell ref="A26:B26"/>
    <mergeCell ref="C26:D26"/>
    <mergeCell ref="E26:F26"/>
    <mergeCell ref="G26:H26"/>
    <mergeCell ref="I26:J26"/>
    <mergeCell ref="K26:L26"/>
    <mergeCell ref="M26:N26"/>
    <mergeCell ref="O26:P26"/>
    <mergeCell ref="A27:B27"/>
    <mergeCell ref="C27:D27"/>
    <mergeCell ref="E27:F27"/>
    <mergeCell ref="G27:H27"/>
    <mergeCell ref="I27:J27"/>
    <mergeCell ref="K27:L27"/>
    <mergeCell ref="M27:N27"/>
    <mergeCell ref="O27:P27"/>
    <mergeCell ref="A28:B28"/>
    <mergeCell ref="C28:D28"/>
    <mergeCell ref="E28:F28"/>
    <mergeCell ref="G28:H28"/>
    <mergeCell ref="I28:J28"/>
    <mergeCell ref="K28:L28"/>
    <mergeCell ref="M28:N28"/>
    <mergeCell ref="O28:P28"/>
    <mergeCell ref="A29:B29"/>
    <mergeCell ref="C29:D29"/>
    <mergeCell ref="E29:F29"/>
    <mergeCell ref="G29:H29"/>
    <mergeCell ref="I29:J29"/>
    <mergeCell ref="K29:L29"/>
    <mergeCell ref="M29:N29"/>
    <mergeCell ref="O29:P29"/>
    <mergeCell ref="A30:B30"/>
    <mergeCell ref="C30:D30"/>
    <mergeCell ref="E30:F30"/>
    <mergeCell ref="G30:H30"/>
    <mergeCell ref="I30:J30"/>
    <mergeCell ref="K30:L30"/>
    <mergeCell ref="M30:N30"/>
    <mergeCell ref="O30:P30"/>
    <mergeCell ref="A31:B31"/>
    <mergeCell ref="C31:D31"/>
    <mergeCell ref="E31:F31"/>
    <mergeCell ref="G31:H31"/>
    <mergeCell ref="I31:J31"/>
    <mergeCell ref="K31:L31"/>
    <mergeCell ref="M31:N31"/>
    <mergeCell ref="O31:P31"/>
    <mergeCell ref="A32:B32"/>
    <mergeCell ref="C32:D32"/>
    <mergeCell ref="E32:F32"/>
    <mergeCell ref="G32:H32"/>
    <mergeCell ref="I32:J32"/>
    <mergeCell ref="K32:L32"/>
    <mergeCell ref="M32:N32"/>
    <mergeCell ref="O32:P32"/>
    <mergeCell ref="A33:B33"/>
    <mergeCell ref="C33:D33"/>
    <mergeCell ref="E33:F33"/>
    <mergeCell ref="G33:H33"/>
    <mergeCell ref="I33:J33"/>
    <mergeCell ref="K33:L33"/>
    <mergeCell ref="M33:N33"/>
    <mergeCell ref="O33:P33"/>
    <mergeCell ref="A34:B34"/>
    <mergeCell ref="C34:D34"/>
    <mergeCell ref="E34:F34"/>
    <mergeCell ref="G34:H34"/>
    <mergeCell ref="I34:J34"/>
    <mergeCell ref="K34:L34"/>
    <mergeCell ref="M34:N34"/>
    <mergeCell ref="O34:P34"/>
    <mergeCell ref="A35:B35"/>
    <mergeCell ref="C35:D35"/>
    <mergeCell ref="E35:F35"/>
    <mergeCell ref="G35:H35"/>
    <mergeCell ref="I35:J35"/>
    <mergeCell ref="K35:L35"/>
    <mergeCell ref="M35:N35"/>
    <mergeCell ref="O35:P35"/>
    <mergeCell ref="A36:B36"/>
    <mergeCell ref="C36:D36"/>
    <mergeCell ref="E36:F36"/>
    <mergeCell ref="G36:H36"/>
    <mergeCell ref="I36:J36"/>
    <mergeCell ref="K36:L36"/>
    <mergeCell ref="M36:N36"/>
    <mergeCell ref="O36:P36"/>
    <mergeCell ref="A37:B37"/>
    <mergeCell ref="C37:D37"/>
    <mergeCell ref="E37:F37"/>
    <mergeCell ref="G37:H37"/>
    <mergeCell ref="I37:J37"/>
    <mergeCell ref="K37:L37"/>
    <mergeCell ref="M37:N37"/>
    <mergeCell ref="O37:P37"/>
    <mergeCell ref="A38:B38"/>
    <mergeCell ref="C38:D38"/>
    <mergeCell ref="E38:F38"/>
    <mergeCell ref="G38:H38"/>
    <mergeCell ref="I38:J38"/>
    <mergeCell ref="K38:L38"/>
    <mergeCell ref="M38:N38"/>
    <mergeCell ref="O38:P38"/>
    <mergeCell ref="A39:B39"/>
    <mergeCell ref="C39:D39"/>
    <mergeCell ref="E39:F39"/>
    <mergeCell ref="G39:H39"/>
    <mergeCell ref="I39:J39"/>
    <mergeCell ref="K39:L39"/>
    <mergeCell ref="M39:N39"/>
    <mergeCell ref="O39:P39"/>
    <mergeCell ref="A40:B40"/>
    <mergeCell ref="C40:D40"/>
    <mergeCell ref="E40:F40"/>
    <mergeCell ref="G40:H40"/>
    <mergeCell ref="I40:J40"/>
    <mergeCell ref="K40:L40"/>
    <mergeCell ref="M40:N40"/>
    <mergeCell ref="O40:P40"/>
    <mergeCell ref="A41:B41"/>
    <mergeCell ref="C41:D41"/>
    <mergeCell ref="E41:F41"/>
    <mergeCell ref="G41:H41"/>
    <mergeCell ref="I41:J41"/>
    <mergeCell ref="K41:L41"/>
    <mergeCell ref="M41:N41"/>
    <mergeCell ref="O41:P41"/>
    <mergeCell ref="A42:B42"/>
    <mergeCell ref="C42:D42"/>
    <mergeCell ref="E42:F42"/>
    <mergeCell ref="G42:H42"/>
    <mergeCell ref="I42:J42"/>
    <mergeCell ref="K42:L42"/>
    <mergeCell ref="M42:N42"/>
    <mergeCell ref="O42:P42"/>
    <mergeCell ref="A43:P43"/>
    <mergeCell ref="A44:B44"/>
    <mergeCell ref="C44:D44"/>
    <mergeCell ref="E44:F44"/>
    <mergeCell ref="G44:H44"/>
    <mergeCell ref="I44:J44"/>
    <mergeCell ref="K44:L44"/>
    <mergeCell ref="M44:N44"/>
    <mergeCell ref="O44:P44"/>
    <mergeCell ref="A45:B45"/>
    <mergeCell ref="C45:D45"/>
    <mergeCell ref="E45:F45"/>
    <mergeCell ref="G45:H45"/>
    <mergeCell ref="I45:J45"/>
    <mergeCell ref="K45:L45"/>
    <mergeCell ref="M45:N45"/>
    <mergeCell ref="O45:P45"/>
    <mergeCell ref="A46:B46"/>
    <mergeCell ref="C46:D46"/>
    <mergeCell ref="E46:F46"/>
    <mergeCell ref="G46:H46"/>
    <mergeCell ref="I46:J46"/>
    <mergeCell ref="K46:L46"/>
    <mergeCell ref="M46:N46"/>
    <mergeCell ref="O46:P46"/>
    <mergeCell ref="A47:B47"/>
    <mergeCell ref="C47:D47"/>
    <mergeCell ref="E47:F47"/>
    <mergeCell ref="G47:H47"/>
    <mergeCell ref="I47:J47"/>
    <mergeCell ref="K47:L47"/>
    <mergeCell ref="M47:N47"/>
    <mergeCell ref="O47:P47"/>
    <mergeCell ref="A48:B48"/>
    <mergeCell ref="C48:D48"/>
    <mergeCell ref="E48:F48"/>
    <mergeCell ref="G48:H48"/>
    <mergeCell ref="I48:J48"/>
    <mergeCell ref="K48:L48"/>
    <mergeCell ref="M48:N48"/>
    <mergeCell ref="O48:P48"/>
    <mergeCell ref="A49:B49"/>
    <mergeCell ref="C49:D49"/>
    <mergeCell ref="E49:F49"/>
    <mergeCell ref="G49:H49"/>
    <mergeCell ref="I49:J49"/>
    <mergeCell ref="K49:L49"/>
    <mergeCell ref="M49:N49"/>
    <mergeCell ref="O49:P49"/>
    <mergeCell ref="A50:B50"/>
    <mergeCell ref="C50:D50"/>
    <mergeCell ref="E50:F50"/>
    <mergeCell ref="G50:H50"/>
    <mergeCell ref="I50:J50"/>
    <mergeCell ref="K50:L50"/>
    <mergeCell ref="M50:N50"/>
    <mergeCell ref="O50:P50"/>
    <mergeCell ref="A51:B51"/>
    <mergeCell ref="C51:D51"/>
    <mergeCell ref="E51:F51"/>
    <mergeCell ref="G51:H51"/>
    <mergeCell ref="I51:J51"/>
    <mergeCell ref="K51:L51"/>
    <mergeCell ref="M51:N51"/>
    <mergeCell ref="O51:P51"/>
    <mergeCell ref="A52:B52"/>
    <mergeCell ref="C52:D52"/>
    <mergeCell ref="E52:F52"/>
    <mergeCell ref="G52:H52"/>
    <mergeCell ref="I52:J52"/>
    <mergeCell ref="K52:L52"/>
    <mergeCell ref="M52:N52"/>
    <mergeCell ref="O52:P52"/>
    <mergeCell ref="A53:B53"/>
    <mergeCell ref="C53:D53"/>
    <mergeCell ref="E53:F53"/>
    <mergeCell ref="G53:H53"/>
    <mergeCell ref="I53:J53"/>
    <mergeCell ref="K53:L53"/>
    <mergeCell ref="M53:N53"/>
    <mergeCell ref="O53:P53"/>
    <mergeCell ref="A54:B54"/>
    <mergeCell ref="C54:D54"/>
    <mergeCell ref="E54:F54"/>
    <mergeCell ref="G54:H54"/>
    <mergeCell ref="I54:J54"/>
    <mergeCell ref="K54:L54"/>
    <mergeCell ref="M54:N54"/>
    <mergeCell ref="O54:P54"/>
    <mergeCell ref="A55:B55"/>
    <mergeCell ref="C55:D55"/>
    <mergeCell ref="E55:F55"/>
    <mergeCell ref="G55:H55"/>
    <mergeCell ref="I55:J55"/>
    <mergeCell ref="K55:L55"/>
    <mergeCell ref="M55:N55"/>
    <mergeCell ref="O55:P55"/>
    <mergeCell ref="A56:B56"/>
    <mergeCell ref="C56:D56"/>
    <mergeCell ref="E56:F56"/>
    <mergeCell ref="G56:H56"/>
    <mergeCell ref="I56:J56"/>
    <mergeCell ref="K56:L56"/>
    <mergeCell ref="M56:N56"/>
    <mergeCell ref="O56:P56"/>
    <mergeCell ref="A57:B57"/>
    <mergeCell ref="C57:D57"/>
    <mergeCell ref="E57:F57"/>
    <mergeCell ref="G57:H57"/>
    <mergeCell ref="I57:J57"/>
    <mergeCell ref="K57:L57"/>
    <mergeCell ref="M57:N57"/>
    <mergeCell ref="O57:P57"/>
    <mergeCell ref="A58:B58"/>
    <mergeCell ref="C58:D58"/>
    <mergeCell ref="E58:F58"/>
    <mergeCell ref="G58:H58"/>
    <mergeCell ref="I58:J58"/>
    <mergeCell ref="K58:L58"/>
    <mergeCell ref="M58:N58"/>
    <mergeCell ref="O58:P58"/>
    <mergeCell ref="A59:B59"/>
    <mergeCell ref="C59:D59"/>
    <mergeCell ref="E59:F59"/>
    <mergeCell ref="G59:H59"/>
    <mergeCell ref="I59:J59"/>
    <mergeCell ref="K59:L59"/>
    <mergeCell ref="M59:N59"/>
    <mergeCell ref="O59:P59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8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AC090"/>
    <pageSetUpPr fitToPage="false"/>
  </sheetPr>
  <dimension ref="A1:W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9.109375" defaultRowHeight="13.5" zeroHeight="false" outlineLevelRow="0" outlineLevelCol="0"/>
  <cols>
    <col collapsed="false" customWidth="true" hidden="false" outlineLevel="0" max="1" min="1" style="151" width="21.44"/>
    <col collapsed="false" customWidth="true" hidden="false" outlineLevel="0" max="2" min="2" style="151" width="8.44"/>
    <col collapsed="false" customWidth="true" hidden="false" outlineLevel="0" max="3" min="3" style="151" width="14.67"/>
    <col collapsed="false" customWidth="true" hidden="true" outlineLevel="0" max="4" min="4" style="151" width="7"/>
    <col collapsed="false" customWidth="true" hidden="false" outlineLevel="0" max="5" min="5" style="151" width="9"/>
    <col collapsed="false" customWidth="false" hidden="false" outlineLevel="0" max="6" min="6" style="151" width="9.11"/>
    <col collapsed="false" customWidth="true" hidden="false" outlineLevel="0" max="7" min="7" style="151" width="5.88"/>
    <col collapsed="false" customWidth="true" hidden="false" outlineLevel="0" max="9" min="8" style="151" width="8.88"/>
    <col collapsed="false" customWidth="true" hidden="true" outlineLevel="0" max="10" min="10" style="151" width="5.88"/>
    <col collapsed="false" customWidth="true" hidden="false" outlineLevel="0" max="11" min="11" style="151" width="6.44"/>
    <col collapsed="false" customWidth="true" hidden="false" outlineLevel="0" max="12" min="12" style="151" width="5.88"/>
    <col collapsed="false" customWidth="true" hidden="false" outlineLevel="0" max="13" min="13" style="151" width="13.44"/>
    <col collapsed="false" customWidth="true" hidden="false" outlineLevel="0" max="14" min="14" style="151" width="8.56"/>
    <col collapsed="false" customWidth="true" hidden="false" outlineLevel="0" max="15" min="15" style="154" width="10"/>
    <col collapsed="false" customWidth="true" hidden="false" outlineLevel="0" max="17" min="16" style="154" width="8.44"/>
    <col collapsed="false" customWidth="false" hidden="false" outlineLevel="0" max="20" min="18" style="154" width="9.11"/>
    <col collapsed="false" customWidth="true" hidden="false" outlineLevel="0" max="21" min="21" style="154" width="11.67"/>
    <col collapsed="false" customWidth="true" hidden="false" outlineLevel="0" max="22" min="22" style="154" width="11.44"/>
    <col collapsed="false" customWidth="false" hidden="false" outlineLevel="0" max="16384" min="23" style="154" width="9.11"/>
  </cols>
  <sheetData>
    <row r="1" customFormat="false" ht="13.8" hidden="false" customHeight="false" outlineLevel="0" collapsed="false"/>
    <row r="2" customFormat="false" ht="15.75" hidden="false" customHeight="true" outlineLevel="0" collapsed="false">
      <c r="A2" s="265" t="s">
        <v>320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  <c r="W2" s="265"/>
    </row>
    <row r="3" customFormat="false" ht="26.25" hidden="false" customHeight="true" outlineLevel="0" collapsed="false">
      <c r="A3" s="160" t="s">
        <v>5</v>
      </c>
      <c r="B3" s="160" t="s">
        <v>6</v>
      </c>
      <c r="C3" s="161" t="s">
        <v>7</v>
      </c>
      <c r="D3" s="266" t="s">
        <v>321</v>
      </c>
      <c r="E3" s="266"/>
      <c r="F3" s="266"/>
      <c r="G3" s="266"/>
      <c r="H3" s="266"/>
      <c r="I3" s="266"/>
      <c r="J3" s="266"/>
      <c r="K3" s="266"/>
      <c r="L3" s="266"/>
      <c r="M3" s="266"/>
      <c r="N3" s="266"/>
      <c r="O3" s="267" t="s">
        <v>322</v>
      </c>
      <c r="P3" s="267"/>
      <c r="Q3" s="268" t="s">
        <v>323</v>
      </c>
      <c r="R3" s="268"/>
      <c r="S3" s="269" t="s">
        <v>324</v>
      </c>
      <c r="T3" s="269"/>
      <c r="U3" s="269"/>
      <c r="V3" s="269"/>
      <c r="W3" s="269"/>
    </row>
    <row r="4" customFormat="false" ht="33" hidden="false" customHeight="true" outlineLevel="0" collapsed="false">
      <c r="A4" s="160"/>
      <c r="B4" s="160"/>
      <c r="C4" s="161"/>
      <c r="D4" s="270" t="s">
        <v>192</v>
      </c>
      <c r="E4" s="270" t="s">
        <v>325</v>
      </c>
      <c r="F4" s="270" t="s">
        <v>326</v>
      </c>
      <c r="G4" s="270" t="s">
        <v>9</v>
      </c>
      <c r="H4" s="270" t="s">
        <v>327</v>
      </c>
      <c r="I4" s="270" t="s">
        <v>328</v>
      </c>
      <c r="J4" s="270" t="s">
        <v>329</v>
      </c>
      <c r="K4" s="271" t="s">
        <v>330</v>
      </c>
      <c r="L4" s="271"/>
      <c r="M4" s="270" t="s">
        <v>331</v>
      </c>
      <c r="N4" s="270" t="s">
        <v>332</v>
      </c>
      <c r="O4" s="272" t="s">
        <v>333</v>
      </c>
      <c r="P4" s="272" t="s">
        <v>334</v>
      </c>
      <c r="Q4" s="273" t="s">
        <v>333</v>
      </c>
      <c r="R4" s="273" t="s">
        <v>334</v>
      </c>
      <c r="S4" s="274" t="s">
        <v>335</v>
      </c>
      <c r="T4" s="274" t="s">
        <v>336</v>
      </c>
      <c r="U4" s="274" t="s">
        <v>337</v>
      </c>
      <c r="V4" s="274" t="s">
        <v>338</v>
      </c>
      <c r="W4" s="274" t="s">
        <v>339</v>
      </c>
    </row>
    <row r="5" customFormat="false" ht="21.75" hidden="false" customHeight="true" outlineLevel="0" collapsed="false">
      <c r="A5" s="160"/>
      <c r="B5" s="160"/>
      <c r="C5" s="161"/>
      <c r="D5" s="270"/>
      <c r="E5" s="270"/>
      <c r="F5" s="270"/>
      <c r="G5" s="270"/>
      <c r="H5" s="270"/>
      <c r="I5" s="270"/>
      <c r="J5" s="270"/>
      <c r="K5" s="270" t="s">
        <v>340</v>
      </c>
      <c r="L5" s="270" t="s">
        <v>341</v>
      </c>
      <c r="M5" s="270"/>
      <c r="N5" s="270"/>
      <c r="O5" s="272"/>
      <c r="P5" s="272"/>
      <c r="Q5" s="273"/>
      <c r="R5" s="273"/>
      <c r="S5" s="274"/>
      <c r="T5" s="274"/>
      <c r="U5" s="274"/>
      <c r="V5" s="274"/>
      <c r="W5" s="274"/>
    </row>
    <row r="6" s="182" customFormat="true" ht="9.75" hidden="false" customHeight="true" outlineLevel="0" collapsed="false">
      <c r="A6" s="27" t="str">
        <f aca="false">'Previsão de Cargas'!A6</f>
        <v>50 - TUE M1</v>
      </c>
      <c r="B6" s="71" t="str">
        <f aca="false">'Previsão de Cargas'!B6</f>
        <v>CCM1</v>
      </c>
      <c r="C6" s="116" t="s">
        <v>78</v>
      </c>
      <c r="D6" s="175" t="n">
        <f aca="false">_Vnom</f>
        <v>380</v>
      </c>
      <c r="E6" s="176" t="n">
        <f aca="false">'Previsão de Cargas'!D6</f>
        <v>5</v>
      </c>
      <c r="F6" s="36" t="n">
        <f aca="false">'Previsão de Cargas'!I6</f>
        <v>4.16201117318436</v>
      </c>
      <c r="G6" s="177" t="n">
        <f aca="false">'Previsão de Cargas'!E6</f>
        <v>0.77</v>
      </c>
      <c r="H6" s="36" t="n">
        <f aca="false">'Previsão de Cargas'!K6</f>
        <v>3.4487607545548</v>
      </c>
      <c r="I6" s="36" t="n">
        <v>0.83</v>
      </c>
      <c r="J6" s="36" t="n">
        <f aca="false">'Previsão de Cargas'!H6*'Previsão de Cargas'!L6</f>
        <v>10.2654574128854</v>
      </c>
      <c r="K6" s="275" t="n">
        <f aca="false">SUM(F6:F13)</f>
        <v>65.0246680693608</v>
      </c>
      <c r="L6" s="275" t="n">
        <f aca="false">SUM(H6:H13)</f>
        <v>46.3043315542897</v>
      </c>
      <c r="M6" s="28" t="n">
        <v>4</v>
      </c>
      <c r="N6" s="116" t="n">
        <v>0.8</v>
      </c>
      <c r="O6" s="36" t="n">
        <f aca="false">F6*I6</f>
        <v>3.45446927374302</v>
      </c>
      <c r="P6" s="36" t="n">
        <f aca="false">H6*I6</f>
        <v>2.86247142628048</v>
      </c>
      <c r="Q6" s="275" t="n">
        <f aca="false">SUMPRODUCT(O6:O13,N6:N13)</f>
        <v>43.1763795980556</v>
      </c>
      <c r="R6" s="275" t="n">
        <f aca="false">SUMPRODUCT(P6:P13,N6:N13)</f>
        <v>30.7460761520484</v>
      </c>
      <c r="S6" s="276" t="n">
        <f aca="false">SUM(K6:K29)</f>
        <v>381.84657221989</v>
      </c>
      <c r="T6" s="276" t="n">
        <f aca="false">SUM(L6:L29)</f>
        <v>251.725022416315</v>
      </c>
      <c r="U6" s="276" t="n">
        <f aca="false">SUM(Q6:Q29)</f>
        <v>269.76929809021</v>
      </c>
      <c r="V6" s="276" t="n">
        <f aca="false">SUM(R6:R29)</f>
        <v>176.619805504059</v>
      </c>
      <c r="W6" s="277" t="n">
        <f aca="false">U6/S6</f>
        <v>0.706486106505785</v>
      </c>
    </row>
    <row r="7" s="182" customFormat="true" ht="9.75" hidden="false" customHeight="true" outlineLevel="0" collapsed="false">
      <c r="A7" s="27" t="str">
        <f aca="false">'Previsão de Cargas'!A7</f>
        <v>51 - TUE M2</v>
      </c>
      <c r="B7" s="71"/>
      <c r="C7" s="116" t="s">
        <v>81</v>
      </c>
      <c r="D7" s="175" t="n">
        <f aca="false">_Vnom</f>
        <v>380</v>
      </c>
      <c r="E7" s="176" t="n">
        <f aca="false">'Previsão de Cargas'!D7</f>
        <v>5</v>
      </c>
      <c r="F7" s="36" t="n">
        <f aca="false">'Previsão de Cargas'!I7</f>
        <v>4.16201117318436</v>
      </c>
      <c r="G7" s="177" t="n">
        <f aca="false">'Previsão de Cargas'!E7</f>
        <v>0.77</v>
      </c>
      <c r="H7" s="36" t="n">
        <f aca="false">'Previsão de Cargas'!K7</f>
        <v>3.4487607545548</v>
      </c>
      <c r="I7" s="36" t="n">
        <v>0.83</v>
      </c>
      <c r="J7" s="36" t="n">
        <f aca="false">'Previsão de Cargas'!H7*'Previsão de Cargas'!L7</f>
        <v>10.2654574128854</v>
      </c>
      <c r="K7" s="275"/>
      <c r="L7" s="275"/>
      <c r="M7" s="28"/>
      <c r="N7" s="116" t="n">
        <v>0.8</v>
      </c>
      <c r="O7" s="36" t="n">
        <f aca="false">F7*I7</f>
        <v>3.45446927374302</v>
      </c>
      <c r="P7" s="36" t="n">
        <f aca="false">H7*I7</f>
        <v>2.86247142628048</v>
      </c>
      <c r="Q7" s="275"/>
      <c r="R7" s="275"/>
      <c r="S7" s="276"/>
      <c r="T7" s="276"/>
      <c r="U7" s="276"/>
      <c r="V7" s="276"/>
      <c r="W7" s="277"/>
    </row>
    <row r="8" s="182" customFormat="true" ht="9.75" hidden="false" customHeight="true" outlineLevel="0" collapsed="false">
      <c r="A8" s="27" t="str">
        <f aca="false">'Previsão de Cargas'!A8</f>
        <v>52 - TUE M3</v>
      </c>
      <c r="B8" s="71"/>
      <c r="C8" s="116" t="s">
        <v>82</v>
      </c>
      <c r="D8" s="175" t="n">
        <f aca="false">_Vnom</f>
        <v>380</v>
      </c>
      <c r="E8" s="176" t="n">
        <f aca="false">'Previsão de Cargas'!D8</f>
        <v>5</v>
      </c>
      <c r="F8" s="36" t="n">
        <f aca="false">'Previsão de Cargas'!I8</f>
        <v>4.16201117318436</v>
      </c>
      <c r="G8" s="177" t="n">
        <f aca="false">'Previsão de Cargas'!E8</f>
        <v>0.77</v>
      </c>
      <c r="H8" s="36" t="n">
        <f aca="false">'Previsão de Cargas'!K8</f>
        <v>3.4487607545548</v>
      </c>
      <c r="I8" s="36" t="n">
        <v>0.83</v>
      </c>
      <c r="J8" s="36" t="n">
        <f aca="false">'Previsão de Cargas'!H8*'Previsão de Cargas'!L8</f>
        <v>10.2654574128854</v>
      </c>
      <c r="K8" s="275"/>
      <c r="L8" s="275"/>
      <c r="M8" s="28"/>
      <c r="N8" s="116" t="n">
        <v>0.8</v>
      </c>
      <c r="O8" s="36" t="n">
        <f aca="false">F8*I8</f>
        <v>3.45446927374302</v>
      </c>
      <c r="P8" s="36" t="n">
        <f aca="false">H8*I8</f>
        <v>2.86247142628048</v>
      </c>
      <c r="Q8" s="275"/>
      <c r="R8" s="275"/>
      <c r="S8" s="276"/>
      <c r="T8" s="276"/>
      <c r="U8" s="276"/>
      <c r="V8" s="276"/>
      <c r="W8" s="277"/>
    </row>
    <row r="9" s="182" customFormat="true" ht="9.75" hidden="false" customHeight="true" outlineLevel="0" collapsed="false">
      <c r="A9" s="27" t="str">
        <f aca="false">'Previsão de Cargas'!A9</f>
        <v>53 - TUE M4</v>
      </c>
      <c r="B9" s="71"/>
      <c r="C9" s="116" t="s">
        <v>83</v>
      </c>
      <c r="D9" s="278" t="n">
        <f aca="false">_Vnom</f>
        <v>380</v>
      </c>
      <c r="E9" s="176" t="n">
        <f aca="false">'Previsão de Cargas'!D9</f>
        <v>5</v>
      </c>
      <c r="F9" s="36" t="n">
        <f aca="false">'Previsão de Cargas'!I9</f>
        <v>4.16201117318436</v>
      </c>
      <c r="G9" s="177" t="n">
        <f aca="false">'Previsão de Cargas'!E9</f>
        <v>0.77</v>
      </c>
      <c r="H9" s="36" t="n">
        <f aca="false">'Previsão de Cargas'!K9</f>
        <v>3.4487607545548</v>
      </c>
      <c r="I9" s="36" t="n">
        <v>0.83</v>
      </c>
      <c r="J9" s="279" t="n">
        <f aca="false">'Previsão de Cargas'!H9*'Previsão de Cargas'!L9</f>
        <v>10.2654574128854</v>
      </c>
      <c r="K9" s="275"/>
      <c r="L9" s="275"/>
      <c r="M9" s="28"/>
      <c r="N9" s="116" t="n">
        <v>0.8</v>
      </c>
      <c r="O9" s="36" t="n">
        <f aca="false">F9*I9</f>
        <v>3.45446927374302</v>
      </c>
      <c r="P9" s="36" t="n">
        <f aca="false">H9*I9</f>
        <v>2.86247142628048</v>
      </c>
      <c r="Q9" s="275"/>
      <c r="R9" s="275"/>
      <c r="S9" s="276"/>
      <c r="T9" s="276"/>
      <c r="U9" s="276"/>
      <c r="V9" s="276"/>
      <c r="W9" s="277"/>
    </row>
    <row r="10" s="182" customFormat="true" ht="9.75" hidden="false" customHeight="true" outlineLevel="0" collapsed="false">
      <c r="A10" s="27" t="str">
        <f aca="false">'Previsão de Cargas'!A10</f>
        <v>54 - TUE M5</v>
      </c>
      <c r="B10" s="71"/>
      <c r="C10" s="116" t="s">
        <v>84</v>
      </c>
      <c r="D10" s="278" t="n">
        <f aca="false">_Vnom</f>
        <v>380</v>
      </c>
      <c r="E10" s="176" t="n">
        <f aca="false">'Previsão de Cargas'!D10</f>
        <v>15</v>
      </c>
      <c r="F10" s="36" t="n">
        <f aca="false">'Previsão de Cargas'!I10</f>
        <v>12.0941558441558</v>
      </c>
      <c r="G10" s="177" t="n">
        <f aca="false">'Previsão de Cargas'!E10</f>
        <v>0.83</v>
      </c>
      <c r="H10" s="36" t="n">
        <f aca="false">'Previsão de Cargas'!K10</f>
        <v>8.12732213401763</v>
      </c>
      <c r="I10" s="36" t="n">
        <v>0.83</v>
      </c>
      <c r="J10" s="279" t="n">
        <f aca="false">'Previsão de Cargas'!H10*'Previsão de Cargas'!L10</f>
        <v>27.6734469413628</v>
      </c>
      <c r="K10" s="275"/>
      <c r="L10" s="275"/>
      <c r="M10" s="28" t="n">
        <v>4</v>
      </c>
      <c r="N10" s="116" t="n">
        <v>0.8</v>
      </c>
      <c r="O10" s="36" t="n">
        <f aca="false">F10*I10</f>
        <v>10.0381493506494</v>
      </c>
      <c r="P10" s="36" t="n">
        <f aca="false">H10*I10</f>
        <v>6.74567737123463</v>
      </c>
      <c r="Q10" s="275"/>
      <c r="R10" s="275"/>
      <c r="S10" s="276"/>
      <c r="T10" s="276"/>
      <c r="U10" s="276"/>
      <c r="V10" s="276"/>
      <c r="W10" s="277"/>
    </row>
    <row r="11" s="182" customFormat="true" ht="9.75" hidden="false" customHeight="true" outlineLevel="0" collapsed="false">
      <c r="A11" s="27" t="str">
        <f aca="false">'Previsão de Cargas'!A11</f>
        <v>55 - TUE M6</v>
      </c>
      <c r="B11" s="71"/>
      <c r="C11" s="116" t="s">
        <v>85</v>
      </c>
      <c r="D11" s="278" t="n">
        <f aca="false">_Vnom</f>
        <v>380</v>
      </c>
      <c r="E11" s="176" t="n">
        <f aca="false">'Previsão de Cargas'!D11</f>
        <v>15</v>
      </c>
      <c r="F11" s="36" t="n">
        <f aca="false">'Previsão de Cargas'!I11</f>
        <v>12.0941558441558</v>
      </c>
      <c r="G11" s="177" t="n">
        <f aca="false">'Previsão de Cargas'!E11</f>
        <v>0.83</v>
      </c>
      <c r="H11" s="36" t="n">
        <f aca="false">'Previsão de Cargas'!K11</f>
        <v>8.12732213401763</v>
      </c>
      <c r="I11" s="36" t="n">
        <v>0.83</v>
      </c>
      <c r="J11" s="279" t="n">
        <f aca="false">'Previsão de Cargas'!H11*'Previsão de Cargas'!L11</f>
        <v>27.6734469413628</v>
      </c>
      <c r="K11" s="275"/>
      <c r="L11" s="275"/>
      <c r="M11" s="28"/>
      <c r="N11" s="116" t="n">
        <v>0.8</v>
      </c>
      <c r="O11" s="36" t="n">
        <f aca="false">F11*I11</f>
        <v>10.0381493506494</v>
      </c>
      <c r="P11" s="36" t="n">
        <f aca="false">H11*I11</f>
        <v>6.74567737123463</v>
      </c>
      <c r="Q11" s="275"/>
      <c r="R11" s="275"/>
      <c r="S11" s="276"/>
      <c r="T11" s="276"/>
      <c r="U11" s="276"/>
      <c r="V11" s="276"/>
      <c r="W11" s="277"/>
    </row>
    <row r="12" s="182" customFormat="true" ht="9.75" hidden="false" customHeight="true" outlineLevel="0" collapsed="false">
      <c r="A12" s="27" t="str">
        <f aca="false">'Previsão de Cargas'!A12</f>
        <v>56 - TUE M7</v>
      </c>
      <c r="B12" s="71"/>
      <c r="C12" s="116" t="s">
        <v>86</v>
      </c>
      <c r="D12" s="278" t="n">
        <f aca="false">_Vnom</f>
        <v>380</v>
      </c>
      <c r="E12" s="176" t="n">
        <f aca="false">'Previsão de Cargas'!D12</f>
        <v>15</v>
      </c>
      <c r="F12" s="36" t="n">
        <f aca="false">'Previsão de Cargas'!I12</f>
        <v>12.0941558441558</v>
      </c>
      <c r="G12" s="177" t="n">
        <f aca="false">'Previsão de Cargas'!E12</f>
        <v>0.83</v>
      </c>
      <c r="H12" s="36" t="n">
        <f aca="false">'Previsão de Cargas'!K12</f>
        <v>8.12732213401763</v>
      </c>
      <c r="I12" s="36" t="n">
        <v>0.83</v>
      </c>
      <c r="J12" s="279" t="n">
        <f aca="false">'Previsão de Cargas'!H12*'Previsão de Cargas'!L12</f>
        <v>27.6734469413628</v>
      </c>
      <c r="K12" s="275"/>
      <c r="L12" s="275"/>
      <c r="M12" s="28"/>
      <c r="N12" s="116" t="n">
        <v>0.8</v>
      </c>
      <c r="O12" s="36" t="n">
        <f aca="false">F12*I12</f>
        <v>10.0381493506494</v>
      </c>
      <c r="P12" s="36" t="n">
        <f aca="false">H12*I12</f>
        <v>6.74567737123463</v>
      </c>
      <c r="Q12" s="275"/>
      <c r="R12" s="275"/>
      <c r="S12" s="276"/>
      <c r="T12" s="276"/>
      <c r="U12" s="276"/>
      <c r="V12" s="276"/>
      <c r="W12" s="277"/>
    </row>
    <row r="13" s="182" customFormat="true" ht="9.75" hidden="false" customHeight="true" outlineLevel="0" collapsed="false">
      <c r="A13" s="27" t="str">
        <f aca="false">'Previsão de Cargas'!A13</f>
        <v>57 - TUE M8</v>
      </c>
      <c r="B13" s="71"/>
      <c r="C13" s="116" t="s">
        <v>87</v>
      </c>
      <c r="D13" s="278" t="n">
        <f aca="false">_Vnom</f>
        <v>380</v>
      </c>
      <c r="E13" s="176" t="n">
        <f aca="false">'Previsão de Cargas'!D13</f>
        <v>15</v>
      </c>
      <c r="F13" s="36" t="n">
        <f aca="false">'Previsão de Cargas'!I13</f>
        <v>12.0941558441558</v>
      </c>
      <c r="G13" s="177" t="n">
        <f aca="false">'Previsão de Cargas'!E13</f>
        <v>0.83</v>
      </c>
      <c r="H13" s="36" t="n">
        <f aca="false">'Previsão de Cargas'!K13</f>
        <v>8.12732213401763</v>
      </c>
      <c r="I13" s="36" t="n">
        <v>0.83</v>
      </c>
      <c r="J13" s="279" t="n">
        <f aca="false">'Previsão de Cargas'!H13*'Previsão de Cargas'!L13</f>
        <v>27.6734469413628</v>
      </c>
      <c r="K13" s="275"/>
      <c r="L13" s="275"/>
      <c r="M13" s="28"/>
      <c r="N13" s="116" t="n">
        <v>0.8</v>
      </c>
      <c r="O13" s="36" t="n">
        <f aca="false">F13*I13</f>
        <v>10.0381493506494</v>
      </c>
      <c r="P13" s="36" t="n">
        <f aca="false">H13*I13</f>
        <v>6.74567737123463</v>
      </c>
      <c r="Q13" s="275"/>
      <c r="R13" s="275"/>
      <c r="S13" s="276"/>
      <c r="T13" s="276"/>
      <c r="U13" s="276"/>
      <c r="V13" s="276"/>
      <c r="W13" s="277"/>
    </row>
    <row r="14" s="182" customFormat="true" ht="9.75" hidden="false" customHeight="true" outlineLevel="0" collapsed="false">
      <c r="A14" s="27" t="str">
        <f aca="false">'Previsão de Cargas'!A14</f>
        <v>58 - TUE M9</v>
      </c>
      <c r="B14" s="71" t="str">
        <f aca="false">'Previsão de Cargas'!B14</f>
        <v>CCM2</v>
      </c>
      <c r="C14" s="116" t="s">
        <v>88</v>
      </c>
      <c r="D14" s="278" t="n">
        <f aca="false">_Vnom</f>
        <v>380</v>
      </c>
      <c r="E14" s="176" t="n">
        <f aca="false">'Previsão de Cargas'!D14</f>
        <v>10</v>
      </c>
      <c r="F14" s="36" t="n">
        <f aca="false">'Previsão de Cargas'!I14</f>
        <v>8.09782608695652</v>
      </c>
      <c r="G14" s="177" t="n">
        <f aca="false">'Previsão de Cargas'!E14</f>
        <v>0.84</v>
      </c>
      <c r="H14" s="36" t="n">
        <f aca="false">'Previsão de Cargas'!K14</f>
        <v>5.23067892073326</v>
      </c>
      <c r="I14" s="36" t="n">
        <v>0.83</v>
      </c>
      <c r="J14" s="279" t="n">
        <f aca="false">'Previsão de Cargas'!H14*'Previsão de Cargas'!L14</f>
        <v>18.3085920706263</v>
      </c>
      <c r="K14" s="275" t="n">
        <f aca="false">SUM(F14:F19)</f>
        <v>79.9444958371878</v>
      </c>
      <c r="L14" s="275" t="n">
        <f aca="false">SUM(H14:H19)</f>
        <v>55.3506319918056</v>
      </c>
      <c r="M14" s="116" t="n">
        <v>4</v>
      </c>
      <c r="N14" s="116" t="n">
        <v>0.8</v>
      </c>
      <c r="O14" s="36" t="n">
        <f aca="false">F14*I14</f>
        <v>6.72119565217391</v>
      </c>
      <c r="P14" s="36" t="n">
        <f aca="false">H14*I14</f>
        <v>4.3414635042086</v>
      </c>
      <c r="Q14" s="275" t="n">
        <f aca="false">SUMPRODUCT(O14:O19,N14:N19)</f>
        <v>53.8439962997225</v>
      </c>
      <c r="R14" s="275" t="n">
        <f aca="false">SUMPRODUCT(P14:P19,N14:N19)</f>
        <v>37.3036663035009</v>
      </c>
      <c r="S14" s="276"/>
      <c r="T14" s="276"/>
      <c r="U14" s="276"/>
      <c r="V14" s="276"/>
      <c r="W14" s="277"/>
    </row>
    <row r="15" s="182" customFormat="true" ht="9.75" hidden="false" customHeight="true" outlineLevel="0" collapsed="false">
      <c r="A15" s="27" t="str">
        <f aca="false">'Previsão de Cargas'!A15</f>
        <v>59 - TUE M10</v>
      </c>
      <c r="B15" s="71"/>
      <c r="C15" s="116" t="s">
        <v>89</v>
      </c>
      <c r="D15" s="278" t="n">
        <f aca="false">_Vnom</f>
        <v>380</v>
      </c>
      <c r="E15" s="176" t="n">
        <f aca="false">'Previsão de Cargas'!D15</f>
        <v>10</v>
      </c>
      <c r="F15" s="36" t="n">
        <f aca="false">'Previsão de Cargas'!I15</f>
        <v>8.09782608695652</v>
      </c>
      <c r="G15" s="177" t="n">
        <f aca="false">'Previsão de Cargas'!E15</f>
        <v>0.84</v>
      </c>
      <c r="H15" s="36" t="n">
        <f aca="false">'Previsão de Cargas'!K15</f>
        <v>5.23067892073326</v>
      </c>
      <c r="I15" s="36" t="n">
        <v>0.83</v>
      </c>
      <c r="J15" s="279" t="n">
        <f aca="false">'Previsão de Cargas'!H15*'Previsão de Cargas'!L15</f>
        <v>18.3085920706263</v>
      </c>
      <c r="K15" s="275"/>
      <c r="L15" s="275"/>
      <c r="M15" s="116"/>
      <c r="N15" s="116" t="n">
        <v>0.8</v>
      </c>
      <c r="O15" s="36" t="n">
        <f aca="false">F15*I15</f>
        <v>6.72119565217391</v>
      </c>
      <c r="P15" s="36" t="n">
        <f aca="false">H15*I15</f>
        <v>4.3414635042086</v>
      </c>
      <c r="Q15" s="275"/>
      <c r="R15" s="275"/>
      <c r="S15" s="276"/>
      <c r="T15" s="276"/>
      <c r="U15" s="276"/>
      <c r="V15" s="276"/>
      <c r="W15" s="277"/>
    </row>
    <row r="16" s="182" customFormat="true" ht="9.75" hidden="false" customHeight="true" outlineLevel="0" collapsed="false">
      <c r="A16" s="27" t="str">
        <f aca="false">'Previsão de Cargas'!A16</f>
        <v>60 - TUE M11</v>
      </c>
      <c r="B16" s="71"/>
      <c r="C16" s="116" t="s">
        <v>90</v>
      </c>
      <c r="D16" s="278" t="n">
        <f aca="false">_Vnom</f>
        <v>380</v>
      </c>
      <c r="E16" s="176" t="n">
        <f aca="false">'Previsão de Cargas'!D16</f>
        <v>10</v>
      </c>
      <c r="F16" s="36" t="n">
        <f aca="false">'Previsão de Cargas'!I16</f>
        <v>8.09782608695652</v>
      </c>
      <c r="G16" s="177" t="n">
        <f aca="false">'Previsão de Cargas'!E16</f>
        <v>0.84</v>
      </c>
      <c r="H16" s="36" t="n">
        <f aca="false">'Previsão de Cargas'!K16</f>
        <v>5.23067892073326</v>
      </c>
      <c r="I16" s="36" t="n">
        <v>0.83</v>
      </c>
      <c r="J16" s="279" t="n">
        <f aca="false">'Previsão de Cargas'!H16*'Previsão de Cargas'!L16</f>
        <v>18.3085920706263</v>
      </c>
      <c r="K16" s="275"/>
      <c r="L16" s="275"/>
      <c r="M16" s="116"/>
      <c r="N16" s="116" t="n">
        <v>0.8</v>
      </c>
      <c r="O16" s="36" t="n">
        <f aca="false">F16*I16</f>
        <v>6.72119565217391</v>
      </c>
      <c r="P16" s="36" t="n">
        <f aca="false">H16*I16</f>
        <v>4.3414635042086</v>
      </c>
      <c r="Q16" s="275"/>
      <c r="R16" s="275"/>
      <c r="S16" s="276"/>
      <c r="T16" s="276"/>
      <c r="U16" s="276"/>
      <c r="V16" s="276"/>
      <c r="W16" s="277"/>
    </row>
    <row r="17" s="182" customFormat="true" ht="9.75" hidden="false" customHeight="true" outlineLevel="0" collapsed="false">
      <c r="A17" s="27" t="str">
        <f aca="false">'Previsão de Cargas'!A17</f>
        <v>61 - TUE M12</v>
      </c>
      <c r="B17" s="71"/>
      <c r="C17" s="116" t="s">
        <v>91</v>
      </c>
      <c r="D17" s="278" t="n">
        <f aca="false">_Vnom</f>
        <v>380</v>
      </c>
      <c r="E17" s="176" t="n">
        <f aca="false">'Previsão de Cargas'!D17</f>
        <v>10</v>
      </c>
      <c r="F17" s="36" t="n">
        <f aca="false">'Previsão de Cargas'!I17</f>
        <v>8.09782608695652</v>
      </c>
      <c r="G17" s="177" t="n">
        <f aca="false">'Previsão de Cargas'!E17</f>
        <v>0.84</v>
      </c>
      <c r="H17" s="36" t="n">
        <f aca="false">'Previsão de Cargas'!K17</f>
        <v>5.23067892073326</v>
      </c>
      <c r="I17" s="36" t="n">
        <v>0.83</v>
      </c>
      <c r="J17" s="279" t="n">
        <f aca="false">'Previsão de Cargas'!H17*'Previsão de Cargas'!L17</f>
        <v>18.3085920706263</v>
      </c>
      <c r="K17" s="275"/>
      <c r="L17" s="275"/>
      <c r="M17" s="116"/>
      <c r="N17" s="116" t="n">
        <v>0.8</v>
      </c>
      <c r="O17" s="36" t="n">
        <f aca="false">F17*I17</f>
        <v>6.72119565217391</v>
      </c>
      <c r="P17" s="36" t="n">
        <f aca="false">H17*I17</f>
        <v>4.3414635042086</v>
      </c>
      <c r="Q17" s="275"/>
      <c r="R17" s="275"/>
      <c r="S17" s="276"/>
      <c r="T17" s="276"/>
      <c r="U17" s="276"/>
      <c r="V17" s="276"/>
      <c r="W17" s="277"/>
    </row>
    <row r="18" s="182" customFormat="true" ht="9.75" hidden="false" customHeight="true" outlineLevel="0" collapsed="false">
      <c r="A18" s="27" t="str">
        <f aca="false">'Previsão de Cargas'!A18</f>
        <v>62 - TUE M13</v>
      </c>
      <c r="B18" s="71"/>
      <c r="C18" s="116" t="s">
        <v>92</v>
      </c>
      <c r="D18" s="278" t="n">
        <f aca="false">_Vnom</f>
        <v>380</v>
      </c>
      <c r="E18" s="176" t="n">
        <f aca="false">'Previsão de Cargas'!D18</f>
        <v>30</v>
      </c>
      <c r="F18" s="36" t="n">
        <f aca="false">'Previsão de Cargas'!I18</f>
        <v>23.7765957446809</v>
      </c>
      <c r="G18" s="177" t="n">
        <f aca="false">'Previsão de Cargas'!E18</f>
        <v>0.81</v>
      </c>
      <c r="H18" s="36" t="n">
        <f aca="false">'Previsão de Cargas'!K18</f>
        <v>17.2139581544363</v>
      </c>
      <c r="I18" s="36" t="n">
        <v>0.85</v>
      </c>
      <c r="J18" s="279" t="n">
        <f aca="false">'Previsão de Cargas'!H18*'Previsão de Cargas'!L18</f>
        <v>55.748147959732</v>
      </c>
      <c r="K18" s="275"/>
      <c r="L18" s="275"/>
      <c r="M18" s="116" t="n">
        <v>2</v>
      </c>
      <c r="N18" s="116" t="n">
        <v>0.8</v>
      </c>
      <c r="O18" s="36" t="n">
        <f aca="false">F18*I18</f>
        <v>20.2101063829787</v>
      </c>
      <c r="P18" s="36" t="n">
        <f aca="false">H18*I18</f>
        <v>14.6318644312709</v>
      </c>
      <c r="Q18" s="275"/>
      <c r="R18" s="275"/>
      <c r="S18" s="276"/>
      <c r="T18" s="276"/>
      <c r="U18" s="276"/>
      <c r="V18" s="276"/>
      <c r="W18" s="277"/>
    </row>
    <row r="19" s="182" customFormat="true" ht="9.75" hidden="false" customHeight="true" outlineLevel="0" collapsed="false">
      <c r="A19" s="27" t="str">
        <f aca="false">'Previsão de Cargas'!A19</f>
        <v>63 - TUE M14</v>
      </c>
      <c r="B19" s="71"/>
      <c r="C19" s="116" t="s">
        <v>93</v>
      </c>
      <c r="D19" s="278" t="n">
        <f aca="false">_Vnom</f>
        <v>380</v>
      </c>
      <c r="E19" s="176" t="n">
        <f aca="false">'Previsão de Cargas'!D19</f>
        <v>30</v>
      </c>
      <c r="F19" s="36" t="n">
        <f aca="false">'Previsão de Cargas'!I19</f>
        <v>23.7765957446809</v>
      </c>
      <c r="G19" s="177" t="n">
        <f aca="false">'Previsão de Cargas'!E19</f>
        <v>0.81</v>
      </c>
      <c r="H19" s="36" t="n">
        <f aca="false">'Previsão de Cargas'!K19</f>
        <v>17.2139581544363</v>
      </c>
      <c r="I19" s="36" t="n">
        <v>0.85</v>
      </c>
      <c r="J19" s="280" t="n">
        <f aca="false">'Previsão de Cargas'!H19*'Previsão de Cargas'!L19</f>
        <v>55.748147959732</v>
      </c>
      <c r="K19" s="275"/>
      <c r="L19" s="275"/>
      <c r="M19" s="116"/>
      <c r="N19" s="116" t="n">
        <v>0.8</v>
      </c>
      <c r="O19" s="36" t="n">
        <f aca="false">F19*I19</f>
        <v>20.2101063829787</v>
      </c>
      <c r="P19" s="36" t="n">
        <f aca="false">H19*I19</f>
        <v>14.6318644312709</v>
      </c>
      <c r="Q19" s="275"/>
      <c r="R19" s="275"/>
      <c r="S19" s="276"/>
      <c r="T19" s="276"/>
      <c r="U19" s="276"/>
      <c r="V19" s="276"/>
      <c r="W19" s="277"/>
    </row>
    <row r="20" s="182" customFormat="true" ht="9.75" hidden="false" customHeight="true" outlineLevel="0" collapsed="false">
      <c r="A20" s="27" t="str">
        <f aca="false">'Previsão de Cargas'!A20</f>
        <v>64 - TUE M15</v>
      </c>
      <c r="B20" s="71" t="str">
        <f aca="false">'Previsão de Cargas'!B20</f>
        <v>CCM3</v>
      </c>
      <c r="C20" s="116" t="s">
        <v>94</v>
      </c>
      <c r="D20" s="278" t="n">
        <f aca="false">_Vnom</f>
        <v>380</v>
      </c>
      <c r="E20" s="176" t="n">
        <f aca="false">'Previsão de Cargas'!D20</f>
        <v>7.5</v>
      </c>
      <c r="F20" s="36" t="n">
        <f aca="false">'Previsão de Cargas'!I20</f>
        <v>6.14010989010989</v>
      </c>
      <c r="G20" s="177" t="n">
        <f aca="false">'Previsão de Cargas'!E20</f>
        <v>0.78</v>
      </c>
      <c r="H20" s="36" t="n">
        <f aca="false">'Previsão de Cargas'!K20</f>
        <v>4.92609613108018</v>
      </c>
      <c r="I20" s="36" t="n">
        <v>0.83</v>
      </c>
      <c r="J20" s="280" t="n">
        <f aca="false">'Previsão de Cargas'!H20*'Previsão de Cargas'!L20</f>
        <v>14.9502112766061</v>
      </c>
      <c r="K20" s="275" t="n">
        <f aca="false">SUM(F20:F27)</f>
        <v>119.739043533467</v>
      </c>
      <c r="L20" s="275" t="n">
        <f aca="false">SUM(H20:H27)</f>
        <v>83.684688295958</v>
      </c>
      <c r="M20" s="116" t="n">
        <v>4</v>
      </c>
      <c r="N20" s="116" t="n">
        <v>0.8</v>
      </c>
      <c r="O20" s="36" t="n">
        <f aca="false">F20*I20</f>
        <v>5.09629120879121</v>
      </c>
      <c r="P20" s="36" t="n">
        <f aca="false">H20*I20</f>
        <v>4.08865978879655</v>
      </c>
      <c r="Q20" s="275" t="n">
        <f aca="false">SUMPRODUCT(O20:O27,N20:N27)</f>
        <v>81.0295825697903</v>
      </c>
      <c r="R20" s="275" t="n">
        <f aca="false">SUMPRODUCT(P20:P27,N20:N27)</f>
        <v>56.5903178888623</v>
      </c>
      <c r="S20" s="276"/>
      <c r="T20" s="276"/>
      <c r="U20" s="276"/>
      <c r="V20" s="276"/>
      <c r="W20" s="277"/>
    </row>
    <row r="21" s="182" customFormat="true" ht="9.75" hidden="false" customHeight="true" outlineLevel="0" collapsed="false">
      <c r="A21" s="27" t="str">
        <f aca="false">'Previsão de Cargas'!A21</f>
        <v>65 - TUE M16</v>
      </c>
      <c r="B21" s="71"/>
      <c r="C21" s="116" t="s">
        <v>95</v>
      </c>
      <c r="D21" s="278" t="n">
        <f aca="false">_Vnom</f>
        <v>380</v>
      </c>
      <c r="E21" s="176" t="n">
        <f aca="false">'Previsão de Cargas'!D21</f>
        <v>7.5</v>
      </c>
      <c r="F21" s="36" t="n">
        <f aca="false">'Previsão de Cargas'!I21</f>
        <v>6.14010989010989</v>
      </c>
      <c r="G21" s="177" t="n">
        <f aca="false">'Previsão de Cargas'!E21</f>
        <v>0.78</v>
      </c>
      <c r="H21" s="36" t="n">
        <f aca="false">'Previsão de Cargas'!K21</f>
        <v>4.92609613108018</v>
      </c>
      <c r="I21" s="36" t="n">
        <v>0.83</v>
      </c>
      <c r="J21" s="280" t="n">
        <f aca="false">'Previsão de Cargas'!H21*'Previsão de Cargas'!L21</f>
        <v>14.9502112766061</v>
      </c>
      <c r="K21" s="275"/>
      <c r="L21" s="275"/>
      <c r="M21" s="116"/>
      <c r="N21" s="116" t="n">
        <v>0.8</v>
      </c>
      <c r="O21" s="36" t="n">
        <f aca="false">F21*I21</f>
        <v>5.09629120879121</v>
      </c>
      <c r="P21" s="36" t="n">
        <f aca="false">H21*I21</f>
        <v>4.08865978879655</v>
      </c>
      <c r="Q21" s="275"/>
      <c r="R21" s="275"/>
      <c r="S21" s="276"/>
      <c r="T21" s="276"/>
      <c r="U21" s="276"/>
      <c r="V21" s="276"/>
      <c r="W21" s="277"/>
    </row>
    <row r="22" s="182" customFormat="true" ht="9.75" hidden="false" customHeight="true" outlineLevel="0" collapsed="false">
      <c r="A22" s="27" t="str">
        <f aca="false">'Previsão de Cargas'!A22</f>
        <v>66 - TUE M17</v>
      </c>
      <c r="B22" s="71"/>
      <c r="C22" s="116" t="s">
        <v>96</v>
      </c>
      <c r="D22" s="278" t="n">
        <f aca="false">_Vnom</f>
        <v>380</v>
      </c>
      <c r="E22" s="176" t="n">
        <f aca="false">'Previsão de Cargas'!D22</f>
        <v>7.5</v>
      </c>
      <c r="F22" s="36" t="n">
        <f aca="false">'Previsão de Cargas'!I22</f>
        <v>6.14010989010989</v>
      </c>
      <c r="G22" s="177" t="n">
        <f aca="false">'Previsão de Cargas'!E22</f>
        <v>0.78</v>
      </c>
      <c r="H22" s="36" t="n">
        <f aca="false">'Previsão de Cargas'!K22</f>
        <v>4.92609613108018</v>
      </c>
      <c r="I22" s="36" t="n">
        <v>0.83</v>
      </c>
      <c r="J22" s="280" t="n">
        <f aca="false">'Previsão de Cargas'!H22*'Previsão de Cargas'!L22</f>
        <v>14.9502112766061</v>
      </c>
      <c r="K22" s="275"/>
      <c r="L22" s="275"/>
      <c r="M22" s="116"/>
      <c r="N22" s="116" t="n">
        <v>0.8</v>
      </c>
      <c r="O22" s="36" t="n">
        <f aca="false">F22*I22</f>
        <v>5.09629120879121</v>
      </c>
      <c r="P22" s="36" t="n">
        <f aca="false">H22*I22</f>
        <v>4.08865978879655</v>
      </c>
      <c r="Q22" s="275"/>
      <c r="R22" s="275"/>
      <c r="S22" s="276"/>
      <c r="T22" s="276"/>
      <c r="U22" s="276"/>
      <c r="V22" s="276"/>
      <c r="W22" s="277"/>
    </row>
    <row r="23" s="182" customFormat="true" ht="9.75" hidden="false" customHeight="true" outlineLevel="0" collapsed="false">
      <c r="A23" s="27" t="str">
        <f aca="false">'Previsão de Cargas'!A23</f>
        <v>67 - TUE M18</v>
      </c>
      <c r="B23" s="71"/>
      <c r="C23" s="116" t="s">
        <v>97</v>
      </c>
      <c r="D23" s="278" t="n">
        <f aca="false">_Vnom</f>
        <v>380</v>
      </c>
      <c r="E23" s="176" t="n">
        <f aca="false">'Previsão de Cargas'!D23</f>
        <v>7.5</v>
      </c>
      <c r="F23" s="36" t="n">
        <f aca="false">'Previsão de Cargas'!I23</f>
        <v>6.14010989010989</v>
      </c>
      <c r="G23" s="177" t="n">
        <f aca="false">'Previsão de Cargas'!E23</f>
        <v>0.78</v>
      </c>
      <c r="H23" s="36" t="n">
        <f aca="false">'Previsão de Cargas'!K23</f>
        <v>4.92609613108018</v>
      </c>
      <c r="I23" s="36" t="n">
        <v>0.83</v>
      </c>
      <c r="J23" s="280" t="n">
        <f aca="false">'Previsão de Cargas'!H23*'Previsão de Cargas'!L23</f>
        <v>14.9502112766061</v>
      </c>
      <c r="K23" s="275"/>
      <c r="L23" s="275"/>
      <c r="M23" s="116"/>
      <c r="N23" s="116" t="n">
        <v>0.8</v>
      </c>
      <c r="O23" s="36" t="n">
        <f aca="false">F23*I23</f>
        <v>5.09629120879121</v>
      </c>
      <c r="P23" s="36" t="n">
        <f aca="false">H23*I23</f>
        <v>4.08865978879655</v>
      </c>
      <c r="Q23" s="275"/>
      <c r="R23" s="275"/>
      <c r="S23" s="276"/>
      <c r="T23" s="276"/>
      <c r="U23" s="276"/>
      <c r="V23" s="276"/>
      <c r="W23" s="277"/>
    </row>
    <row r="24" s="182" customFormat="true" ht="9.75" hidden="false" customHeight="true" outlineLevel="0" collapsed="false">
      <c r="A24" s="27" t="str">
        <f aca="false">'Previsão de Cargas'!A24</f>
        <v>68 - TUE M19</v>
      </c>
      <c r="B24" s="71"/>
      <c r="C24" s="116" t="s">
        <v>98</v>
      </c>
      <c r="D24" s="278" t="n">
        <f aca="false">_Vnom</f>
        <v>380</v>
      </c>
      <c r="E24" s="176" t="n">
        <f aca="false">'Previsão de Cargas'!D24</f>
        <v>20</v>
      </c>
      <c r="F24" s="36" t="n">
        <f aca="false">'Previsão de Cargas'!I24</f>
        <v>16.0215053763441</v>
      </c>
      <c r="G24" s="177" t="n">
        <f aca="false">'Previsão de Cargas'!E24</f>
        <v>0.81</v>
      </c>
      <c r="H24" s="36" t="n">
        <f aca="false">'Previsão de Cargas'!K24</f>
        <v>11.5993696524517</v>
      </c>
      <c r="I24" s="36" t="n">
        <v>0.85</v>
      </c>
      <c r="J24" s="280" t="n">
        <f aca="false">'Previsão de Cargas'!H24*'Previsão de Cargas'!L24</f>
        <v>37.5650602739413</v>
      </c>
      <c r="K24" s="275"/>
      <c r="L24" s="275"/>
      <c r="M24" s="116" t="n">
        <v>2</v>
      </c>
      <c r="N24" s="116" t="n">
        <v>0.8</v>
      </c>
      <c r="O24" s="36" t="n">
        <f aca="false">F24*I24</f>
        <v>13.6182795698925</v>
      </c>
      <c r="P24" s="36" t="n">
        <f aca="false">H24*I24</f>
        <v>9.85946420458394</v>
      </c>
      <c r="Q24" s="275"/>
      <c r="R24" s="275"/>
      <c r="S24" s="276"/>
      <c r="T24" s="276"/>
      <c r="U24" s="276"/>
      <c r="V24" s="276"/>
      <c r="W24" s="277"/>
    </row>
    <row r="25" s="182" customFormat="true" ht="9.75" hidden="false" customHeight="true" outlineLevel="0" collapsed="false">
      <c r="A25" s="27" t="str">
        <f aca="false">'Previsão de Cargas'!A25</f>
        <v>69 - TUE M20</v>
      </c>
      <c r="B25" s="71"/>
      <c r="C25" s="116" t="s">
        <v>99</v>
      </c>
      <c r="D25" s="278" t="n">
        <f aca="false">_Vnom</f>
        <v>380</v>
      </c>
      <c r="E25" s="176" t="n">
        <f aca="false">'Previsão de Cargas'!D25</f>
        <v>20</v>
      </c>
      <c r="F25" s="36" t="n">
        <f aca="false">'Previsão de Cargas'!I25</f>
        <v>16.0215053763441</v>
      </c>
      <c r="G25" s="177" t="n">
        <f aca="false">'Previsão de Cargas'!E25</f>
        <v>0.81</v>
      </c>
      <c r="H25" s="36" t="n">
        <f aca="false">'Previsão de Cargas'!K25</f>
        <v>11.5993696524517</v>
      </c>
      <c r="I25" s="36" t="n">
        <v>0.85</v>
      </c>
      <c r="J25" s="280" t="n">
        <f aca="false">'Previsão de Cargas'!H25*'Previsão de Cargas'!L25</f>
        <v>37.5650602739413</v>
      </c>
      <c r="K25" s="275"/>
      <c r="L25" s="275"/>
      <c r="M25" s="116"/>
      <c r="N25" s="116" t="n">
        <v>0.8</v>
      </c>
      <c r="O25" s="36" t="n">
        <f aca="false">F25*I25</f>
        <v>13.6182795698925</v>
      </c>
      <c r="P25" s="36" t="n">
        <f aca="false">H25*I25</f>
        <v>9.85946420458394</v>
      </c>
      <c r="Q25" s="275"/>
      <c r="R25" s="275"/>
      <c r="S25" s="276"/>
      <c r="T25" s="276"/>
      <c r="U25" s="276"/>
      <c r="V25" s="276"/>
      <c r="W25" s="277"/>
    </row>
    <row r="26" s="182" customFormat="true" ht="9.75" hidden="false" customHeight="true" outlineLevel="0" collapsed="false">
      <c r="A26" s="27" t="str">
        <f aca="false">'Previsão de Cargas'!A26</f>
        <v>70 - TUE M21</v>
      </c>
      <c r="B26" s="71"/>
      <c r="C26" s="116" t="s">
        <v>100</v>
      </c>
      <c r="D26" s="278" t="n">
        <f aca="false">_Vnom</f>
        <v>380</v>
      </c>
      <c r="E26" s="176" t="n">
        <f aca="false">'Previsão de Cargas'!D26</f>
        <v>40</v>
      </c>
      <c r="F26" s="36" t="n">
        <f aca="false">'Previsão de Cargas'!I26</f>
        <v>31.5677966101695</v>
      </c>
      <c r="G26" s="177" t="n">
        <f aca="false">'Previsão de Cargas'!E26</f>
        <v>0.84</v>
      </c>
      <c r="H26" s="36" t="n">
        <f aca="false">'Previsão de Cargas'!K26</f>
        <v>20.3907822333669</v>
      </c>
      <c r="I26" s="36" t="n">
        <v>0.85</v>
      </c>
      <c r="J26" s="280" t="n">
        <f aca="false">'Previsão de Cargas'!H26*'Previsão de Cargas'!L26</f>
        <v>71.3724775634583</v>
      </c>
      <c r="K26" s="275"/>
      <c r="L26" s="275"/>
      <c r="M26" s="116" t="n">
        <v>2</v>
      </c>
      <c r="N26" s="116" t="n">
        <v>0.8</v>
      </c>
      <c r="O26" s="36" t="n">
        <f aca="false">F26*I26</f>
        <v>26.8326271186441</v>
      </c>
      <c r="P26" s="36" t="n">
        <f aca="false">H26*I26</f>
        <v>17.3321648983619</v>
      </c>
      <c r="Q26" s="275"/>
      <c r="R26" s="275"/>
      <c r="S26" s="276"/>
      <c r="T26" s="276"/>
      <c r="U26" s="276"/>
      <c r="V26" s="276"/>
      <c r="W26" s="277"/>
    </row>
    <row r="27" s="182" customFormat="true" ht="9.75" hidden="false" customHeight="true" outlineLevel="0" collapsed="false">
      <c r="A27" s="27" t="str">
        <f aca="false">'Previsão de Cargas'!A27</f>
        <v>71 - TUE M22</v>
      </c>
      <c r="B27" s="71"/>
      <c r="C27" s="116" t="s">
        <v>101</v>
      </c>
      <c r="D27" s="278" t="n">
        <f aca="false">_Vnom</f>
        <v>380</v>
      </c>
      <c r="E27" s="176" t="n">
        <f aca="false">'Previsão de Cargas'!D27</f>
        <v>40</v>
      </c>
      <c r="F27" s="36" t="n">
        <f aca="false">'Previsão de Cargas'!I27</f>
        <v>31.5677966101695</v>
      </c>
      <c r="G27" s="177" t="n">
        <f aca="false">'Previsão de Cargas'!E27</f>
        <v>0.84</v>
      </c>
      <c r="H27" s="36" t="n">
        <f aca="false">'Previsão de Cargas'!K27</f>
        <v>20.3907822333669</v>
      </c>
      <c r="I27" s="36" t="n">
        <v>0.85</v>
      </c>
      <c r="J27" s="280" t="n">
        <f aca="false">'Previsão de Cargas'!H27*'Previsão de Cargas'!L27</f>
        <v>71.3724775634583</v>
      </c>
      <c r="K27" s="275"/>
      <c r="L27" s="275"/>
      <c r="M27" s="116"/>
      <c r="N27" s="116" t="n">
        <v>0.8</v>
      </c>
      <c r="O27" s="36" t="n">
        <f aca="false">F27*I27</f>
        <v>26.8326271186441</v>
      </c>
      <c r="P27" s="36" t="n">
        <f aca="false">H27*I27</f>
        <v>17.3321648983619</v>
      </c>
      <c r="Q27" s="275"/>
      <c r="R27" s="275"/>
      <c r="S27" s="276"/>
      <c r="T27" s="276"/>
      <c r="U27" s="276"/>
      <c r="V27" s="276"/>
      <c r="W27" s="277"/>
    </row>
    <row r="28" s="182" customFormat="true" ht="9.75" hidden="false" customHeight="true" outlineLevel="0" collapsed="false">
      <c r="A28" s="27" t="str">
        <f aca="false">'Previsão de Cargas'!A28</f>
        <v>72 - TUE M23</v>
      </c>
      <c r="B28" s="71" t="str">
        <f aca="false">'Previsão de Cargas'!B28</f>
        <v>CCM4</v>
      </c>
      <c r="C28" s="116" t="s">
        <v>102</v>
      </c>
      <c r="D28" s="278" t="n">
        <f aca="false">_Vnom</f>
        <v>380</v>
      </c>
      <c r="E28" s="176" t="n">
        <f aca="false">'Previsão de Cargas'!D28</f>
        <v>75</v>
      </c>
      <c r="F28" s="36" t="n">
        <f aca="false">'Previsão de Cargas'!I28</f>
        <v>58.5691823899371</v>
      </c>
      <c r="G28" s="177" t="n">
        <f aca="false">'Previsão de Cargas'!E28</f>
        <v>0.87</v>
      </c>
      <c r="H28" s="36" t="n">
        <f aca="false">'Previsão de Cargas'!K28</f>
        <v>33.1926852871311</v>
      </c>
      <c r="I28" s="36" t="n">
        <v>0.87</v>
      </c>
      <c r="J28" s="280" t="n">
        <f aca="false">'Previsão de Cargas'!H28*'Previsão de Cargas'!L28</f>
        <v>127.854405698149</v>
      </c>
      <c r="K28" s="275" t="n">
        <f aca="false">SUM(F28:F29)</f>
        <v>117.138364779874</v>
      </c>
      <c r="L28" s="275" t="n">
        <f aca="false">SUM(H28:H29)</f>
        <v>66.3853705742622</v>
      </c>
      <c r="M28" s="116" t="n">
        <v>2</v>
      </c>
      <c r="N28" s="116" t="n">
        <v>0.9</v>
      </c>
      <c r="O28" s="36" t="n">
        <f aca="false">F28*I28</f>
        <v>50.9551886792453</v>
      </c>
      <c r="P28" s="36" t="n">
        <f aca="false">H28*I28</f>
        <v>28.877636199804</v>
      </c>
      <c r="Q28" s="275" t="n">
        <f aca="false">SUMPRODUCT(O28:O29,N28:N29)</f>
        <v>91.7193396226415</v>
      </c>
      <c r="R28" s="275" t="n">
        <f aca="false">SUMPRODUCT(P28:P29,N28:N29)</f>
        <v>51.9797451596473</v>
      </c>
      <c r="S28" s="276"/>
      <c r="T28" s="276"/>
      <c r="U28" s="276"/>
      <c r="V28" s="276"/>
      <c r="W28" s="277"/>
    </row>
    <row r="29" customFormat="false" ht="9.75" hidden="false" customHeight="true" outlineLevel="0" collapsed="false">
      <c r="A29" s="281" t="str">
        <f aca="false">'Previsão de Cargas'!A29</f>
        <v>73 - TUE M24</v>
      </c>
      <c r="B29" s="71"/>
      <c r="C29" s="116" t="s">
        <v>105</v>
      </c>
      <c r="D29" s="282" t="n">
        <f aca="false">_Vnom</f>
        <v>380</v>
      </c>
      <c r="E29" s="176" t="n">
        <f aca="false">'Previsão de Cargas'!D29</f>
        <v>75</v>
      </c>
      <c r="F29" s="36" t="n">
        <f aca="false">'Previsão de Cargas'!I29</f>
        <v>58.5691823899371</v>
      </c>
      <c r="G29" s="283" t="n">
        <f aca="false">'Previsão de Cargas'!E29</f>
        <v>0.87</v>
      </c>
      <c r="H29" s="284" t="n">
        <f aca="false">'Previsão de Cargas'!K29</f>
        <v>33.1926852871311</v>
      </c>
      <c r="I29" s="284" t="n">
        <v>0.87</v>
      </c>
      <c r="J29" s="285" t="n">
        <f aca="false">'Previsão de Cargas'!H29*'Previsão de Cargas'!L29</f>
        <v>127.854405698149</v>
      </c>
      <c r="K29" s="275"/>
      <c r="L29" s="275"/>
      <c r="M29" s="116"/>
      <c r="N29" s="286" t="n">
        <v>0.9</v>
      </c>
      <c r="O29" s="284" t="n">
        <f aca="false">F29*I29</f>
        <v>50.9551886792453</v>
      </c>
      <c r="P29" s="284" t="n">
        <f aca="false">H29*I29</f>
        <v>28.877636199804</v>
      </c>
      <c r="Q29" s="275"/>
      <c r="R29" s="275"/>
      <c r="S29" s="276"/>
      <c r="T29" s="276"/>
      <c r="U29" s="276"/>
      <c r="V29" s="276"/>
      <c r="W29" s="277"/>
    </row>
    <row r="30" customFormat="false" ht="15" hidden="false" customHeight="true" outlineLevel="0" collapsed="false">
      <c r="A30" s="287"/>
      <c r="B30" s="288"/>
      <c r="C30" s="55"/>
      <c r="E30" s="289"/>
      <c r="F30" s="289"/>
      <c r="G30" s="290"/>
      <c r="H30" s="291"/>
      <c r="I30" s="292"/>
      <c r="K30" s="293"/>
      <c r="L30" s="293"/>
      <c r="M30" s="293"/>
      <c r="N30" s="293"/>
      <c r="O30" s="289"/>
      <c r="P30" s="289"/>
      <c r="Q30" s="293"/>
      <c r="R30" s="293"/>
      <c r="S30" s="294"/>
      <c r="T30" s="295"/>
      <c r="U30" s="294"/>
      <c r="V30" s="294"/>
      <c r="W30" s="296"/>
    </row>
    <row r="31" customFormat="false" ht="15" hidden="false" customHeight="true" outlineLevel="0" collapsed="false">
      <c r="A31" s="287"/>
      <c r="B31" s="288"/>
      <c r="C31" s="55"/>
      <c r="E31" s="289"/>
      <c r="F31" s="289"/>
      <c r="G31" s="290"/>
      <c r="H31" s="291"/>
      <c r="I31" s="292"/>
      <c r="K31" s="293"/>
      <c r="L31" s="293"/>
      <c r="M31" s="293"/>
      <c r="N31" s="293"/>
      <c r="O31" s="289"/>
      <c r="P31" s="289"/>
      <c r="Q31" s="293"/>
      <c r="R31" s="293"/>
      <c r="S31" s="294"/>
      <c r="T31" s="295"/>
      <c r="U31" s="294"/>
      <c r="V31" s="294"/>
      <c r="W31" s="296"/>
    </row>
    <row r="32" customFormat="false" ht="15" hidden="false" customHeight="true" outlineLevel="0" collapsed="false">
      <c r="A32" s="287"/>
      <c r="B32" s="288"/>
      <c r="C32" s="55"/>
      <c r="E32" s="289"/>
      <c r="F32" s="289"/>
      <c r="G32" s="290"/>
      <c r="H32" s="291"/>
      <c r="I32" s="292"/>
      <c r="K32" s="293"/>
      <c r="L32" s="293"/>
      <c r="M32" s="293"/>
      <c r="N32" s="293"/>
      <c r="O32" s="289"/>
      <c r="P32" s="289"/>
      <c r="Q32" s="293"/>
      <c r="R32" s="293"/>
      <c r="S32" s="294"/>
      <c r="T32" s="295"/>
      <c r="U32" s="294"/>
      <c r="V32" s="294"/>
      <c r="W32" s="296"/>
    </row>
    <row r="33" customFormat="false" ht="15" hidden="false" customHeight="true" outlineLevel="0" collapsed="false">
      <c r="A33" s="287"/>
      <c r="B33" s="288"/>
      <c r="C33" s="55"/>
      <c r="K33" s="293"/>
      <c r="L33" s="293"/>
      <c r="M33" s="293"/>
      <c r="N33" s="293"/>
      <c r="Q33" s="293"/>
      <c r="R33" s="293"/>
      <c r="S33" s="294"/>
      <c r="T33" s="295"/>
      <c r="U33" s="294"/>
      <c r="V33" s="294"/>
      <c r="W33" s="296"/>
    </row>
    <row r="34" customFormat="false" ht="15" hidden="false" customHeight="true" outlineLevel="0" collapsed="false">
      <c r="A34" s="287" t="s">
        <v>342</v>
      </c>
      <c r="B34" s="288"/>
      <c r="C34" s="55"/>
      <c r="E34" s="152" t="n">
        <f aca="false">SQRT(Q6^2+R6^2)*1000/(SQRT(3)*_Vnom)</f>
        <v>80.5326358307487</v>
      </c>
      <c r="F34" s="151" t="s">
        <v>343</v>
      </c>
      <c r="G34" s="153" t="n">
        <f aca="false">Q6/K6</f>
        <v>0.664</v>
      </c>
      <c r="K34" s="293"/>
      <c r="L34" s="293"/>
      <c r="M34" s="293"/>
      <c r="N34" s="293"/>
      <c r="Q34" s="293"/>
      <c r="R34" s="293"/>
      <c r="S34" s="294"/>
      <c r="T34" s="295"/>
      <c r="U34" s="294"/>
      <c r="V34" s="294"/>
      <c r="W34" s="296"/>
    </row>
    <row r="35" customFormat="false" ht="15" hidden="false" customHeight="true" outlineLevel="0" collapsed="false">
      <c r="A35" s="287" t="s">
        <v>344</v>
      </c>
      <c r="B35" s="288"/>
      <c r="C35" s="55"/>
      <c r="E35" s="152" t="n">
        <f aca="false">SQRT(Q14^2+R14^2)*1000/(SQRT(3)*_Vnom)</f>
        <v>99.5226308753054</v>
      </c>
      <c r="F35" s="151" t="s">
        <v>343</v>
      </c>
      <c r="G35" s="153" t="n">
        <f aca="false">Q14/K14</f>
        <v>0.673517241379311</v>
      </c>
      <c r="Q35" s="151"/>
      <c r="R35" s="151"/>
      <c r="S35" s="294"/>
      <c r="T35" s="295"/>
      <c r="U35" s="294"/>
      <c r="V35" s="294"/>
      <c r="W35" s="296"/>
    </row>
    <row r="36" customFormat="false" ht="15" hidden="false" customHeight="true" outlineLevel="0" collapsed="false">
      <c r="A36" s="287" t="s">
        <v>345</v>
      </c>
      <c r="B36" s="288"/>
      <c r="C36" s="55"/>
      <c r="E36" s="152" t="n">
        <f aca="false">SQRT(Q20^2+R20^2)*1000/(SQRT(3)*_Vnom)</f>
        <v>150.16347916849</v>
      </c>
      <c r="F36" s="151" t="s">
        <v>343</v>
      </c>
      <c r="G36" s="153" t="n">
        <f aca="false">Q20/K20</f>
        <v>0.676718137865723</v>
      </c>
      <c r="Q36" s="151"/>
      <c r="R36" s="151"/>
      <c r="S36" s="294"/>
      <c r="T36" s="295"/>
      <c r="U36" s="294"/>
      <c r="V36" s="294"/>
      <c r="W36" s="296"/>
    </row>
    <row r="37" customFormat="false" ht="15" hidden="false" customHeight="true" outlineLevel="0" collapsed="false">
      <c r="A37" s="287" t="s">
        <v>346</v>
      </c>
      <c r="B37" s="288"/>
      <c r="C37" s="55"/>
      <c r="E37" s="152" t="n">
        <f aca="false">SQRT(Q28^2+R28^2)*1000/(SQRT(3)*_Vnom)</f>
        <v>160.175999458641</v>
      </c>
      <c r="F37" s="151" t="s">
        <v>343</v>
      </c>
      <c r="G37" s="153" t="n">
        <f aca="false">Q28/K28</f>
        <v>0.783</v>
      </c>
      <c r="Q37" s="151"/>
      <c r="R37" s="151"/>
      <c r="S37" s="294"/>
      <c r="T37" s="295"/>
      <c r="U37" s="294"/>
      <c r="V37" s="294"/>
      <c r="W37" s="296"/>
    </row>
    <row r="38" customFormat="false" ht="15" hidden="false" customHeight="true" outlineLevel="0" collapsed="false">
      <c r="A38" s="287"/>
      <c r="B38" s="288"/>
      <c r="C38" s="55"/>
      <c r="Q38" s="151"/>
      <c r="R38" s="151"/>
      <c r="S38" s="294"/>
      <c r="T38" s="295"/>
      <c r="U38" s="294"/>
      <c r="V38" s="294"/>
      <c r="W38" s="296"/>
    </row>
    <row r="39" customFormat="false" ht="15" hidden="false" customHeight="true" outlineLevel="0" collapsed="false">
      <c r="A39" s="287"/>
      <c r="B39" s="288"/>
      <c r="C39" s="55"/>
      <c r="Q39" s="151"/>
      <c r="R39" s="151"/>
      <c r="S39" s="294"/>
      <c r="T39" s="295"/>
      <c r="U39" s="294"/>
      <c r="V39" s="294"/>
      <c r="W39" s="296"/>
    </row>
    <row r="40" customFormat="false" ht="15" hidden="false" customHeight="true" outlineLevel="0" collapsed="false">
      <c r="A40" s="287"/>
      <c r="B40" s="288"/>
    </row>
    <row r="41" customFormat="false" ht="15" hidden="false" customHeight="true" outlineLevel="0" collapsed="false">
      <c r="A41" s="287"/>
      <c r="B41" s="288"/>
    </row>
    <row r="42" customFormat="false" ht="15" hidden="false" customHeight="true" outlineLevel="0" collapsed="false">
      <c r="A42" s="287"/>
      <c r="B42" s="288"/>
    </row>
    <row r="43" customFormat="false" ht="15" hidden="false" customHeight="true" outlineLevel="0" collapsed="false">
      <c r="A43" s="287"/>
      <c r="B43" s="288"/>
    </row>
    <row r="44" customFormat="false" ht="15" hidden="false" customHeight="true" outlineLevel="0" collapsed="false">
      <c r="A44" s="287"/>
      <c r="B44" s="288"/>
    </row>
  </sheetData>
  <mergeCells count="60">
    <mergeCell ref="A2:W2"/>
    <mergeCell ref="A3:A5"/>
    <mergeCell ref="B3:B5"/>
    <mergeCell ref="C3:C5"/>
    <mergeCell ref="D3:N3"/>
    <mergeCell ref="O3:P3"/>
    <mergeCell ref="Q3:R3"/>
    <mergeCell ref="S3:W3"/>
    <mergeCell ref="D4:D5"/>
    <mergeCell ref="E4:E5"/>
    <mergeCell ref="F4:F5"/>
    <mergeCell ref="G4:G5"/>
    <mergeCell ref="H4:H5"/>
    <mergeCell ref="I4:I5"/>
    <mergeCell ref="J4:J5"/>
    <mergeCell ref="K4:L4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B6:B13"/>
    <mergeCell ref="K6:K13"/>
    <mergeCell ref="L6:L13"/>
    <mergeCell ref="M6:M9"/>
    <mergeCell ref="Q6:Q13"/>
    <mergeCell ref="R6:R13"/>
    <mergeCell ref="S6:S29"/>
    <mergeCell ref="T6:T29"/>
    <mergeCell ref="U6:U29"/>
    <mergeCell ref="V6:V29"/>
    <mergeCell ref="W6:W29"/>
    <mergeCell ref="M10:M13"/>
    <mergeCell ref="B14:B19"/>
    <mergeCell ref="K14:K19"/>
    <mergeCell ref="L14:L19"/>
    <mergeCell ref="M14:M17"/>
    <mergeCell ref="Q14:Q19"/>
    <mergeCell ref="R14:R19"/>
    <mergeCell ref="M18:M19"/>
    <mergeCell ref="B20:B27"/>
    <mergeCell ref="K20:K27"/>
    <mergeCell ref="L20:L27"/>
    <mergeCell ref="M20:M23"/>
    <mergeCell ref="Q20:Q27"/>
    <mergeCell ref="R20:R27"/>
    <mergeCell ref="M24:M25"/>
    <mergeCell ref="M26:M27"/>
    <mergeCell ref="B28:B29"/>
    <mergeCell ref="K28:K29"/>
    <mergeCell ref="L28:L29"/>
    <mergeCell ref="M28:M29"/>
    <mergeCell ref="Q28:Q29"/>
    <mergeCell ref="R28:R29"/>
  </mergeCells>
  <printOptions headings="false" gridLines="false" gridLinesSet="true" horizontalCentered="true" verticalCentered="false"/>
  <pageMargins left="0.315277777777778" right="0.315277777777778" top="0.39375" bottom="0.39375" header="0.511811023622047" footer="0.511811023622047"/>
  <pageSetup paperSize="9" scale="7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2.98"/>
    <col collapsed="false" customWidth="true" hidden="false" outlineLevel="0" max="2" min="2" style="0" width="132.79"/>
  </cols>
  <sheetData>
    <row r="1" customFormat="false" ht="13.8" hidden="false" customHeight="false" outlineLevel="0" collapsed="false">
      <c r="A1" s="297" t="s">
        <v>347</v>
      </c>
    </row>
    <row r="2" customFormat="false" ht="13.8" hidden="false" customHeight="false" outlineLevel="0" collapsed="false">
      <c r="A2" s="297" t="s">
        <v>348</v>
      </c>
      <c r="B2" s="297" t="s">
        <v>349</v>
      </c>
    </row>
    <row r="3" customFormat="false" ht="189.55" hidden="false" customHeight="false" outlineLevel="0" collapsed="false">
      <c r="A3" s="0" t="s">
        <v>350</v>
      </c>
      <c r="B3" s="298" t="s">
        <v>351</v>
      </c>
    </row>
    <row r="4" customFormat="false" ht="216.4" hidden="false" customHeight="false" outlineLevel="0" collapsed="false">
      <c r="A4" s="0" t="s">
        <v>350</v>
      </c>
      <c r="B4" s="298" t="s">
        <v>352</v>
      </c>
    </row>
    <row r="5" customFormat="false" ht="176.1" hidden="false" customHeight="false" outlineLevel="0" collapsed="false">
      <c r="A5" s="0" t="s">
        <v>350</v>
      </c>
      <c r="B5" s="298" t="s">
        <v>353</v>
      </c>
    </row>
    <row r="6" customFormat="false" ht="270.1" hidden="false" customHeight="false" outlineLevel="0" collapsed="false">
      <c r="A6" s="0" t="s">
        <v>354</v>
      </c>
      <c r="B6" s="298" t="s">
        <v>355</v>
      </c>
    </row>
    <row r="7" customFormat="false" ht="270.1" hidden="false" customHeight="false" outlineLevel="0" collapsed="false">
      <c r="A7" s="0" t="s">
        <v>354</v>
      </c>
      <c r="B7" s="298" t="s">
        <v>356</v>
      </c>
    </row>
    <row r="8" customFormat="false" ht="310.4" hidden="false" customHeight="false" outlineLevel="0" collapsed="false">
      <c r="A8" s="0" t="s">
        <v>357</v>
      </c>
      <c r="B8" s="298" t="s">
        <v>358</v>
      </c>
    </row>
    <row r="9" customFormat="false" ht="377.6" hidden="false" customHeight="false" outlineLevel="0" collapsed="false">
      <c r="A9" s="0" t="s">
        <v>357</v>
      </c>
      <c r="B9" s="298" t="s">
        <v>359</v>
      </c>
    </row>
    <row r="10" customFormat="false" ht="283.55" hidden="false" customHeight="false" outlineLevel="0" collapsed="false">
      <c r="A10" s="0" t="s">
        <v>357</v>
      </c>
      <c r="B10" s="298" t="s">
        <v>360</v>
      </c>
    </row>
    <row r="11" customFormat="false" ht="323.85" hidden="false" customHeight="false" outlineLevel="0" collapsed="false">
      <c r="A11" s="0" t="s">
        <v>361</v>
      </c>
      <c r="B11" s="298" t="s">
        <v>362</v>
      </c>
    </row>
    <row r="12" customFormat="false" ht="417.9" hidden="false" customHeight="false" outlineLevel="0" collapsed="false">
      <c r="A12" s="0" t="s">
        <v>361</v>
      </c>
      <c r="B12" s="298" t="s">
        <v>363</v>
      </c>
    </row>
    <row r="13" customFormat="false" ht="270.1" hidden="false" customHeight="false" outlineLevel="0" collapsed="false">
      <c r="A13" s="0" t="s">
        <v>361</v>
      </c>
      <c r="B13" s="298" t="s">
        <v>364</v>
      </c>
    </row>
    <row r="14" customFormat="false" ht="283.55" hidden="false" customHeight="false" outlineLevel="0" collapsed="false">
      <c r="A14" s="0" t="s">
        <v>365</v>
      </c>
      <c r="B14" s="298" t="s">
        <v>366</v>
      </c>
    </row>
    <row r="15" customFormat="false" ht="364.15" hidden="false" customHeight="false" outlineLevel="0" collapsed="false">
      <c r="A15" s="0" t="s">
        <v>365</v>
      </c>
      <c r="B15" s="298" t="s">
        <v>367</v>
      </c>
    </row>
    <row r="16" customFormat="false" ht="350.7" hidden="false" customHeight="false" outlineLevel="0" collapsed="false">
      <c r="A16" s="0" t="s">
        <v>365</v>
      </c>
      <c r="B16" s="298" t="s">
        <v>368</v>
      </c>
    </row>
    <row r="17" customFormat="false" ht="297" hidden="false" customHeight="false" outlineLevel="0" collapsed="false">
      <c r="A17" s="0" t="s">
        <v>365</v>
      </c>
      <c r="B17" s="298" t="s">
        <v>369</v>
      </c>
    </row>
    <row r="18" customFormat="false" ht="310.4" hidden="false" customHeight="false" outlineLevel="0" collapsed="false">
      <c r="A18" s="0" t="s">
        <v>365</v>
      </c>
      <c r="B18" s="298" t="s">
        <v>370</v>
      </c>
    </row>
    <row r="19" customFormat="false" ht="525.35" hidden="false" customHeight="false" outlineLevel="0" collapsed="false">
      <c r="A19" s="0" t="s">
        <v>365</v>
      </c>
      <c r="B19" s="298" t="s">
        <v>371</v>
      </c>
    </row>
    <row r="20" customFormat="false" ht="297" hidden="false" customHeight="false" outlineLevel="0" collapsed="false">
      <c r="A20" s="0" t="s">
        <v>357</v>
      </c>
      <c r="B20" s="298" t="s">
        <v>372</v>
      </c>
    </row>
    <row r="21" customFormat="false" ht="377.6" hidden="false" customHeight="false" outlineLevel="0" collapsed="false">
      <c r="A21" s="0" t="s">
        <v>373</v>
      </c>
      <c r="B21" s="298" t="s">
        <v>374</v>
      </c>
    </row>
    <row r="22" customFormat="false" ht="297" hidden="false" customHeight="false" outlineLevel="0" collapsed="false">
      <c r="A22" s="0" t="s">
        <v>373</v>
      </c>
      <c r="B22" s="298" t="s">
        <v>375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ENGEVIX Engenharia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2009-10-07T16:57:03Z</dcterms:created>
  <dc:creator>hugo.leite</dc:creator>
  <dc:description/>
  <dc:language>en-US</dc:language>
  <cp:lastModifiedBy/>
  <cp:lastPrinted>2014-05-15T13:22:21Z</cp:lastPrinted>
  <dcterms:modified xsi:type="dcterms:W3CDTF">2026-10-08T13:36:32Z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