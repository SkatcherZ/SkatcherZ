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uminotécnico" sheetId="1" state="visible" r:id="rId3"/>
    <sheet name="Previsão de Cargas" sheetId="2" state="visible" r:id="rId4"/>
    <sheet name="Divisão dos Circuitos" sheetId="3" state="visible" r:id="rId5"/>
    <sheet name="Capac.Cond.Corre." sheetId="4" state="visible" r:id="rId6"/>
    <sheet name="Queda de Tensão" sheetId="5" state="visible" r:id="rId7"/>
    <sheet name="Sobrecarga" sheetId="6" state="visible" r:id="rId8"/>
    <sheet name="Quadro de Carg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3" authorId="0">
      <text>
        <r>
          <rPr>
            <sz val="10"/>
            <rFont val="Arial"/>
            <family val="2"/>
          </rPr>
          <t xml:space="preserve">======
ID#AAABhxsiPC4
Autor    (2025-04-14 23:48:00)
Incandescente
Fluorescente
LED
Vapor de sódio
Etc.</t>
        </r>
      </text>
    </comment>
    <comment ref="AD5" authorId="0">
      <text>
        <r>
          <rPr>
            <sz val="10"/>
            <rFont val="Arial"/>
            <family val="2"/>
          </rPr>
          <t xml:space="preserve">μ lido na tabela 'Fator de utilização' da ficha LHB60-S12000850FW (Lumicenter, rev. 21/09/2026), coluna teto 70% / parede 50% / chão 20% (o catálogo não traz chão 10%), com interpolação linear pelo RCR.</t>
        </r>
      </text>
    </comment>
    <comment ref="AD11" authorId="0">
      <text>
        <r>
          <rPr>
            <sz val="10"/>
            <rFont val="Arial"/>
            <family val="2"/>
          </rPr>
          <t xml:space="preserve">μ lido na tabela 'Fator de utilização' da ficha LHT44-E4000840 (Lumicenter, rev. 25/01/2023), coluna teto 70% / parede 50% / chão 20% (o catálogo não traz chão 10%), com interpolação linear pelo RCR. Circulação 3 (RCR 13) extrapolado além da tabela (RCR máx. 10).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======
ID#AAABhyIioxw
Dependência    (2025-04-14 23:48:00)
Sala;
Copa;
Cozinha;
Dormitório 1;
Dormitório 2;
Banheiro 1;
Área de Serviço;
Etc...</t>
        </r>
      </text>
    </comment>
    <comment ref="B2" authorId="0">
      <text>
        <r>
          <rPr>
            <sz val="10"/>
            <rFont val="Arial"/>
            <family val="2"/>
          </rPr>
          <t xml:space="preserve">======
ID#AAABhyIioxo
Dimensões Área[m²]    (2025-04-14 23:48:00)
Inserir apenas o valor da área em metros quadrados</t>
        </r>
      </text>
    </comment>
    <comment ref="C2" authorId="0">
      <text>
        <r>
          <rPr>
            <sz val="10"/>
            <rFont val="Arial"/>
            <family val="2"/>
          </rPr>
          <t xml:space="preserve">======
ID#AAABhyIiow4
Dimensões Perímetro[m]    (2025-04-14 23:48:00)
Inserir apenas o valor do perímetro em metros</t>
        </r>
      </text>
    </comment>
    <comment ref="D2" authorId="0">
      <text>
        <r>
          <rPr>
            <sz val="10"/>
            <rFont val="Arial"/>
            <family val="2"/>
          </rPr>
          <t xml:space="preserve">======
ID#AAABhyIioxs
Autor    (2025-04-14 23:48:00)
Potência de 
Iluminação
[VA]
Inserir apenas o valor da potência de iluminação total prevista para  a dependência.</t>
        </r>
      </text>
    </comment>
    <comment ref="E3" authorId="0">
      <text>
        <r>
          <rPr>
            <sz val="10"/>
            <rFont val="Arial"/>
            <family val="2"/>
          </rPr>
          <t xml:space="preserve">======
ID#AAABhyIioww
Autor    (2025-04-14 23:48:00)
Quantidade
Inserir apenas a quantidade total de TUG prevista para a dependência.</t>
        </r>
      </text>
    </comment>
    <comment ref="F3" authorId="0">
      <text>
        <r>
          <rPr>
            <sz val="10"/>
            <rFont val="Arial"/>
            <family val="2"/>
          </rPr>
          <t xml:space="preserve">======
ID#AAABhxsiPDE
Autor    (2025-04-14 23:48:00)
Potência [VA]
Inserir a potência total prevista em VA para todos os pontos de TUG's da dependência.</t>
        </r>
      </text>
    </comment>
    <comment ref="G3" authorId="0">
      <text>
        <r>
          <rPr>
            <sz val="10"/>
            <rFont val="Arial"/>
            <family val="2"/>
          </rPr>
          <t xml:space="preserve">======
ID#AAABhyIiowg
Autor    (2025-04-14 23:48:00)
Quantidade
Inserir apenas a quantidade total de TUG prevista para a dependência.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ID#AAABhxsiPCk
Autor    (2025-04-14 23:48:00)
Potência [VA]
Inserir a potência total prevista em VA para todos os pontos de TUG's da dependência.</t>
        </r>
      </text>
    </comment>
    <comment ref="I3" authorId="0">
      <text>
        <r>
          <rPr>
            <sz val="10"/>
            <rFont val="Arial"/>
            <family val="2"/>
          </rPr>
          <t xml:space="preserve">======
ID#AAABhyIioxE
Autor    (2025-04-14 23:48:00)
Descrição
Desecrever a TUE 
Ex.: 
Chuveiro; Condicionador de ar; Torneira elétrica; Máquina de lavar;</t>
        </r>
      </text>
    </comment>
    <comment ref="J3" authorId="0">
      <text>
        <r>
          <rPr>
            <sz val="10"/>
            <rFont val="Arial"/>
            <family val="2"/>
          </rPr>
          <t xml:space="preserve">======
ID#AAABhyIiows
Autor    (2025-04-14 23:48:00)
Potência [W]
Inserir a potência individual prevista em W para cada pontos de TUE.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======
ID#AAABhxsiPDU
Autor    (2025-04-14 23:48:00)
VN - Tensão fornecida pela rede em [V]
Monofásico: 220V
Bifásico: 220/380V
Trifásico: 220/308V</t>
        </r>
      </text>
    </comment>
    <comment ref="C2" authorId="0">
      <text>
        <r>
          <rPr>
            <sz val="10"/>
            <rFont val="Arial"/>
            <family val="2"/>
          </rPr>
          <t xml:space="preserve">======
ID#AAABhxsiPDQ
Autor    (2025-04-14 23:48:00)
Origem
De onde parte o circuito.
Ex.: Medidor; QDG; QD1; QD2</t>
        </r>
      </text>
    </comment>
    <comment ref="D2" authorId="0">
      <text>
        <r>
          <rPr>
            <sz val="10"/>
            <rFont val="Arial"/>
            <family val="2"/>
          </rPr>
          <t xml:space="preserve">======
ID#AAABhyIioxY
Autor    (2025-04-14 23:48:00)
Destino
Cômodos para o qual o circuito será deslocado.
Ex.: Sala, Dormitório 1, Dormitório 2, Banheiro 1, 
anheiro2, etc...</t>
        </r>
      </text>
    </comment>
    <comment ref="E2" authorId="0">
      <text>
        <r>
          <rPr>
            <sz val="10"/>
            <rFont val="Arial"/>
            <family val="2"/>
          </rPr>
          <t xml:space="preserve">======
ID#AAABhyIioxA
Autor    (2025-04-14 23:48:00)
S1 - Seção Mínima em [mm²]
Circuito de Iluminação: 1,5mm²
Circuito de força: 2,5mm²</t>
        </r>
      </text>
    </comment>
    <comment ref="F2" authorId="0">
      <text>
        <r>
          <rPr>
            <sz val="10"/>
            <rFont val="Arial"/>
            <family val="2"/>
          </rPr>
          <t xml:space="preserve">======
ID#AAABhyIiowY
Autor    (2025-04-14 23:48:00)
Tipo de Fornecimento
Monofásico: 1
Bifásico: 2
Trifásico: 3</t>
        </r>
      </text>
    </comment>
    <comment ref="G2" authorId="0">
      <text>
        <r>
          <rPr>
            <sz val="10"/>
            <rFont val="Arial"/>
            <family val="2"/>
          </rPr>
          <t xml:space="preserve">======
ID#AAABhyIioxc
Autor    (2025-04-14 23:48:00)
FP - Faor de Potência
Depende do tipo de carga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ID#AAABhxsiPDI
Autor    (2025-04-14 23:48:00)
P - Potência Ativa total do circuito [W]
P = S *FP</t>
        </r>
      </text>
    </comment>
    <comment ref="I3" authorId="0">
      <text>
        <r>
          <rPr>
            <sz val="10"/>
            <rFont val="Arial"/>
            <family val="2"/>
          </rPr>
          <t xml:space="preserve">======
ID#AAABhyIiox0
Autor    (2025-04-14 23:48:00)
S - Potência Aparente total do circuito [VA]
S = P / FP</t>
        </r>
      </text>
    </comment>
    <comment ref="J3" authorId="0">
      <text>
        <r>
          <rPr>
            <sz val="10"/>
            <rFont val="Arial"/>
            <family val="2"/>
          </rPr>
          <t xml:space="preserve">======
ID#AAABhyIiox0
Autor    (2025-04-14 23:48:00)
S - Potência Aparente total do circuito [VA]
S = P / FP</t>
        </r>
      </text>
    </comment>
    <comment ref="K2" authorId="0">
      <text>
        <r>
          <rPr>
            <sz val="10"/>
            <rFont val="Arial"/>
            <family val="2"/>
          </rPr>
          <t xml:space="preserve">======
ID#AAABhyIioxI
Autor    (2025-04-14 23:48:00)
IN -Corrente de projeto [A]
Para os circuitos terminais
Monofásicos: IN = S / Vfn
Ttifásicos: IN = S /(raiz(3) * Vff)
onde: 
Vfn: Tensão entre Fase-Neutro 
Vff: Tensão entre Fase-Fase</t>
        </r>
      </text>
    </comment>
    <comment ref="M3" authorId="0">
      <text>
        <r>
          <rPr>
            <sz val="10"/>
            <rFont val="Arial"/>
            <family val="2"/>
          </rPr>
          <t xml:space="preserve">======
ID#AAABhyIioxQ
Autor    (2025-04-14 23:48:00)
ID - Corrente nominal comercial
10,16,20,25,32,40,50,63, 70, 80, 90, 100, 125 A</t>
        </r>
      </text>
    </comment>
    <comment ref="O3" authorId="0">
      <text>
        <r>
          <rPr>
            <sz val="10"/>
            <rFont val="Arial"/>
            <family val="2"/>
          </rPr>
          <t xml:space="preserve">======
ID#AAABhyIioxg
Autor    (2025-04-14 23:48:00)
Corrente nominal comercial
16, 25, 40, 63, 80, 100, 125 A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Arial"/>
            <family val="2"/>
          </rPr>
          <t xml:space="preserve">======
ID#AAABhxsiPCs
Autor    (2025-04-14 23:48:00)
N° de condutores carregados
2 ou 3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======
ID#AAABhyIioxM
Autor    (2025-04-14 23:48:00)
Monofáscio k=2
Trifásico k=1</t>
        </r>
      </text>
    </comment>
    <comment ref="G3" authorId="0">
      <text>
        <r>
          <rPr>
            <sz val="10"/>
            <rFont val="Arial"/>
            <family val="2"/>
          </rPr>
          <t xml:space="preserve">======
ID#AAABhxsiPCo
Autor    (2025-04-14 23:48:00)
Cobre: 0,0172 Ω . mm² / m
Alumínio: 0,02857 Ω . mm² / m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ID#AAABhyIioxk
Autor    (2025-04-14 23:48:00)
Alturas em relação ao piso
Altura QD = 1,20 m
Tomada baixa = 0,3 m
Tomada média = 1,1 m
Tomada alta = 2,2 m</t>
        </r>
      </text>
    </comment>
    <comment ref="K3" authorId="0">
      <text>
        <r>
          <rPr>
            <sz val="10"/>
            <rFont val="Arial"/>
            <family val="2"/>
          </rPr>
          <t xml:space="preserve">======
ID#AAABhyIiowk
Valores comerciais    (2025-04-14 23:48:00)
0,5;
0,75;
1,0;
1,5;
2,5;
4,0;
6,0;
10;
16;
25;
35;
50;
70;
95;
120;
150;
185;
240;
300;
400;
500;
630;
800;
1000;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Arial"/>
            <family val="2"/>
          </rPr>
          <t xml:space="preserve">======
ID#AAABhyIiow0
Autor    (2025-04-14 23:48:00)
Corrente corrigida do Disjuntor - ID'
Valores tabelados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ID#AAABhxsiPDM
Autor    (2025-04-14 23:48:00)
Seção do condutor (máxima)
Selecionar a maior seção dimensionada até o momento entre os valores:
S1 - Seção Mínima;
S2 - Seção adequada pelo critério de condução de corrente;
S3 - Seção adequada pelo critério de queda de tensão;</t>
        </r>
      </text>
    </comment>
    <comment ref="L3" authorId="0">
      <text>
        <r>
          <rPr>
            <sz val="10"/>
            <rFont val="Arial"/>
            <family val="2"/>
          </rPr>
          <t xml:space="preserve">======
ID#AAABhyIiowc
Autor    (2025-04-14 23:48:00)
IZ - Capacidade de condução de corrente para as condições anteriores (Seção do condutor máxima, Método Instala., Tipo de Isolação, N° Cond. Carregados)</t>
        </r>
      </text>
    </comment>
    <comment ref="O3" authorId="0">
      <text>
        <r>
          <rPr>
            <sz val="10"/>
            <rFont val="Arial"/>
            <family val="2"/>
          </rPr>
          <t xml:space="preserve">======
ID#AAABhyIiowo
Autor    (2025-04-14 23:48:00)
IZ' - Corrente IZ corrigida pelos fatores FT e FA.
IZ' = IZ * FT * FA</t>
        </r>
      </text>
    </comment>
    <comment ref="Q3" authorId="0">
      <text>
        <r>
          <rPr>
            <sz val="10"/>
            <rFont val="Arial"/>
            <family val="2"/>
          </rPr>
          <t xml:space="preserve">======
ID#AAABhxsiPC0
Autor    (2025-04-14 23:48:00)
SF - Seção final para o condutor do circuito
-Caso a condição (IZ'&gt;ID') for verdade, então a seção SF será igual a seção do condutor máxima selecionada anteriormente, caso contrário aumentar a seção máxima para o próximo valor comercial e refazer o cálculo de IZ' até que IZ'&gt;ID'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======
ID#AAABhxsiPC8
Autor    (2025-04-14 23:48:00)
Tipo de Fornecimento
Escrever por extenso:
Monofásico / Bifásico / Trifásico</t>
        </r>
      </text>
    </comment>
    <comment ref="R3" authorId="0">
      <text>
        <r>
          <rPr>
            <sz val="10"/>
            <rFont val="Arial"/>
            <family val="2"/>
          </rPr>
          <t xml:space="preserve">======
ID#AAABhxsiPCw
Autor    (2025-04-14 23:48:00)
Balanço de Fases
Indicar qual fase o cirtuto será ligado
R / S / T</t>
        </r>
      </text>
    </comment>
    <comment ref="S3" authorId="0">
      <text>
        <r>
          <rPr>
            <sz val="10"/>
            <rFont val="Arial"/>
            <family val="2"/>
          </rPr>
          <t xml:space="preserve">======
ID#AAABhyIiow8
Autor    (2025-04-14 23:48:00)
Corrente Fase R
Caso o Circuito esteja na fase R preencher com o valor de IN, caso contrário inserir o valor zero.</t>
        </r>
      </text>
    </comment>
    <comment ref="T3" authorId="0">
      <text>
        <r>
          <rPr>
            <sz val="10"/>
            <rFont val="Arial"/>
            <family val="2"/>
          </rPr>
          <t xml:space="preserve">======
ID#AAABhyIioxU
Autor    (2025-04-14 23:48:00)
Corrente Fase S
Caso o Circuito esteja na fase S preencher com o valor de IN, caso contrário inserir o valor zero.</t>
        </r>
      </text>
    </comment>
    <comment ref="U3" authorId="0">
      <text>
        <r>
          <rPr>
            <sz val="10"/>
            <rFont val="Arial"/>
            <family val="2"/>
          </rPr>
          <t xml:space="preserve">======
ID#AAABhxsiPDA
Autor    (2025-04-14 23:48:00)
Corrente Fase S
Caso o Circuito esteja na fase T preencher com o valor de IN, caso contrário inserir o valor zero.</t>
        </r>
      </text>
    </comment>
  </commentList>
</comments>
</file>

<file path=xl/sharedStrings.xml><?xml version="1.0" encoding="utf-8"?>
<sst xmlns="http://schemas.openxmlformats.org/spreadsheetml/2006/main" count="1148" uniqueCount="292">
  <si>
    <t xml:space="preserve">PROJETO LUMINOTÉCNICO</t>
  </si>
  <si>
    <t xml:space="preserve">Item</t>
  </si>
  <si>
    <t xml:space="preserve">Ambiente</t>
  </si>
  <si>
    <t xml:space="preserve">Refletâncias</t>
  </si>
  <si>
    <t xml:space="preserve">Dimensões</t>
  </si>
  <si>
    <t xml:space="preserve">Iluminância (E) [lux]</t>
  </si>
  <si>
    <t xml:space="preserve">Índice local (RCR)</t>
  </si>
  <si>
    <t xml:space="preserve">Índice local (k)</t>
  </si>
  <si>
    <t xml:space="preserve">Lâmpada</t>
  </si>
  <si>
    <t xml:space="preserve">Luminária</t>
  </si>
  <si>
    <t xml:space="preserve">Fator de Utilização (µ)</t>
  </si>
  <si>
    <t xml:space="preserve">Fator de Depreciação (d)</t>
  </si>
  <si>
    <t xml:space="preserve">Fluxo Luminoso Total do ambiente (lm)</t>
  </si>
  <si>
    <t xml:space="preserve">Número de Luminárias (NL) [Unid.]</t>
  </si>
  <si>
    <t xml:space="preserve">N° luminárias na largura (Ny) [Unid.]</t>
  </si>
  <si>
    <t xml:space="preserve">N° luminárias no comprimento (Nx) [Unid.]</t>
  </si>
  <si>
    <t xml:space="preserve">Dist. Lamp.-Lamp. (DLL(x))</t>
  </si>
  <si>
    <t xml:space="preserve">Dist. Lamp.-Lamp. (DLL(y))</t>
  </si>
  <si>
    <t xml:space="preserve">Dist. Lamp.-Pare. (DLP(x))</t>
  </si>
  <si>
    <t xml:space="preserve">Dist. Lamp.-Pare. (DLP(y))</t>
  </si>
  <si>
    <t xml:space="preserve">Potência Ativa total (P) [W]</t>
  </si>
  <si>
    <t xml:space="preserve">Potência Aparente total (S) [VA]</t>
  </si>
  <si>
    <t xml:space="preserve">Teto 
(%)</t>
  </si>
  <si>
    <t xml:space="preserve">Parede 
(%)</t>
  </si>
  <si>
    <t xml:space="preserve">Piso
(%)</t>
  </si>
  <si>
    <t xml:space="preserve">Largura
[m]</t>
  </si>
  <si>
    <t xml:space="preserve">Comprimento
[m]</t>
  </si>
  <si>
    <t xml:space="preserve">Pé direito
(Pd) [m]</t>
  </si>
  <si>
    <t xml:space="preserve">Plano de 
trabalho (hpt) [m]</t>
  </si>
  <si>
    <t xml:space="preserve">Distância entre luminária e teto (hs) [m]</t>
  </si>
  <si>
    <t xml:space="preserve">h</t>
  </si>
  <si>
    <t xml:space="preserve">Tipo de Lâmpada</t>
  </si>
  <si>
    <t xml:space="preserve">Fabricante</t>
  </si>
  <si>
    <t xml:space="preserve">Código do Modelo do Fabricante</t>
  </si>
  <si>
    <t xml:space="preserve">Fluxo 
Luminoso [lm]</t>
  </si>
  <si>
    <t xml:space="preserve">IRC 
[%]</t>
  </si>
  <si>
    <t xml:space="preserve">Temperatura 
de cor [K]</t>
  </si>
  <si>
    <t xml:space="preserve">Vida útil [h]</t>
  </si>
  <si>
    <t xml:space="preserve">Potência 
Lâmpada
[W]</t>
  </si>
  <si>
    <t xml:space="preserve">Perdas 
Reator
[W]</t>
  </si>
  <si>
    <t xml:space="preserve">Fator de Potência</t>
  </si>
  <si>
    <t xml:space="preserve">Link do catálogo</t>
  </si>
  <si>
    <t xml:space="preserve">Modelo</t>
  </si>
  <si>
    <t xml:space="preserve">N° Lâmpadas [Unid.]</t>
  </si>
  <si>
    <t xml:space="preserve">AREA FABRIL</t>
  </si>
  <si>
    <t xml:space="preserve">Tornear e Chanfrar</t>
  </si>
  <si>
    <t xml:space="preserve">Luminária LED High Bay UFO</t>
  </si>
  <si>
    <t xml:space="preserve">LUMICENTER</t>
  </si>
  <si>
    <t xml:space="preserve">LHB60-S12000850FW</t>
  </si>
  <si>
    <t xml:space="preserve">https://lumicenter.com/produtos/lhb60-s</t>
  </si>
  <si>
    <t xml:space="preserve">Polimento</t>
  </si>
  <si>
    <t xml:space="preserve">Colagem e montagem</t>
  </si>
  <si>
    <t xml:space="preserve">Sistemas de Serra</t>
  </si>
  <si>
    <t xml:space="preserve">Inspeção Final</t>
  </si>
  <si>
    <t xml:space="preserve">AREA COMERCIAL</t>
  </si>
  <si>
    <t xml:space="preserve">Sala de Estar</t>
  </si>
  <si>
    <t xml:space="preserve">Luminária LED</t>
  </si>
  <si>
    <t xml:space="preserve">LHT44-S4000840</t>
  </si>
  <si>
    <t xml:space="preserve">https://lumicenter.com/produtos/lht44-s</t>
  </si>
  <si>
    <t xml:space="preserve">Sala de reuniões</t>
  </si>
  <si>
    <t xml:space="preserve">Recepção</t>
  </si>
  <si>
    <t xml:space="preserve">Copa</t>
  </si>
  <si>
    <t xml:space="preserve">Ante Sala</t>
  </si>
  <si>
    <t xml:space="preserve">BWC1</t>
  </si>
  <si>
    <t xml:space="preserve">BWC2</t>
  </si>
  <si>
    <t xml:space="preserve">BWC3</t>
  </si>
  <si>
    <t xml:space="preserve">BWC4</t>
  </si>
  <si>
    <t xml:space="preserve">Vídeo Conferencia</t>
  </si>
  <si>
    <t xml:space="preserve">Presidência</t>
  </si>
  <si>
    <t xml:space="preserve">Diretoria Técnica</t>
  </si>
  <si>
    <t xml:space="preserve">Depósito</t>
  </si>
  <si>
    <t xml:space="preserve">Circulação 1</t>
  </si>
  <si>
    <t xml:space="preserve">Circulação 2</t>
  </si>
  <si>
    <t xml:space="preserve">Circulação 3</t>
  </si>
  <si>
    <t xml:space="preserve">Subestação</t>
  </si>
  <si>
    <t xml:space="preserve">PREVISÃO DE CARGAS</t>
  </si>
  <si>
    <t xml:space="preserve">Dependência</t>
  </si>
  <si>
    <t xml:space="preserve">Dimensões
Área [m²]</t>
  </si>
  <si>
    <t xml:space="preserve">Dimensões
Perímerímetro [m]</t>
  </si>
  <si>
    <t xml:space="preserve">Potência de 
Iluminação
[VA]</t>
  </si>
  <si>
    <t xml:space="preserve">TUG's Monofásico</t>
  </si>
  <si>
    <t xml:space="preserve">TUG's Trifásico</t>
  </si>
  <si>
    <t xml:space="preserve">TUE's</t>
  </si>
  <si>
    <t xml:space="preserve">Quantidade</t>
  </si>
  <si>
    <t xml:space="preserve">Potência [VA]</t>
  </si>
  <si>
    <t xml:space="preserve">Descrição</t>
  </si>
  <si>
    <t xml:space="preserve">Potência
[W]</t>
  </si>
  <si>
    <t xml:space="preserve">ÁREA FABRIL</t>
  </si>
  <si>
    <t xml:space="preserve">Bancada 1 + Bancada 2</t>
  </si>
  <si>
    <t xml:space="preserve">Bancada 3 + Bancada 4</t>
  </si>
  <si>
    <t xml:space="preserve">Bancada 5</t>
  </si>
  <si>
    <t xml:space="preserve">Bancada 6</t>
  </si>
  <si>
    <t xml:space="preserve">ÁREA COMERCIAL</t>
  </si>
  <si>
    <t xml:space="preserve">Ar Condicionado 18.000 BTU/h</t>
  </si>
  <si>
    <t xml:space="preserve">Ar Condicionado 24.000 BTU/h</t>
  </si>
  <si>
    <t xml:space="preserve">Ar Condicionado 12.000 BTU/h</t>
  </si>
  <si>
    <t xml:space="preserve">Secador de Mãos</t>
  </si>
  <si>
    <t xml:space="preserve">Carregador de Baterias (TUE)</t>
  </si>
  <si>
    <t xml:space="preserve">DIVISÃO DOS CIRCUITOS </t>
  </si>
  <si>
    <t xml:space="preserve">Circuito
N° - Tipo</t>
  </si>
  <si>
    <t xml:space="preserve">VN - Tensão
[V]</t>
  </si>
  <si>
    <t xml:space="preserve">Origem</t>
  </si>
  <si>
    <t xml:space="preserve">Destino</t>
  </si>
  <si>
    <t xml:space="preserve">S1 - Seção Mínima
[mm²]</t>
  </si>
  <si>
    <t xml:space="preserve">Tipo de Fornecimento</t>
  </si>
  <si>
    <t xml:space="preserve">F.P.</t>
  </si>
  <si>
    <t xml:space="preserve">Potências</t>
  </si>
  <si>
    <t xml:space="preserve">IN -Corrente de projeto
[A]</t>
  </si>
  <si>
    <t xml:space="preserve">Proteção
Disjuntor Termomagnético - DTM</t>
  </si>
  <si>
    <t xml:space="preserve">Proteção
Interruptor Diferencial Residual - IDR</t>
  </si>
  <si>
    <t xml:space="preserve">P 
Ativa 
[W]</t>
  </si>
  <si>
    <t xml:space="preserve">S
Aparente
[VA]</t>
  </si>
  <si>
    <t xml:space="preserve">Q
Reativa
[VAr]</t>
  </si>
  <si>
    <t xml:space="preserve">n° de 
polos</t>
  </si>
  <si>
    <t xml:space="preserve">ID - Corrente nominal [A]</t>
  </si>
  <si>
    <t xml:space="preserve">Corrente nominal [A]</t>
  </si>
  <si>
    <t xml:space="preserve">QD1 - QUADRO DE DISTRIBUIÇÃO 1</t>
  </si>
  <si>
    <t xml:space="preserve">01 - Iluminação</t>
  </si>
  <si>
    <t xml:space="preserve">QD1</t>
  </si>
  <si>
    <t xml:space="preserve">Tornear e Chanfrar, Polimento</t>
  </si>
  <si>
    <t xml:space="preserve">12 - TUGs</t>
  </si>
  <si>
    <t xml:space="preserve">Tornear e Chanfrar - Circuito 1</t>
  </si>
  <si>
    <t xml:space="preserve">13 - TUGs</t>
  </si>
  <si>
    <t xml:space="preserve">Tornear e Chanfrar - Circuito 2</t>
  </si>
  <si>
    <t xml:space="preserve">14 - TUGs</t>
  </si>
  <si>
    <t xml:space="preserve">Polimento - Circuito 1</t>
  </si>
  <si>
    <t xml:space="preserve">15 - TUGs</t>
  </si>
  <si>
    <t xml:space="preserve">Polimento - Circuito 2</t>
  </si>
  <si>
    <t xml:space="preserve">22 - TUGs Trifásicas</t>
  </si>
  <si>
    <t xml:space="preserve">23 - TUGs Trifásicas</t>
  </si>
  <si>
    <t xml:space="preserve">38 - TUGs Trifásicas</t>
  </si>
  <si>
    <t xml:space="preserve">39 - TUGs Trifásicas</t>
  </si>
  <si>
    <t xml:space="preserve">44 - TUE Bancada 1</t>
  </si>
  <si>
    <t xml:space="preserve">Bancada 1</t>
  </si>
  <si>
    <t xml:space="preserve">45 - TUE Bancada 2</t>
  </si>
  <si>
    <t xml:space="preserve">Bancada 2</t>
  </si>
  <si>
    <t xml:space="preserve">46 - TUE Bancada 3</t>
  </si>
  <si>
    <t xml:space="preserve">Bancada 3</t>
  </si>
  <si>
    <t xml:space="preserve">47 - TUE Bancada 4</t>
  </si>
  <si>
    <t xml:space="preserve">Bancada 4</t>
  </si>
  <si>
    <t xml:space="preserve">QD2 - QUADRO DE DISTRIBUIÇÃO 2</t>
  </si>
  <si>
    <t xml:space="preserve">02 - Iluminação</t>
  </si>
  <si>
    <t xml:space="preserve">QD2</t>
  </si>
  <si>
    <t xml:space="preserve">Colagem e Montagem, Sistemas de Serra, BWC 1 e 2</t>
  </si>
  <si>
    <t xml:space="preserve">05 - Iluminação</t>
  </si>
  <si>
    <t xml:space="preserve">07 - TUGs</t>
  </si>
  <si>
    <t xml:space="preserve">Sanitários Operacionais (BWC 1 e 2)</t>
  </si>
  <si>
    <t xml:space="preserve">16 - TUGs</t>
  </si>
  <si>
    <t xml:space="preserve">Colagem e Montagem - Circuito 1</t>
  </si>
  <si>
    <t xml:space="preserve">17 - TUGs</t>
  </si>
  <si>
    <t xml:space="preserve">Colagem e Montagem - Circuito 2</t>
  </si>
  <si>
    <t xml:space="preserve">18 - TUGs</t>
  </si>
  <si>
    <t xml:space="preserve">Sistemas de Serra - Circuito 1</t>
  </si>
  <si>
    <t xml:space="preserve">19 - TUGs</t>
  </si>
  <si>
    <t xml:space="preserve">Sistemas de Serra - Circuito 2</t>
  </si>
  <si>
    <t xml:space="preserve">20 - TUGs</t>
  </si>
  <si>
    <t xml:space="preserve">Inspeção Final - Circuito 1</t>
  </si>
  <si>
    <t xml:space="preserve">21 - TUGs</t>
  </si>
  <si>
    <t xml:space="preserve">Inspeção Final - Circuito 2</t>
  </si>
  <si>
    <t xml:space="preserve">24 - TUGs Trifásicas</t>
  </si>
  <si>
    <t xml:space="preserve">25 - TUGs Trifásicas</t>
  </si>
  <si>
    <t xml:space="preserve">26 - TUGs Trifásicas</t>
  </si>
  <si>
    <t xml:space="preserve">27 - TUGs Trifásicas</t>
  </si>
  <si>
    <t xml:space="preserve">30 - TUE</t>
  </si>
  <si>
    <t xml:space="preserve">Secadores de Mãos - BWC 1 e 2</t>
  </si>
  <si>
    <t xml:space="preserve">40 - TUGs Trifásicas</t>
  </si>
  <si>
    <t xml:space="preserve">48 - TUE Bancada 5</t>
  </si>
  <si>
    <t xml:space="preserve">49 - TUE Bancada 6</t>
  </si>
  <si>
    <t xml:space="preserve">QD3 - QUADRO DE DISTRIBUIÇÃO 3</t>
  </si>
  <si>
    <t xml:space="preserve">03 - Iluminação</t>
  </si>
  <si>
    <t xml:space="preserve">QD3</t>
  </si>
  <si>
    <t xml:space="preserve">Sala de Estar, Reuniões, Recepção, Copa</t>
  </si>
  <si>
    <t xml:space="preserve">06 - TUGs</t>
  </si>
  <si>
    <t xml:space="preserve">08 - TUGs</t>
  </si>
  <si>
    <t xml:space="preserve">Sanitários Administrativos (BWC 3 e 4)</t>
  </si>
  <si>
    <t xml:space="preserve">10 - TUGs</t>
  </si>
  <si>
    <t xml:space="preserve">Sala de Estar, Sala de Reuniões</t>
  </si>
  <si>
    <t xml:space="preserve">11 - TUGs</t>
  </si>
  <si>
    <t xml:space="preserve">Circulação 2 e 3</t>
  </si>
  <si>
    <t xml:space="preserve">31 - TUE</t>
  </si>
  <si>
    <t xml:space="preserve">Secadores de Mãos - BWC 3 e 4</t>
  </si>
  <si>
    <t xml:space="preserve">32 - TUE</t>
  </si>
  <si>
    <t xml:space="preserve">Ar Condicionado - Sala de Estar</t>
  </si>
  <si>
    <t xml:space="preserve">33 - TUE</t>
  </si>
  <si>
    <t xml:space="preserve">Ar Condicionado - Sala de Reuniões</t>
  </si>
  <si>
    <t xml:space="preserve">34 - TUE</t>
  </si>
  <si>
    <t xml:space="preserve">Ar Condicionado - Recepção</t>
  </si>
  <si>
    <t xml:space="preserve">42 - TUGs</t>
  </si>
  <si>
    <t xml:space="preserve">Recepção, Ante Sala</t>
  </si>
  <si>
    <t xml:space="preserve">43 - Iluminação</t>
  </si>
  <si>
    <t xml:space="preserve">Ante Sala, Circulação 2, Circulação 3, BWC 3 e 4</t>
  </si>
  <si>
    <t xml:space="preserve">QD4 - QUADRO DE DISTRIBUIÇÃO 4</t>
  </si>
  <si>
    <t xml:space="preserve">04 - Iluminação</t>
  </si>
  <si>
    <t xml:space="preserve">QD4</t>
  </si>
  <si>
    <t xml:space="preserve">Circulação 1, Vídeo Conferência, Presidência, Diretoria Técnica, Depósito, Subestação</t>
  </si>
  <si>
    <t xml:space="preserve">09 - TUGs</t>
  </si>
  <si>
    <t xml:space="preserve">Vídeo Conferência, Presidência</t>
  </si>
  <si>
    <t xml:space="preserve">28 - TUE</t>
  </si>
  <si>
    <t xml:space="preserve">29 - TUGs Trifásicas</t>
  </si>
  <si>
    <t xml:space="preserve">35 - TUE</t>
  </si>
  <si>
    <t xml:space="preserve">Ar Condicionado - Vídeo Conferência</t>
  </si>
  <si>
    <t xml:space="preserve">36 - TUE</t>
  </si>
  <si>
    <t xml:space="preserve">Ar Condicionado - Presidência</t>
  </si>
  <si>
    <t xml:space="preserve">37 - TUE</t>
  </si>
  <si>
    <t xml:space="preserve">Ar Condicionado - Diretoria Técnica</t>
  </si>
  <si>
    <t xml:space="preserve">41 - TUGs</t>
  </si>
  <si>
    <t xml:space="preserve">Diretoria Técnica, Depósito, Circulação 1, Subestação</t>
  </si>
  <si>
    <t xml:space="preserve">CRITÉRIO DA CAPACIDADE DE CONDUÇÃO DE CORRENTE</t>
  </si>
  <si>
    <t xml:space="preserve">IN
[A]</t>
  </si>
  <si>
    <t xml:space="preserve">FT
(F.Temp.)</t>
  </si>
  <si>
    <t xml:space="preserve">N° Circ.
Agrup.</t>
  </si>
  <si>
    <t xml:space="preserve">FA
(F.Agrup.)</t>
  </si>
  <si>
    <t xml:space="preserve">IN'
[A]</t>
  </si>
  <si>
    <t xml:space="preserve">Método
Instala.</t>
  </si>
  <si>
    <t xml:space="preserve">Tipo de
Isolação</t>
  </si>
  <si>
    <t xml:space="preserve">N° Cond.
Carregados</t>
  </si>
  <si>
    <t xml:space="preserve">S2 - Seção 
(mm²)</t>
  </si>
  <si>
    <t xml:space="preserve">B2</t>
  </si>
  <si>
    <t xml:space="preserve">PVC</t>
  </si>
  <si>
    <t xml:space="preserve">B1</t>
  </si>
  <si>
    <t xml:space="preserve">CRITÉRIO DE QUEDA DE TENSÃO</t>
  </si>
  <si>
    <t xml:space="preserve">VN
[V]</t>
  </si>
  <si>
    <t xml:space="preserve">k</t>
  </si>
  <si>
    <t xml:space="preserve">ρ
[Ω.mm²/m]
</t>
  </si>
  <si>
    <t xml:space="preserve">L
[m]</t>
  </si>
  <si>
    <t xml:space="preserve">Queda de tensão (Máx) [%]</t>
  </si>
  <si>
    <t xml:space="preserve">Seção
Calculada
[mm²]</t>
  </si>
  <si>
    <t xml:space="preserve">S3 - Seção
Comercial
[mm²]</t>
  </si>
  <si>
    <t xml:space="preserve">ALIMENTADORES QGBT → QDs (queda máxima 2,0% - item p da Tarefa; fator de demanda 1; reserva conforme Tabela 59 da NBR 5410, considerada no alimentador)</t>
  </si>
  <si>
    <t xml:space="preserve">Alimentador</t>
  </si>
  <si>
    <t xml:space="preserve">IN = maior fase + reserva por fase [A]</t>
  </si>
  <si>
    <t xml:space="preserve">VN [V]</t>
  </si>
  <si>
    <t xml:space="preserve">ρ [Ω.mm²/m]</t>
  </si>
  <si>
    <t xml:space="preserve">L [m]</t>
  </si>
  <si>
    <t xml:space="preserve">Queda máx. [%]</t>
  </si>
  <si>
    <t xml:space="preserve">Seção calculada [mm²]</t>
  </si>
  <si>
    <t xml:space="preserve">Seção adotada (fase e neutro) [mm²]</t>
  </si>
  <si>
    <t xml:space="preserve">ΔV com seção adotada [%]</t>
  </si>
  <si>
    <t xml:space="preserve">Disjuntor geral [A]</t>
  </si>
  <si>
    <t xml:space="preserve">Iz método E, 3 cond. [A]</t>
  </si>
  <si>
    <t xml:space="preserve">Condutor de proteção [mm²]</t>
  </si>
  <si>
    <t xml:space="preserve">Instalação</t>
  </si>
  <si>
    <t xml:space="preserve">Nº de circuitos</t>
  </si>
  <si>
    <t xml:space="preserve">Reservas (Tab. 59)</t>
  </si>
  <si>
    <t xml:space="preserve">Corrente média de 1 circuito monofásico [A]</t>
  </si>
  <si>
    <t xml:space="preserve">Acréscimo de reserva por fase [A]</t>
  </si>
  <si>
    <t xml:space="preserve">Maior fase sem reserva [A]</t>
  </si>
  <si>
    <t xml:space="preserve">Alim. QD1</t>
  </si>
  <si>
    <t xml:space="preserve">QGBT</t>
  </si>
  <si>
    <t xml:space="preserve">Cabo multipolar 0,6/1 kV em leito</t>
  </si>
  <si>
    <t xml:space="preserve">Alim. QD2</t>
  </si>
  <si>
    <t xml:space="preserve">Alim. QD3</t>
  </si>
  <si>
    <t xml:space="preserve">Eletroduto embutido Ø1"</t>
  </si>
  <si>
    <t xml:space="preserve">Alim. QD4</t>
  </si>
  <si>
    <t xml:space="preserve">Eletroduto embutido Ø1.1/4"</t>
  </si>
  <si>
    <t xml:space="preserve">Critérios: disjuntor geral ≥ IN; Iz (catálogo, método E, PVC 70 °C, 3 condutores carregados) ≥ disjuntor; seção mínima do alimentador 10 mm² (slide de QDs); ΔV ≤ 2%; proteção conforme NBR 5410 (S ≤ 16: igual à fase; 16 &lt; S ≤ 35: 16 mm²; S &gt; 35: S/2). Reserva: nº de circuitos pela Tabela 59 (slide de DPS/Quadro de Cargas), cada um estimado com a corrente média dos circuitos monofásicos do quadro e distribuído igualmente entre as fases. Comprimentos medidos pelo trajeto na planta (leitos da fábrica para QD1/QD2; laje para QD3/QD4), com subidas e descidas. Agrupamento no leito: os alimentadores do QD1 e do QD2 saem juntos do QGBT pelo mesmo leito (2 cabos multipolares), fator de agrupamento ≈ 0,88 (NBR 5410). QD1: 35 mm² daria 126 × 0,88 ≈ 111 A &lt; 125 A, por isso 50 mm² (153 × 0,88 ≈ 135 A ≥ 125 A). QD2: 238 × 0,88 ≈ 209 A ≥ 200 A.</t>
  </si>
  <si>
    <t xml:space="preserve">CRITÉRIO DE SOBRECARGA</t>
  </si>
  <si>
    <t xml:space="preserve">ID
[A]</t>
  </si>
  <si>
    <t xml:space="preserve">Temp. 
Ambiente</t>
  </si>
  <si>
    <t xml:space="preserve">ID'
[A]</t>
  </si>
  <si>
    <t xml:space="preserve">Seção do 
Condutor
(máxima)</t>
  </si>
  <si>
    <t xml:space="preserve">IZ
[A]</t>
  </si>
  <si>
    <t xml:space="preserve">IZ'
[A]</t>
  </si>
  <si>
    <t xml:space="preserve">Condutor
Adequado
(IZ'&gt;ID')</t>
  </si>
  <si>
    <t xml:space="preserve">SF - Seção
Final
[mm²]</t>
  </si>
  <si>
    <t xml:space="preserve">QUADRO DE CARGAS</t>
  </si>
  <si>
    <t xml:space="preserve">Dados de Entrada</t>
  </si>
  <si>
    <t xml:space="preserve">Fatores de Correção</t>
  </si>
  <si>
    <t xml:space="preserve">Condutor</t>
  </si>
  <si>
    <t xml:space="preserve">Proteção - Disjuntor</t>
  </si>
  <si>
    <t xml:space="preserve">Proteção - IDR</t>
  </si>
  <si>
    <t xml:space="preserve">Balanço de 
Fases</t>
  </si>
  <si>
    <t xml:space="preserve">Corrente 
Fase R
[A]</t>
  </si>
  <si>
    <t xml:space="preserve">Corrente 
Fase S
[A]</t>
  </si>
  <si>
    <t xml:space="preserve">Corrente 
Fase T
[A]</t>
  </si>
  <si>
    <t xml:space="preserve">Potência
Ativa 
[W]</t>
  </si>
  <si>
    <t xml:space="preserve">Potência Aparente [VA]</t>
  </si>
  <si>
    <t xml:space="preserve">Potência Reativa [VAr]</t>
  </si>
  <si>
    <t xml:space="preserve">F.P.
por circuito</t>
  </si>
  <si>
    <t xml:space="preserve">Corrente de projeto  IN
[A]</t>
  </si>
  <si>
    <t xml:space="preserve">S</t>
  </si>
  <si>
    <t xml:space="preserve">T</t>
  </si>
  <si>
    <t xml:space="preserve">R</t>
  </si>
  <si>
    <t xml:space="preserve">R-S-T</t>
  </si>
  <si>
    <t xml:space="preserve">TOTAL QD1</t>
  </si>
  <si>
    <t xml:space="preserve">Corrente Total por Fase [A]:</t>
  </si>
  <si>
    <t xml:space="preserve">R-S</t>
  </si>
  <si>
    <t xml:space="preserve">TOTAL QD2</t>
  </si>
  <si>
    <t xml:space="preserve">TOTAL QD3</t>
  </si>
  <si>
    <t xml:space="preserve">TOTAL QD4</t>
  </si>
  <si>
    <t xml:space="preserve">TOTAL GERAL DA INSTALAÇÃO</t>
  </si>
  <si>
    <t xml:space="preserve">Corrente Global por Fase [A]: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</si>
</sst>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0.0"/>
    <numFmt numFmtId="168" formatCode="#,##0.00"/>
    <numFmt numFmtId="169" formatCode="#,##0"/>
    <numFmt numFmtId="170" formatCode="0"/>
    <numFmt numFmtId="171" formatCode="0.0000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i val="true"/>
      <sz val="14"/>
      <color theme="1"/>
      <name val="Calibri"/>
      <family val="0"/>
      <charset val="1"/>
    </font>
    <font>
      <b val="true"/>
      <u val="single"/>
      <sz val="11"/>
      <color rgb="FF0000FF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4"/>
      <color rgb="FFFF0000"/>
      <name val="Calibri"/>
      <family val="0"/>
      <charset val="1"/>
    </font>
    <font>
      <sz val="10"/>
      <name val="Arial"/>
      <family val="2"/>
    </font>
    <font>
      <b val="true"/>
      <sz val="11"/>
      <color rgb="FF000000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1"/>
      <color theme="1"/>
      <name val="Cambria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C4BD97"/>
        <bgColor rgb="FFC2D69B"/>
      </patternFill>
    </fill>
    <fill>
      <patternFill patternType="solid">
        <fgColor rgb="FFD8D8D8"/>
        <bgColor rgb="FFD1D8E5"/>
      </patternFill>
    </fill>
    <fill>
      <patternFill patternType="solid">
        <fgColor rgb="FFB8CCE4"/>
        <bgColor rgb="FFC6D8F2"/>
      </patternFill>
    </fill>
    <fill>
      <patternFill patternType="solid">
        <fgColor rgb="FFE5B8B7"/>
        <bgColor rgb="FFF4CCCC"/>
      </patternFill>
    </fill>
    <fill>
      <patternFill patternType="solid">
        <fgColor rgb="FF999999"/>
        <bgColor rgb="FF8DB3E2"/>
      </patternFill>
    </fill>
    <fill>
      <patternFill patternType="solid">
        <fgColor rgb="FFC6D9F0"/>
        <bgColor rgb="FFC6D8F2"/>
      </patternFill>
    </fill>
    <fill>
      <patternFill patternType="solid">
        <fgColor rgb="FFF2DBDB"/>
        <bgColor rgb="FFF4CCCC"/>
      </patternFill>
    </fill>
    <fill>
      <patternFill patternType="solid">
        <fgColor rgb="FFF4CCCC"/>
        <bgColor rgb="FFFBD4B4"/>
      </patternFill>
    </fill>
    <fill>
      <patternFill patternType="solid">
        <fgColor rgb="FFC9DAF8"/>
        <bgColor rgb="FFC6D8F2"/>
      </patternFill>
    </fill>
    <fill>
      <patternFill patternType="solid">
        <fgColor rgb="FFD9EAD3"/>
        <bgColor rgb="FFD6E3BC"/>
      </patternFill>
    </fill>
    <fill>
      <patternFill patternType="solid">
        <fgColor rgb="FFFFF2CC"/>
        <bgColor rgb="FFF2F2F2"/>
      </patternFill>
    </fill>
    <fill>
      <patternFill patternType="solid">
        <fgColor rgb="FF00FF00"/>
        <bgColor rgb="FF00FFFF"/>
      </patternFill>
    </fill>
    <fill>
      <patternFill patternType="solid">
        <fgColor rgb="FFFFFF00"/>
        <bgColor rgb="FFFBD4B4"/>
      </patternFill>
    </fill>
    <fill>
      <patternFill patternType="solid">
        <fgColor rgb="FFD9E1F2"/>
        <bgColor rgb="FFD1D8E5"/>
      </patternFill>
    </fill>
    <fill>
      <patternFill patternType="solid">
        <fgColor rgb="FFFF4B4B"/>
        <bgColor rgb="FF993366"/>
      </patternFill>
    </fill>
    <fill>
      <patternFill patternType="solid">
        <fgColor rgb="FFD6E3BC"/>
        <bgColor rgb="FFD9EAD3"/>
      </patternFill>
    </fill>
    <fill>
      <patternFill patternType="solid">
        <fgColor rgb="FFFBD4B4"/>
        <bgColor rgb="FFF4CCCC"/>
      </patternFill>
    </fill>
    <fill>
      <patternFill patternType="solid">
        <fgColor rgb="FFCCC0D9"/>
        <bgColor rgb="FFB8CCE4"/>
      </patternFill>
    </fill>
    <fill>
      <patternFill patternType="solid">
        <fgColor rgb="FFB6DDE8"/>
        <bgColor rgb="FFC6D9F0"/>
      </patternFill>
    </fill>
    <fill>
      <patternFill patternType="solid">
        <fgColor rgb="FFD1D8E5"/>
        <bgColor rgb="FFD8D8D8"/>
      </patternFill>
    </fill>
    <fill>
      <patternFill patternType="solid">
        <fgColor rgb="FFF2F2F2"/>
        <bgColor rgb="FFFFF2CC"/>
      </patternFill>
    </fill>
    <fill>
      <patternFill patternType="solid">
        <fgColor rgb="FFC6D8F2"/>
        <bgColor rgb="FFC6D9F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D9"/>
      <rgbColor rgb="FFC6D9F0"/>
      <rgbColor rgb="FF8DB3E2"/>
      <rgbColor rgb="FF993366"/>
      <rgbColor rgb="FFFFF2CC"/>
      <rgbColor rgb="FFD9E1F2"/>
      <rgbColor rgb="FF660066"/>
      <rgbColor rgb="FFF4CCCC"/>
      <rgbColor rgb="FF0066CC"/>
      <rgbColor rgb="FFC6D8F2"/>
      <rgbColor rgb="FF000080"/>
      <rgbColor rgb="FFFF00FF"/>
      <rgbColor rgb="FFD8D8D8"/>
      <rgbColor rgb="FF00FFFF"/>
      <rgbColor rgb="FF800080"/>
      <rgbColor rgb="FF800000"/>
      <rgbColor rgb="FF008080"/>
      <rgbColor rgb="FF0000FF"/>
      <rgbColor rgb="FF00CCFF"/>
      <rgbColor rgb="FFC9DAF8"/>
      <rgbColor rgb="FFD9EAD3"/>
      <rgbColor rgb="FFD6E3BC"/>
      <rgbColor rgb="FFB8CCE4"/>
      <rgbColor rgb="FFE5B8B7"/>
      <rgbColor rgb="FFC4BD97"/>
      <rgbColor rgb="FFFBD4B4"/>
      <rgbColor rgb="FF3366FF"/>
      <rgbColor rgb="FFB6DDE8"/>
      <rgbColor rgb="FFC2D69B"/>
      <rgbColor rgb="FFF2DBDB"/>
      <rgbColor rgb="FFD1D8E5"/>
      <rgbColor rgb="FFFF4B4B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lumicenter.com/produtos/lhb60-s" TargetMode="External"/><Relationship Id="rId3" Type="http://schemas.openxmlformats.org/officeDocument/2006/relationships/hyperlink" Target="https://lumicenter.com/produtos/lhb60-s" TargetMode="External"/><Relationship Id="rId4" Type="http://schemas.openxmlformats.org/officeDocument/2006/relationships/hyperlink" Target="https://lumicenter.com/produtos/lhb60-s" TargetMode="External"/><Relationship Id="rId5" Type="http://schemas.openxmlformats.org/officeDocument/2006/relationships/hyperlink" Target="https://lumicenter.com/produtos/lhb60-s" TargetMode="External"/><Relationship Id="rId6" Type="http://schemas.openxmlformats.org/officeDocument/2006/relationships/hyperlink" Target="https://lumicenter.com/produtos/lhb60-s" TargetMode="External"/><Relationship Id="rId7" Type="http://schemas.openxmlformats.org/officeDocument/2006/relationships/hyperlink" Target="https://lumicenter.com/produtos/lhb60-s" TargetMode="External"/><Relationship Id="rId8" Type="http://schemas.openxmlformats.org/officeDocument/2006/relationships/hyperlink" Target="https://lumicenter.com/produtos/lhb60-s" TargetMode="External"/><Relationship Id="rId9" Type="http://schemas.openxmlformats.org/officeDocument/2006/relationships/hyperlink" Target="https://lumicenter.com/produtos/lhb60-s" TargetMode="External"/><Relationship Id="rId10" Type="http://schemas.openxmlformats.org/officeDocument/2006/relationships/hyperlink" Target="https://lumicenter.com/produtos/lhb60-s" TargetMode="External"/><Relationship Id="rId11" Type="http://schemas.openxmlformats.org/officeDocument/2006/relationships/hyperlink" Target="https://lumicenter.com/produtos/lhb60-s" TargetMode="External"/><Relationship Id="rId12" Type="http://schemas.openxmlformats.org/officeDocument/2006/relationships/hyperlink" Target="https://lumicenter.com/produtos/lht44-s" TargetMode="External"/><Relationship Id="rId13" Type="http://schemas.openxmlformats.org/officeDocument/2006/relationships/hyperlink" Target="https://lumicenter.com/produtos/lht44-s" TargetMode="External"/><Relationship Id="rId14" Type="http://schemas.openxmlformats.org/officeDocument/2006/relationships/hyperlink" Target="https://lumicenter.com/produtos/lht44-s" TargetMode="External"/><Relationship Id="rId15" Type="http://schemas.openxmlformats.org/officeDocument/2006/relationships/hyperlink" Target="https://lumicenter.com/produtos/lht44-s" TargetMode="External"/><Relationship Id="rId16" Type="http://schemas.openxmlformats.org/officeDocument/2006/relationships/hyperlink" Target="https://lumicenter.com/produtos/lht44-s" TargetMode="External"/><Relationship Id="rId17" Type="http://schemas.openxmlformats.org/officeDocument/2006/relationships/hyperlink" Target="https://lumicenter.com/produtos/lht44-s" TargetMode="External"/><Relationship Id="rId18" Type="http://schemas.openxmlformats.org/officeDocument/2006/relationships/hyperlink" Target="https://lumicenter.com/produtos/lht44-s" TargetMode="External"/><Relationship Id="rId19" Type="http://schemas.openxmlformats.org/officeDocument/2006/relationships/hyperlink" Target="https://lumicenter.com/produtos/lht44-s" TargetMode="External"/><Relationship Id="rId20" Type="http://schemas.openxmlformats.org/officeDocument/2006/relationships/hyperlink" Target="https://lumicenter.com/produtos/lht44-s" TargetMode="External"/><Relationship Id="rId21" Type="http://schemas.openxmlformats.org/officeDocument/2006/relationships/hyperlink" Target="https://lumicenter.com/produtos/lht44-s" TargetMode="External"/><Relationship Id="rId22" Type="http://schemas.openxmlformats.org/officeDocument/2006/relationships/hyperlink" Target="https://lumicenter.com/produtos/lht44-s" TargetMode="External"/><Relationship Id="rId23" Type="http://schemas.openxmlformats.org/officeDocument/2006/relationships/hyperlink" Target="https://lumicenter.com/produtos/lht44-s" TargetMode="External"/><Relationship Id="rId24" Type="http://schemas.openxmlformats.org/officeDocument/2006/relationships/hyperlink" Target="https://lumicenter.com/produtos/lht44-s" TargetMode="External"/><Relationship Id="rId25" Type="http://schemas.openxmlformats.org/officeDocument/2006/relationships/hyperlink" Target="https://lumicenter.com/produtos/lht44-s" TargetMode="External"/><Relationship Id="rId26" Type="http://schemas.openxmlformats.org/officeDocument/2006/relationships/hyperlink" Target="https://lumicenter.com/produtos/lht44-s" TargetMode="External"/><Relationship Id="rId27" Type="http://schemas.openxmlformats.org/officeDocument/2006/relationships/hyperlink" Target="https://lumicenter.com/produtos/lht44-s" TargetMode="External"/><Relationship Id="rId28" Type="http://schemas.openxmlformats.org/officeDocument/2006/relationships/hyperlink" Target="https://lumicenter.com/produtos/lht44-s" TargetMode="External"/><Relationship Id="rId29" Type="http://schemas.openxmlformats.org/officeDocument/2006/relationships/hyperlink" Target="https://lumicenter.com/produtos/lht44-s" TargetMode="External"/><Relationship Id="rId30" Type="http://schemas.openxmlformats.org/officeDocument/2006/relationships/hyperlink" Target="https://lumicenter.com/produtos/lht44-s" TargetMode="External"/><Relationship Id="rId31" Type="http://schemas.openxmlformats.org/officeDocument/2006/relationships/hyperlink" Target="https://lumicenter.com/produtos/lht44-s" TargetMode="External"/><Relationship Id="rId32" Type="http://schemas.openxmlformats.org/officeDocument/2006/relationships/hyperlink" Target="https://lumicenter.com/produtos/lht44-s" TargetMode="External"/><Relationship Id="rId33" Type="http://schemas.openxmlformats.org/officeDocument/2006/relationships/hyperlink" Target="https://lumicenter.com/produtos/lht44-s" TargetMode="External"/><Relationship Id="rId34" Type="http://schemas.openxmlformats.org/officeDocument/2006/relationships/hyperlink" Target="https://lumicenter.com/produtos/lht44-s" TargetMode="External"/><Relationship Id="rId35" Type="http://schemas.openxmlformats.org/officeDocument/2006/relationships/hyperlink" Target="https://lumicenter.com/produtos/lht44-s" TargetMode="External"/><Relationship Id="rId36" Type="http://schemas.openxmlformats.org/officeDocument/2006/relationships/hyperlink" Target="https://lumicenter.com/produtos/lht44-s" TargetMode="External"/><Relationship Id="rId37" Type="http://schemas.openxmlformats.org/officeDocument/2006/relationships/hyperlink" Target="https://lumicenter.com/produtos/lht44-s" TargetMode="External"/><Relationship Id="rId38" Type="http://schemas.openxmlformats.org/officeDocument/2006/relationships/hyperlink" Target="https://lumicenter.com/produtos/lht44-s" TargetMode="External"/><Relationship Id="rId39" Type="http://schemas.openxmlformats.org/officeDocument/2006/relationships/hyperlink" Target="https://lumicenter.com/produtos/lht44-s" TargetMode="External"/><Relationship Id="rId40" Type="http://schemas.openxmlformats.org/officeDocument/2006/relationships/hyperlink" Target="https://lumicenter.com/produtos/lht44-s" TargetMode="External"/><Relationship Id="rId41" Type="http://schemas.openxmlformats.org/officeDocument/2006/relationships/hyperlink" Target="https://lumicenter.com/produtos/lht44-s" TargetMode="External"/><Relationship Id="rId42" Type="http://schemas.openxmlformats.org/officeDocument/2006/relationships/hyperlink" Target="https://lumicenter.com/produtos/lht44-s" TargetMode="External"/><Relationship Id="rId43" Type="http://schemas.openxmlformats.org/officeDocument/2006/relationships/hyperlink" Target="https://lumicenter.com/produtos/lht44-s" TargetMode="External"/><Relationship Id="rId44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D69B"/>
    <pageSetUpPr fitToPage="false"/>
  </sheetPr>
  <dimension ref="A1:A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38.14"/>
    <col collapsed="false" customWidth="true" hidden="false" outlineLevel="0" max="9" min="3" style="0" width="8.71"/>
    <col collapsed="false" customWidth="true" hidden="false" outlineLevel="0" max="11" min="10" style="0" width="13.29"/>
    <col collapsed="false" customWidth="true" hidden="false" outlineLevel="0" max="12" min="12" style="0" width="12"/>
    <col collapsed="false" customWidth="true" hidden="false" outlineLevel="0" max="13" min="13" style="0" width="12.29"/>
    <col collapsed="false" customWidth="true" hidden="false" outlineLevel="0" max="14" min="14" style="0" width="12.86"/>
    <col collapsed="false" customWidth="true" hidden="false" outlineLevel="0" max="18" min="15" style="0" width="10.85"/>
    <col collapsed="false" customWidth="true" hidden="false" outlineLevel="0" max="19" min="19" style="0" width="8.71"/>
    <col collapsed="false" customWidth="true" hidden="false" outlineLevel="0" max="20" min="20" style="0" width="13.71"/>
    <col collapsed="false" customWidth="true" hidden="false" outlineLevel="0" max="21" min="21" style="0" width="8.71"/>
    <col collapsed="false" customWidth="true" hidden="false" outlineLevel="0" max="22" min="22" style="0" width="10.57"/>
    <col collapsed="false" customWidth="true" hidden="false" outlineLevel="0" max="24" min="23" style="0" width="11.29"/>
    <col collapsed="false" customWidth="true" hidden="false" outlineLevel="0" max="25" min="25" style="0" width="13.57"/>
    <col collapsed="false" customWidth="true" hidden="false" outlineLevel="0" max="26" min="26" style="0" width="10.57"/>
    <col collapsed="false" customWidth="true" hidden="false" outlineLevel="0" max="27" min="27" style="0" width="8.71"/>
    <col collapsed="false" customWidth="true" hidden="false" outlineLevel="0" max="28" min="28" style="0" width="11.71"/>
    <col collapsed="false" customWidth="true" hidden="false" outlineLevel="0" max="29" min="29" style="0" width="8.71"/>
    <col collapsed="false" customWidth="true" hidden="false" outlineLevel="0" max="30" min="30" style="0" width="11.71"/>
    <col collapsed="false" customWidth="true" hidden="false" outlineLevel="0" max="31" min="31" style="0" width="13"/>
    <col collapsed="false" customWidth="true" hidden="false" outlineLevel="0" max="32" min="32" style="0" width="12"/>
    <col collapsed="false" customWidth="true" hidden="false" outlineLevel="0" max="33" min="33" style="0" width="12.57"/>
    <col collapsed="false" customWidth="true" hidden="false" outlineLevel="0" max="34" min="34" style="0" width="12"/>
    <col collapsed="false" customWidth="true" hidden="false" outlineLevel="0" max="35" min="35" style="0" width="14.86"/>
    <col collapsed="false" customWidth="true" hidden="false" outlineLevel="0" max="36" min="36" style="0" width="9.57"/>
    <col collapsed="false" customWidth="true" hidden="false" outlineLevel="0" max="39" min="37" style="0" width="8.71"/>
    <col collapsed="false" customWidth="true" hidden="false" outlineLevel="0" max="40" min="40" style="0" width="9.14"/>
    <col collapsed="false" customWidth="true" hidden="false" outlineLevel="0" max="41" min="41" style="0" width="8.7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customFormat="false" ht="15" hidden="false" customHeight="true" outlineLevel="0" collapsed="false">
      <c r="A2" s="2" t="s">
        <v>1</v>
      </c>
      <c r="B2" s="3" t="s">
        <v>2</v>
      </c>
      <c r="C2" s="4" t="s">
        <v>3</v>
      </c>
      <c r="D2" s="4"/>
      <c r="E2" s="4"/>
      <c r="F2" s="5" t="s">
        <v>4</v>
      </c>
      <c r="G2" s="5"/>
      <c r="H2" s="5"/>
      <c r="I2" s="5"/>
      <c r="J2" s="5"/>
      <c r="K2" s="5"/>
      <c r="L2" s="6" t="s">
        <v>5</v>
      </c>
      <c r="M2" s="6" t="s">
        <v>6</v>
      </c>
      <c r="N2" s="6" t="s">
        <v>7</v>
      </c>
      <c r="O2" s="7" t="s">
        <v>8</v>
      </c>
      <c r="P2" s="7"/>
      <c r="Q2" s="7"/>
      <c r="R2" s="7"/>
      <c r="S2" s="7"/>
      <c r="T2" s="7"/>
      <c r="U2" s="7"/>
      <c r="V2" s="7"/>
      <c r="W2" s="7"/>
      <c r="X2" s="7"/>
      <c r="Y2" s="7"/>
      <c r="Z2" s="8" t="s">
        <v>9</v>
      </c>
      <c r="AA2" s="8"/>
      <c r="AB2" s="8"/>
      <c r="AC2" s="8"/>
      <c r="AD2" s="6" t="s">
        <v>10</v>
      </c>
      <c r="AE2" s="6" t="s">
        <v>11</v>
      </c>
      <c r="AF2" s="6" t="s">
        <v>12</v>
      </c>
      <c r="AG2" s="6" t="s">
        <v>13</v>
      </c>
      <c r="AH2" s="6" t="s">
        <v>14</v>
      </c>
      <c r="AI2" s="6" t="s">
        <v>15</v>
      </c>
      <c r="AJ2" s="6" t="s">
        <v>16</v>
      </c>
      <c r="AK2" s="6" t="s">
        <v>17</v>
      </c>
      <c r="AL2" s="6" t="s">
        <v>18</v>
      </c>
      <c r="AM2" s="6" t="s">
        <v>19</v>
      </c>
      <c r="AN2" s="6" t="s">
        <v>20</v>
      </c>
      <c r="AO2" s="9" t="s">
        <v>21</v>
      </c>
    </row>
    <row r="3" customFormat="false" ht="54.75" hidden="false" customHeight="true" outlineLevel="0" collapsed="false">
      <c r="A3" s="2"/>
      <c r="B3" s="3"/>
      <c r="C3" s="10" t="s">
        <v>22</v>
      </c>
      <c r="D3" s="10" t="s">
        <v>23</v>
      </c>
      <c r="E3" s="10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  <c r="K3" s="12" t="s">
        <v>30</v>
      </c>
      <c r="L3" s="6"/>
      <c r="M3" s="6"/>
      <c r="N3" s="6"/>
      <c r="O3" s="13" t="s">
        <v>31</v>
      </c>
      <c r="P3" s="13" t="s">
        <v>32</v>
      </c>
      <c r="Q3" s="13" t="s">
        <v>33</v>
      </c>
      <c r="R3" s="13" t="s">
        <v>34</v>
      </c>
      <c r="S3" s="13" t="s">
        <v>35</v>
      </c>
      <c r="T3" s="13" t="s">
        <v>36</v>
      </c>
      <c r="U3" s="13" t="s">
        <v>37</v>
      </c>
      <c r="V3" s="13" t="s">
        <v>38</v>
      </c>
      <c r="W3" s="13" t="s">
        <v>39</v>
      </c>
      <c r="X3" s="13" t="s">
        <v>40</v>
      </c>
      <c r="Y3" s="13" t="s">
        <v>41</v>
      </c>
      <c r="Z3" s="14" t="s">
        <v>32</v>
      </c>
      <c r="AA3" s="14" t="s">
        <v>42</v>
      </c>
      <c r="AB3" s="14" t="s">
        <v>43</v>
      </c>
      <c r="AC3" s="14" t="s">
        <v>41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9"/>
    </row>
    <row r="4" customFormat="false" ht="18" hidden="false" customHeight="true" outlineLevel="0" collapsed="false">
      <c r="A4" s="15" t="s">
        <v>44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customFormat="false" ht="41.25" hidden="false" customHeight="true" outlineLevel="0" collapsed="false">
      <c r="A5" s="16" t="n">
        <v>1</v>
      </c>
      <c r="B5" s="16" t="s">
        <v>45</v>
      </c>
      <c r="C5" s="17" t="n">
        <v>0.7</v>
      </c>
      <c r="D5" s="17" t="n">
        <v>0.5</v>
      </c>
      <c r="E5" s="17" t="n">
        <v>0.1</v>
      </c>
      <c r="F5" s="18" t="n">
        <v>9</v>
      </c>
      <c r="G5" s="18" t="n">
        <v>16.2</v>
      </c>
      <c r="H5" s="19" t="n">
        <v>6</v>
      </c>
      <c r="I5" s="19" t="n">
        <v>1</v>
      </c>
      <c r="J5" s="19" t="n">
        <v>1</v>
      </c>
      <c r="K5" s="20" t="n">
        <f aca="false">IF(F5="", "", H5 - I5 - J5)</f>
        <v>4</v>
      </c>
      <c r="L5" s="16" t="n">
        <v>500</v>
      </c>
      <c r="M5" s="21" t="n">
        <f aca="false">IF(F5="", "", 5 * K5 * (F5 + G5) / (F5 * G5))</f>
        <v>3.45679012345679</v>
      </c>
      <c r="N5" s="21" t="n">
        <f aca="false">IF(F5="", "", (F5 * G5) / (K5 * (F5 + G5)))</f>
        <v>1.44642857142857</v>
      </c>
      <c r="O5" s="16" t="s">
        <v>46</v>
      </c>
      <c r="P5" s="16" t="s">
        <v>47</v>
      </c>
      <c r="Q5" s="16" t="s">
        <v>48</v>
      </c>
      <c r="R5" s="16" t="n">
        <v>12620</v>
      </c>
      <c r="S5" s="16" t="n">
        <v>80</v>
      </c>
      <c r="T5" s="16" t="n">
        <v>5000</v>
      </c>
      <c r="U5" s="16" t="n">
        <v>100000</v>
      </c>
      <c r="V5" s="16" t="n">
        <v>78.7</v>
      </c>
      <c r="W5" s="16" t="n">
        <v>0</v>
      </c>
      <c r="X5" s="16" t="n">
        <v>0.99</v>
      </c>
      <c r="Y5" s="22" t="s">
        <v>49</v>
      </c>
      <c r="Z5" s="16" t="s">
        <v>47</v>
      </c>
      <c r="AA5" s="16" t="s">
        <v>48</v>
      </c>
      <c r="AB5" s="16" t="n">
        <v>1</v>
      </c>
      <c r="AC5" s="22" t="s">
        <v>49</v>
      </c>
      <c r="AD5" s="16" t="n">
        <v>0.76</v>
      </c>
      <c r="AE5" s="16" t="n">
        <v>0.7</v>
      </c>
      <c r="AF5" s="21" t="n">
        <f aca="false">IF(F5="", "", IFERROR((L5 * F5 * G5) / (AD5 * AE5), ""))</f>
        <v>137030.07518797</v>
      </c>
      <c r="AG5" s="20" t="n">
        <f aca="false">ROUNDUP(AF5/(R5*AB5),0)</f>
        <v>11</v>
      </c>
      <c r="AH5" s="20" t="n">
        <v>3</v>
      </c>
      <c r="AI5" s="20" t="n">
        <v>4</v>
      </c>
      <c r="AJ5" s="20" t="n">
        <f aca="false">IF(F5="", "", IFERROR(G5 / AI5, ""))</f>
        <v>4.05</v>
      </c>
      <c r="AK5" s="20" t="n">
        <f aca="false">IF(F5="", "", IFERROR(F5 / AH5, ""))</f>
        <v>3</v>
      </c>
      <c r="AL5" s="20" t="n">
        <f aca="false">IF(F5="", "", IFERROR(AJ5 / 2, ""))</f>
        <v>2.025</v>
      </c>
      <c r="AM5" s="20" t="n">
        <f aca="false">IF(F5="", "", IFERROR(AK5 / 2, ""))</f>
        <v>1.5</v>
      </c>
      <c r="AN5" s="21" t="n">
        <f aca="false">AH5*AI5*AB5*(V5+W5)</f>
        <v>944.4</v>
      </c>
      <c r="AO5" s="21" t="n">
        <f aca="false">IF(F5="", "", IFERROR(AN5 / X5, ""))</f>
        <v>953.939393939394</v>
      </c>
    </row>
    <row r="6" customFormat="false" ht="41.25" hidden="false" customHeight="true" outlineLevel="0" collapsed="false">
      <c r="A6" s="23" t="n">
        <v>2</v>
      </c>
      <c r="B6" s="23" t="s">
        <v>50</v>
      </c>
      <c r="C6" s="24" t="n">
        <v>0.7</v>
      </c>
      <c r="D6" s="17" t="n">
        <v>0.5</v>
      </c>
      <c r="E6" s="24" t="n">
        <v>0.1</v>
      </c>
      <c r="F6" s="23" t="n">
        <v>8.2</v>
      </c>
      <c r="G6" s="25" t="n">
        <v>16.2</v>
      </c>
      <c r="H6" s="19" t="n">
        <v>6</v>
      </c>
      <c r="I6" s="19" t="n">
        <v>1</v>
      </c>
      <c r="J6" s="19" t="n">
        <v>1</v>
      </c>
      <c r="K6" s="20" t="n">
        <f aca="false">IF(F6="", "", H6 - I6 - J6)</f>
        <v>4</v>
      </c>
      <c r="L6" s="26" t="n">
        <v>750</v>
      </c>
      <c r="M6" s="27" t="n">
        <f aca="false">IF(F6="", "", 5 * K6 * (F6 + G6) / (F6 * G6))</f>
        <v>3.67359229147847</v>
      </c>
      <c r="N6" s="27" t="n">
        <f aca="false">IF(F6="", "", (F6 * G6) / (K6 * (F6 + G6)))</f>
        <v>1.36106557377049</v>
      </c>
      <c r="O6" s="16" t="s">
        <v>46</v>
      </c>
      <c r="P6" s="23" t="s">
        <v>47</v>
      </c>
      <c r="Q6" s="23" t="s">
        <v>48</v>
      </c>
      <c r="R6" s="23" t="n">
        <v>12620</v>
      </c>
      <c r="S6" s="23" t="n">
        <v>80</v>
      </c>
      <c r="T6" s="23" t="n">
        <v>5000</v>
      </c>
      <c r="U6" s="23" t="n">
        <v>100000</v>
      </c>
      <c r="V6" s="23" t="n">
        <v>78.7</v>
      </c>
      <c r="W6" s="23" t="n">
        <v>0</v>
      </c>
      <c r="X6" s="23" t="n">
        <v>0.99</v>
      </c>
      <c r="Y6" s="22" t="s">
        <v>49</v>
      </c>
      <c r="Z6" s="23" t="s">
        <v>47</v>
      </c>
      <c r="AA6" s="23" t="s">
        <v>48</v>
      </c>
      <c r="AB6" s="23" t="n">
        <v>1</v>
      </c>
      <c r="AC6" s="22" t="s">
        <v>49</v>
      </c>
      <c r="AD6" s="16" t="n">
        <v>0.74</v>
      </c>
      <c r="AE6" s="23" t="n">
        <v>0.7</v>
      </c>
      <c r="AF6" s="27" t="n">
        <f aca="false">IF(F6="", "", IFERROR((L6 * F6 * G6) / (AD6 * AE6), ""))</f>
        <v>192335.907335907</v>
      </c>
      <c r="AG6" s="28" t="n">
        <f aca="false">ROUNDUP(AF6/(R6*AB6),0)</f>
        <v>16</v>
      </c>
      <c r="AH6" s="28" t="n">
        <v>3</v>
      </c>
      <c r="AI6" s="28" t="n">
        <v>6</v>
      </c>
      <c r="AJ6" s="28" t="n">
        <f aca="false">IF(F6="", "", IFERROR(G6 / AI6, ""))</f>
        <v>2.7</v>
      </c>
      <c r="AK6" s="28" t="n">
        <f aca="false">IF(F6="", "", IFERROR(F6 / AH6, ""))</f>
        <v>2.73333333333333</v>
      </c>
      <c r="AL6" s="28" t="n">
        <f aca="false">IF(F6="", "", IFERROR(AJ6 / 2, ""))</f>
        <v>1.35</v>
      </c>
      <c r="AM6" s="28" t="n">
        <f aca="false">IF(F6="", "", IFERROR(AK6 / 2, ""))</f>
        <v>1.36666666666667</v>
      </c>
      <c r="AN6" s="27" t="n">
        <f aca="false">AH6*AI6*AB6*(V6+W6)</f>
        <v>1416.6</v>
      </c>
      <c r="AO6" s="27" t="n">
        <f aca="false">IF(F6="", "", IFERROR(AN6 / X6, ""))</f>
        <v>1430.90909090909</v>
      </c>
    </row>
    <row r="7" customFormat="false" ht="41.25" hidden="false" customHeight="true" outlineLevel="0" collapsed="false">
      <c r="A7" s="23" t="n">
        <v>3</v>
      </c>
      <c r="B7" s="23" t="s">
        <v>51</v>
      </c>
      <c r="C7" s="24" t="n">
        <v>0.7</v>
      </c>
      <c r="D7" s="17" t="n">
        <v>0.5</v>
      </c>
      <c r="E7" s="24" t="n">
        <v>0.1</v>
      </c>
      <c r="F7" s="25" t="n">
        <v>9</v>
      </c>
      <c r="G7" s="25" t="n">
        <v>16.6</v>
      </c>
      <c r="H7" s="19" t="n">
        <v>6</v>
      </c>
      <c r="I7" s="19" t="n">
        <v>1</v>
      </c>
      <c r="J7" s="19" t="n">
        <v>1</v>
      </c>
      <c r="K7" s="20" t="n">
        <f aca="false">IF(F7="", "", H7 - I7 - J7)</f>
        <v>4</v>
      </c>
      <c r="L7" s="23" t="n">
        <v>300</v>
      </c>
      <c r="M7" s="27" t="n">
        <f aca="false">IF(F7="", "", 5 * K7 * (F7 + G7) / (F7 * G7))</f>
        <v>3.42704149933066</v>
      </c>
      <c r="N7" s="27" t="n">
        <f aca="false">IF(F7="", "", (F7 * G7) / (K7 * (F7 + G7)))</f>
        <v>1.458984375</v>
      </c>
      <c r="O7" s="16" t="s">
        <v>46</v>
      </c>
      <c r="P7" s="23" t="s">
        <v>47</v>
      </c>
      <c r="Q7" s="23" t="s">
        <v>48</v>
      </c>
      <c r="R7" s="23" t="n">
        <v>12620</v>
      </c>
      <c r="S7" s="23" t="n">
        <v>80</v>
      </c>
      <c r="T7" s="23" t="n">
        <v>5000</v>
      </c>
      <c r="U7" s="23" t="n">
        <v>100000</v>
      </c>
      <c r="V7" s="23" t="n">
        <v>78.7</v>
      </c>
      <c r="W7" s="23" t="n">
        <v>0</v>
      </c>
      <c r="X7" s="23" t="n">
        <v>0.99</v>
      </c>
      <c r="Y7" s="22" t="s">
        <v>49</v>
      </c>
      <c r="Z7" s="23" t="s">
        <v>47</v>
      </c>
      <c r="AA7" s="23" t="s">
        <v>48</v>
      </c>
      <c r="AB7" s="23" t="n">
        <v>1</v>
      </c>
      <c r="AC7" s="22" t="s">
        <v>49</v>
      </c>
      <c r="AD7" s="16" t="n">
        <v>0.76</v>
      </c>
      <c r="AE7" s="23" t="n">
        <v>0.7</v>
      </c>
      <c r="AF7" s="27" t="n">
        <f aca="false">IF(F7="", "", IFERROR((L7 * F7 * G7) / (AD7 * AE7), ""))</f>
        <v>84248.1203007519</v>
      </c>
      <c r="AG7" s="28" t="n">
        <f aca="false">ROUNDUP(AF7/(R7*AB7),0)</f>
        <v>7</v>
      </c>
      <c r="AH7" s="28" t="n">
        <v>2</v>
      </c>
      <c r="AI7" s="28" t="n">
        <v>4</v>
      </c>
      <c r="AJ7" s="28" t="n">
        <f aca="false">IF(F7="", "", IFERROR(G7 / AI7, ""))</f>
        <v>4.15</v>
      </c>
      <c r="AK7" s="28" t="n">
        <f aca="false">IF(F7="", "", IFERROR(F7 / AH7, ""))</f>
        <v>4.5</v>
      </c>
      <c r="AL7" s="28" t="n">
        <f aca="false">IF(F7="", "", IFERROR(AJ7 / 2, ""))</f>
        <v>2.075</v>
      </c>
      <c r="AM7" s="28" t="n">
        <f aca="false">IF(F7="", "", IFERROR(AK7 / 2, ""))</f>
        <v>2.25</v>
      </c>
      <c r="AN7" s="27" t="n">
        <f aca="false">AH7*AI7*AB7*(V7+W7)</f>
        <v>629.6</v>
      </c>
      <c r="AO7" s="27" t="n">
        <f aca="false">IF(F7="", "", IFERROR(AN7 / X7, ""))</f>
        <v>635.959595959596</v>
      </c>
    </row>
    <row r="8" customFormat="false" ht="41.25" hidden="false" customHeight="true" outlineLevel="0" collapsed="false">
      <c r="A8" s="23" t="n">
        <v>4</v>
      </c>
      <c r="B8" s="23" t="s">
        <v>52</v>
      </c>
      <c r="C8" s="24" t="n">
        <v>0.7</v>
      </c>
      <c r="D8" s="17" t="n">
        <v>0.5</v>
      </c>
      <c r="E8" s="24" t="n">
        <v>0.1</v>
      </c>
      <c r="F8" s="25" t="n">
        <v>8.15</v>
      </c>
      <c r="G8" s="25" t="n">
        <v>16.7</v>
      </c>
      <c r="H8" s="19" t="n">
        <v>6</v>
      </c>
      <c r="I8" s="19" t="n">
        <v>1</v>
      </c>
      <c r="J8" s="19" t="n">
        <v>1</v>
      </c>
      <c r="K8" s="20" t="n">
        <f aca="false">IF(F8="", "", H8 - I8 - J8)</f>
        <v>4</v>
      </c>
      <c r="L8" s="23" t="n">
        <v>300</v>
      </c>
      <c r="M8" s="27" t="n">
        <f aca="false">IF(F8="", "", 5 * K8 * (F8 + G8) / (F8 * G8))</f>
        <v>3.65159252048051</v>
      </c>
      <c r="N8" s="27" t="n">
        <f aca="false">IF(F8="", "", (F8 * G8) / (K8 * (F8 + G8)))</f>
        <v>1.36926559356137</v>
      </c>
      <c r="O8" s="16" t="s">
        <v>46</v>
      </c>
      <c r="P8" s="23" t="s">
        <v>47</v>
      </c>
      <c r="Q8" s="23" t="s">
        <v>48</v>
      </c>
      <c r="R8" s="23" t="n">
        <v>12620</v>
      </c>
      <c r="S8" s="23" t="n">
        <v>80</v>
      </c>
      <c r="T8" s="23" t="n">
        <v>5000</v>
      </c>
      <c r="U8" s="23" t="n">
        <v>100000</v>
      </c>
      <c r="V8" s="23" t="n">
        <v>78.7</v>
      </c>
      <c r="W8" s="23" t="n">
        <v>0</v>
      </c>
      <c r="X8" s="23" t="n">
        <v>0.99</v>
      </c>
      <c r="Y8" s="22" t="s">
        <v>49</v>
      </c>
      <c r="Z8" s="23" t="s">
        <v>47</v>
      </c>
      <c r="AA8" s="23" t="s">
        <v>48</v>
      </c>
      <c r="AB8" s="23" t="n">
        <v>1</v>
      </c>
      <c r="AC8" s="22" t="s">
        <v>49</v>
      </c>
      <c r="AD8" s="16" t="n">
        <v>0.74</v>
      </c>
      <c r="AE8" s="23" t="n">
        <v>0.7</v>
      </c>
      <c r="AF8" s="27" t="n">
        <f aca="false">IF(F8="", "", IFERROR((L8 * F8 * G8) / (AD8 * AE8), ""))</f>
        <v>78825.2895752896</v>
      </c>
      <c r="AG8" s="28" t="n">
        <f aca="false">ROUNDUP(AF8/(R8*AB8),0)</f>
        <v>7</v>
      </c>
      <c r="AH8" s="28" t="n">
        <v>2</v>
      </c>
      <c r="AI8" s="28" t="n">
        <v>4</v>
      </c>
      <c r="AJ8" s="28" t="n">
        <f aca="false">IF(F8="", "", IFERROR(G8 / AI8, ""))</f>
        <v>4.175</v>
      </c>
      <c r="AK8" s="28" t="n">
        <f aca="false">IF(F8="", "", IFERROR(F8 / AH8, ""))</f>
        <v>4.075</v>
      </c>
      <c r="AL8" s="28" t="n">
        <f aca="false">IF(F8="", "", IFERROR(AJ8 / 2, ""))</f>
        <v>2.0875</v>
      </c>
      <c r="AM8" s="28" t="n">
        <f aca="false">IF(F8="", "", IFERROR(AK8 / 2, ""))</f>
        <v>2.0375</v>
      </c>
      <c r="AN8" s="27" t="n">
        <f aca="false">AH8*AI8*AB8*(V8+W8)</f>
        <v>629.6</v>
      </c>
      <c r="AO8" s="27" t="n">
        <f aca="false">IF(F8="", "", IFERROR(AN8 / X8, ""))</f>
        <v>635.959595959596</v>
      </c>
    </row>
    <row r="9" customFormat="false" ht="41.25" hidden="false" customHeight="true" outlineLevel="0" collapsed="false">
      <c r="A9" s="23" t="n">
        <v>5</v>
      </c>
      <c r="B9" s="23" t="s">
        <v>53</v>
      </c>
      <c r="C9" s="24" t="n">
        <v>0.7</v>
      </c>
      <c r="D9" s="17" t="n">
        <v>0.5</v>
      </c>
      <c r="E9" s="24" t="n">
        <v>0.1</v>
      </c>
      <c r="F9" s="29" t="n">
        <v>7.15</v>
      </c>
      <c r="G9" s="23" t="n">
        <v>13.45</v>
      </c>
      <c r="H9" s="19" t="n">
        <v>6</v>
      </c>
      <c r="I9" s="19" t="n">
        <v>1</v>
      </c>
      <c r="J9" s="19" t="n">
        <v>1</v>
      </c>
      <c r="K9" s="20" t="n">
        <f aca="false">IF(F9="", "", H9 - I9 - J9)</f>
        <v>4</v>
      </c>
      <c r="L9" s="23" t="n">
        <v>1000</v>
      </c>
      <c r="M9" s="27" t="n">
        <f aca="false">IF(F9="", "", 5 * K9 * (F9 + G9) / (F9 * G9))</f>
        <v>4.28419164478644</v>
      </c>
      <c r="N9" s="27" t="n">
        <f aca="false">IF(F9="", "", (F9 * G9) / (K9 * (F9 + G9)))</f>
        <v>1.16708131067961</v>
      </c>
      <c r="O9" s="16" t="s">
        <v>46</v>
      </c>
      <c r="P9" s="23" t="s">
        <v>47</v>
      </c>
      <c r="Q9" s="23" t="s">
        <v>48</v>
      </c>
      <c r="R9" s="23" t="n">
        <v>12620</v>
      </c>
      <c r="S9" s="23" t="n">
        <v>80</v>
      </c>
      <c r="T9" s="23" t="n">
        <v>5000</v>
      </c>
      <c r="U9" s="23" t="n">
        <v>100000</v>
      </c>
      <c r="V9" s="23" t="n">
        <v>78.7</v>
      </c>
      <c r="W9" s="23" t="n">
        <v>0</v>
      </c>
      <c r="X9" s="23" t="n">
        <v>0.99</v>
      </c>
      <c r="Y9" s="22" t="s">
        <v>49</v>
      </c>
      <c r="Z9" s="23" t="s">
        <v>47</v>
      </c>
      <c r="AA9" s="23" t="s">
        <v>48</v>
      </c>
      <c r="AB9" s="23" t="n">
        <v>1</v>
      </c>
      <c r="AC9" s="22" t="s">
        <v>49</v>
      </c>
      <c r="AD9" s="16" t="n">
        <v>0.69</v>
      </c>
      <c r="AE9" s="23" t="n">
        <v>0.7</v>
      </c>
      <c r="AF9" s="27" t="n">
        <f aca="false">IF(F9="", "", IFERROR((L9 * F9 * G9) / (AD9 * AE9), ""))</f>
        <v>199104.554865424</v>
      </c>
      <c r="AG9" s="28" t="n">
        <f aca="false">ROUNDUP(AF9/(R9*AB9),0)</f>
        <v>16</v>
      </c>
      <c r="AH9" s="28" t="n">
        <v>3</v>
      </c>
      <c r="AI9" s="28" t="n">
        <v>7</v>
      </c>
      <c r="AJ9" s="28" t="n">
        <f aca="false">IF(F9="", "", IFERROR(G9 / AI9, ""))</f>
        <v>1.92142857142857</v>
      </c>
      <c r="AK9" s="28" t="n">
        <f aca="false">IF(F9="", "", IFERROR(F9 / AH9, ""))</f>
        <v>2.38333333333333</v>
      </c>
      <c r="AL9" s="28" t="n">
        <f aca="false">IF(F9="", "", IFERROR(AJ9 / 2, ""))</f>
        <v>0.960714285714286</v>
      </c>
      <c r="AM9" s="28" t="n">
        <f aca="false">IF(F9="", "", IFERROR(AK9 / 2, ""))</f>
        <v>1.19166666666667</v>
      </c>
      <c r="AN9" s="27" t="n">
        <f aca="false">AH9*AI9*AB9*(V9+W9)</f>
        <v>1652.7</v>
      </c>
      <c r="AO9" s="27" t="n">
        <f aca="false">IF(F9="", "", IFERROR(AN9 / X9, ""))</f>
        <v>1669.39393939394</v>
      </c>
    </row>
    <row r="10" customFormat="false" ht="17.25" hidden="false" customHeight="true" outlineLevel="0" collapsed="false">
      <c r="A10" s="30" t="s">
        <v>54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customFormat="false" ht="41.25" hidden="false" customHeight="true" outlineLevel="0" collapsed="false">
      <c r="A11" s="23" t="n">
        <v>6</v>
      </c>
      <c r="B11" s="23" t="s">
        <v>55</v>
      </c>
      <c r="C11" s="24" t="n">
        <v>0.7</v>
      </c>
      <c r="D11" s="24" t="n">
        <v>0.5</v>
      </c>
      <c r="E11" s="24" t="n">
        <v>0.1</v>
      </c>
      <c r="F11" s="25" t="n">
        <v>5.9</v>
      </c>
      <c r="G11" s="25" t="n">
        <v>9.2</v>
      </c>
      <c r="H11" s="29" t="n">
        <v>3</v>
      </c>
      <c r="I11" s="29" t="n">
        <v>0.7</v>
      </c>
      <c r="J11" s="29" t="n">
        <v>0.5</v>
      </c>
      <c r="K11" s="20" t="n">
        <f aca="false">IF(F11="", "", H11 - I11 - J11)</f>
        <v>1.8</v>
      </c>
      <c r="L11" s="23" t="n">
        <v>200</v>
      </c>
      <c r="M11" s="27" t="n">
        <f aca="false">IF(F11="", "", 5 * K11 * (F11 + G11) / (F11 * G11))</f>
        <v>2.50368459837878</v>
      </c>
      <c r="N11" s="27" t="n">
        <f aca="false">IF(F11="", "", (F11 * G11) / (K11 * (F11 + G11)))</f>
        <v>1.99705665930832</v>
      </c>
      <c r="O11" s="23" t="s">
        <v>56</v>
      </c>
      <c r="P11" s="23" t="s">
        <v>47</v>
      </c>
      <c r="Q11" s="23" t="s">
        <v>57</v>
      </c>
      <c r="R11" s="23" t="n">
        <v>4000</v>
      </c>
      <c r="S11" s="23" t="n">
        <v>80</v>
      </c>
      <c r="T11" s="23" t="n">
        <v>4000</v>
      </c>
      <c r="U11" s="23" t="n">
        <v>50000</v>
      </c>
      <c r="V11" s="23" t="n">
        <v>40</v>
      </c>
      <c r="W11" s="23" t="n">
        <v>0</v>
      </c>
      <c r="X11" s="23" t="n">
        <v>0.99</v>
      </c>
      <c r="Y11" s="22" t="s">
        <v>58</v>
      </c>
      <c r="Z11" s="23" t="s">
        <v>47</v>
      </c>
      <c r="AA11" s="23" t="s">
        <v>57</v>
      </c>
      <c r="AB11" s="23" t="n">
        <v>1</v>
      </c>
      <c r="AC11" s="31" t="s">
        <v>58</v>
      </c>
      <c r="AD11" s="23" t="n">
        <v>0.82</v>
      </c>
      <c r="AE11" s="23" t="n">
        <v>0.85</v>
      </c>
      <c r="AF11" s="27" t="n">
        <f aca="false">IF(F11="", "", IFERROR((L11 * F11 * G11) / (AD11 * AE11), ""))</f>
        <v>15575.3228120517</v>
      </c>
      <c r="AG11" s="28" t="n">
        <f aca="false">IF(F11="", "", IFERROR(ROUND(AF11 / (R11 * AB11), 0), ""))</f>
        <v>4</v>
      </c>
      <c r="AH11" s="28" t="n">
        <v>2</v>
      </c>
      <c r="AI11" s="28" t="n">
        <v>3</v>
      </c>
      <c r="AJ11" s="28" t="n">
        <f aca="false">IF(F11="", "", IFERROR(G11 / AI11, ""))</f>
        <v>3.06666666666667</v>
      </c>
      <c r="AK11" s="28" t="n">
        <f aca="false">IF(F11="", "", IFERROR(F11 / AH11, ""))</f>
        <v>2.95</v>
      </c>
      <c r="AL11" s="28" t="n">
        <f aca="false">IF(F11="", "", IFERROR(AJ11 / 2, ""))</f>
        <v>1.53333333333333</v>
      </c>
      <c r="AM11" s="28" t="n">
        <f aca="false">IF(F11="", "", IFERROR(AK11 / 2, ""))</f>
        <v>1.475</v>
      </c>
      <c r="AN11" s="28" t="n">
        <f aca="false">AH11*AI11*AB11*(V11+W11)</f>
        <v>240</v>
      </c>
      <c r="AO11" s="28" t="n">
        <f aca="false">IF(F11="", "", IFERROR(AN11 / X11, ""))</f>
        <v>242.424242424242</v>
      </c>
    </row>
    <row r="12" customFormat="false" ht="41.25" hidden="false" customHeight="true" outlineLevel="0" collapsed="false">
      <c r="A12" s="23" t="n">
        <v>7</v>
      </c>
      <c r="B12" s="23" t="s">
        <v>59</v>
      </c>
      <c r="C12" s="24" t="n">
        <v>0.7</v>
      </c>
      <c r="D12" s="24" t="n">
        <v>0.5</v>
      </c>
      <c r="E12" s="24" t="n">
        <v>0.1</v>
      </c>
      <c r="F12" s="25" t="n">
        <v>5.5</v>
      </c>
      <c r="G12" s="25" t="n">
        <v>7.7</v>
      </c>
      <c r="H12" s="29" t="n">
        <v>3</v>
      </c>
      <c r="I12" s="29" t="n">
        <v>0.7</v>
      </c>
      <c r="J12" s="29" t="n">
        <v>0.5</v>
      </c>
      <c r="K12" s="20" t="n">
        <f aca="false">IF(F12="", "", H12 - I12 - J12)</f>
        <v>1.8</v>
      </c>
      <c r="L12" s="23" t="n">
        <v>500</v>
      </c>
      <c r="M12" s="27" t="n">
        <f aca="false">IF(F12="", "", 5 * K12 * (F12 + G12) / (F12 * G12))</f>
        <v>2.80519480519481</v>
      </c>
      <c r="N12" s="27" t="n">
        <f aca="false">IF(F12="", "", (F12 * G12) / (K12 * (F12 + G12)))</f>
        <v>1.78240740740741</v>
      </c>
      <c r="O12" s="23" t="s">
        <v>56</v>
      </c>
      <c r="P12" s="23" t="s">
        <v>47</v>
      </c>
      <c r="Q12" s="23" t="s">
        <v>57</v>
      </c>
      <c r="R12" s="23" t="n">
        <v>4000</v>
      </c>
      <c r="S12" s="23" t="n">
        <v>80</v>
      </c>
      <c r="T12" s="23" t="n">
        <v>4000</v>
      </c>
      <c r="U12" s="23" t="n">
        <v>50000</v>
      </c>
      <c r="V12" s="23" t="n">
        <v>40</v>
      </c>
      <c r="W12" s="23" t="n">
        <v>0</v>
      </c>
      <c r="X12" s="23" t="n">
        <v>0.99</v>
      </c>
      <c r="Y12" s="22" t="s">
        <v>58</v>
      </c>
      <c r="Z12" s="23" t="s">
        <v>47</v>
      </c>
      <c r="AA12" s="23" t="s">
        <v>57</v>
      </c>
      <c r="AB12" s="23" t="n">
        <v>1</v>
      </c>
      <c r="AC12" s="31" t="s">
        <v>58</v>
      </c>
      <c r="AD12" s="23" t="n">
        <v>0.79</v>
      </c>
      <c r="AE12" s="23" t="n">
        <v>0.85</v>
      </c>
      <c r="AF12" s="27" t="n">
        <f aca="false">IF(F12="", "", IFERROR((L12 * F12 * G12) / (AD12 * AE12), ""))</f>
        <v>31533.8793745346</v>
      </c>
      <c r="AG12" s="28" t="n">
        <f aca="false">IF(F12="", "", IFERROR(ROUND(AF12 / (R12 * AB12), 0), ""))</f>
        <v>8</v>
      </c>
      <c r="AH12" s="28" t="n">
        <v>3</v>
      </c>
      <c r="AI12" s="28" t="n">
        <v>3</v>
      </c>
      <c r="AJ12" s="28" t="n">
        <f aca="false">IF(F12="", "", IFERROR(G12 / AI12, ""))</f>
        <v>2.56666666666667</v>
      </c>
      <c r="AK12" s="28" t="n">
        <f aca="false">IF(F12="", "", IFERROR(F12 / AH12, ""))</f>
        <v>1.83333333333333</v>
      </c>
      <c r="AL12" s="28" t="n">
        <f aca="false">IF(F12="", "", IFERROR(AJ12 / 2, ""))</f>
        <v>1.28333333333333</v>
      </c>
      <c r="AM12" s="28" t="n">
        <f aca="false">IF(F12="", "", IFERROR(AK12 / 2, ""))</f>
        <v>0.916666666666667</v>
      </c>
      <c r="AN12" s="28" t="n">
        <f aca="false">AH12*AI12*AB12*(V12+W12)</f>
        <v>360</v>
      </c>
      <c r="AO12" s="28" t="n">
        <f aca="false">IF(F12="", "", IFERROR(AN12 / X12, ""))</f>
        <v>363.636363636364</v>
      </c>
    </row>
    <row r="13" customFormat="false" ht="41.25" hidden="false" customHeight="true" outlineLevel="0" collapsed="false">
      <c r="A13" s="23" t="n">
        <v>8</v>
      </c>
      <c r="B13" s="23" t="s">
        <v>60</v>
      </c>
      <c r="C13" s="24" t="n">
        <v>0.7</v>
      </c>
      <c r="D13" s="24" t="n">
        <v>0.5</v>
      </c>
      <c r="E13" s="24" t="n">
        <v>0.1</v>
      </c>
      <c r="F13" s="25" t="n">
        <v>4</v>
      </c>
      <c r="G13" s="25" t="n">
        <v>4.8</v>
      </c>
      <c r="H13" s="29" t="n">
        <v>3</v>
      </c>
      <c r="I13" s="29" t="n">
        <v>0.7</v>
      </c>
      <c r="J13" s="29" t="n">
        <v>0.5</v>
      </c>
      <c r="K13" s="20" t="n">
        <f aca="false">IF(F13="", "", H13 - I13 - J13)</f>
        <v>1.8</v>
      </c>
      <c r="L13" s="23" t="n">
        <v>300</v>
      </c>
      <c r="M13" s="27" t="n">
        <f aca="false">IF(F13="", "", 5 * K13 * (F13 + G13) / (F13 * G13))</f>
        <v>4.125</v>
      </c>
      <c r="N13" s="27" t="n">
        <f aca="false">IF(F13="", "", (F13 * G13) / (K13 * (F13 + G13)))</f>
        <v>1.21212121212121</v>
      </c>
      <c r="O13" s="23" t="s">
        <v>56</v>
      </c>
      <c r="P13" s="23" t="s">
        <v>47</v>
      </c>
      <c r="Q13" s="23" t="s">
        <v>57</v>
      </c>
      <c r="R13" s="23" t="n">
        <v>4000</v>
      </c>
      <c r="S13" s="23" t="n">
        <v>80</v>
      </c>
      <c r="T13" s="23" t="n">
        <v>4000</v>
      </c>
      <c r="U13" s="23" t="n">
        <v>50000</v>
      </c>
      <c r="V13" s="23" t="n">
        <v>40</v>
      </c>
      <c r="W13" s="23" t="n">
        <v>0</v>
      </c>
      <c r="X13" s="23" t="n">
        <v>0.99</v>
      </c>
      <c r="Y13" s="22" t="s">
        <v>58</v>
      </c>
      <c r="Z13" s="23" t="s">
        <v>47</v>
      </c>
      <c r="AA13" s="23" t="s">
        <v>57</v>
      </c>
      <c r="AB13" s="23" t="n">
        <v>1</v>
      </c>
      <c r="AC13" s="31" t="s">
        <v>58</v>
      </c>
      <c r="AD13" s="25" t="n">
        <v>0.67</v>
      </c>
      <c r="AE13" s="23" t="n">
        <v>0.85</v>
      </c>
      <c r="AF13" s="28" t="n">
        <f aca="false">IF(F13="", "", IFERROR((L13 * F13 * G13) / (AD13 * AE13), ""))</f>
        <v>10114.1352063213</v>
      </c>
      <c r="AG13" s="28" t="n">
        <f aca="false">IF(F13="", "", IFERROR(ROUND(AF13 / (R13 * AB13), 0), ""))</f>
        <v>3</v>
      </c>
      <c r="AH13" s="28" t="n">
        <v>2</v>
      </c>
      <c r="AI13" s="28" t="n">
        <v>2</v>
      </c>
      <c r="AJ13" s="28" t="n">
        <f aca="false">IF(F13="", "", IFERROR(G13 / AI13, ""))</f>
        <v>2.4</v>
      </c>
      <c r="AK13" s="28" t="n">
        <f aca="false">IF(F13="", "", IFERROR(F13 / AH13, ""))</f>
        <v>2</v>
      </c>
      <c r="AL13" s="28" t="n">
        <f aca="false">IF(F13="", "", IFERROR(AJ13 / 2, ""))</f>
        <v>1.2</v>
      </c>
      <c r="AM13" s="28" t="n">
        <f aca="false">IF(F13="", "", IFERROR(AK13 / 2, ""))</f>
        <v>1</v>
      </c>
      <c r="AN13" s="28" t="n">
        <f aca="false">AH13*AI13*AB13*(V13+W13)</f>
        <v>160</v>
      </c>
      <c r="AO13" s="28" t="n">
        <f aca="false">IF(F13="", "", IFERROR(AN13 / X13, ""))</f>
        <v>161.616161616162</v>
      </c>
    </row>
    <row r="14" customFormat="false" ht="41.25" hidden="false" customHeight="true" outlineLevel="0" collapsed="false">
      <c r="A14" s="23" t="n">
        <v>9</v>
      </c>
      <c r="B14" s="23" t="s">
        <v>61</v>
      </c>
      <c r="C14" s="24" t="n">
        <v>0.7</v>
      </c>
      <c r="D14" s="24" t="n">
        <v>0.5</v>
      </c>
      <c r="E14" s="24" t="n">
        <v>0.1</v>
      </c>
      <c r="F14" s="25" t="n">
        <v>3.5</v>
      </c>
      <c r="G14" s="25" t="n">
        <v>4.8</v>
      </c>
      <c r="H14" s="29" t="n">
        <v>3</v>
      </c>
      <c r="I14" s="29" t="n">
        <v>0.7</v>
      </c>
      <c r="J14" s="29" t="n">
        <v>0.5</v>
      </c>
      <c r="K14" s="20" t="n">
        <f aca="false">IF(F14="", "", H14 - I14 - J14)</f>
        <v>1.8</v>
      </c>
      <c r="L14" s="23" t="n">
        <v>200</v>
      </c>
      <c r="M14" s="27" t="n">
        <f aca="false">IF(F14="", "", 5 * K14 * (F14 + G14) / (F14 * G14))</f>
        <v>4.44642857142857</v>
      </c>
      <c r="N14" s="27" t="n">
        <f aca="false">IF(F14="", "", (F14 * G14) / (K14 * (F14 + G14)))</f>
        <v>1.12449799196787</v>
      </c>
      <c r="O14" s="23" t="s">
        <v>56</v>
      </c>
      <c r="P14" s="23" t="s">
        <v>47</v>
      </c>
      <c r="Q14" s="23" t="s">
        <v>57</v>
      </c>
      <c r="R14" s="23" t="n">
        <v>4000</v>
      </c>
      <c r="S14" s="23" t="n">
        <v>80</v>
      </c>
      <c r="T14" s="23" t="n">
        <v>4000</v>
      </c>
      <c r="U14" s="23" t="n">
        <v>50000</v>
      </c>
      <c r="V14" s="23" t="n">
        <v>40</v>
      </c>
      <c r="W14" s="23" t="n">
        <v>0</v>
      </c>
      <c r="X14" s="23" t="n">
        <v>0.99</v>
      </c>
      <c r="Y14" s="22" t="s">
        <v>58</v>
      </c>
      <c r="Z14" s="23" t="s">
        <v>47</v>
      </c>
      <c r="AA14" s="23" t="s">
        <v>57</v>
      </c>
      <c r="AB14" s="23" t="n">
        <v>1</v>
      </c>
      <c r="AC14" s="31" t="s">
        <v>58</v>
      </c>
      <c r="AD14" s="25" t="n">
        <v>0.65</v>
      </c>
      <c r="AE14" s="23" t="n">
        <v>0.85</v>
      </c>
      <c r="AF14" s="28" t="n">
        <f aca="false">IF(F14="", "", IFERROR((L14 * F14 * G14) / (AD14 * AE14), ""))</f>
        <v>6081.44796380091</v>
      </c>
      <c r="AG14" s="28" t="n">
        <f aca="false">IF(F14="", "", IFERROR(ROUND(AF14 / (R14 * AB14), 0), ""))</f>
        <v>2</v>
      </c>
      <c r="AH14" s="28" t="n">
        <v>1</v>
      </c>
      <c r="AI14" s="28" t="n">
        <v>2</v>
      </c>
      <c r="AJ14" s="28" t="n">
        <f aca="false">IF(F14="", "", IFERROR(G14 / AI14, ""))</f>
        <v>2.4</v>
      </c>
      <c r="AK14" s="28" t="n">
        <f aca="false">IF(F14="", "", IFERROR(F14 / AH14, ""))</f>
        <v>3.5</v>
      </c>
      <c r="AL14" s="28" t="n">
        <f aca="false">IF(F14="", "", IFERROR(AJ14 / 2, ""))</f>
        <v>1.2</v>
      </c>
      <c r="AM14" s="28" t="n">
        <f aca="false">IF(F14="", "", IFERROR(AK14 / 2, ""))</f>
        <v>1.75</v>
      </c>
      <c r="AN14" s="28" t="n">
        <f aca="false">AH14*AI14*AB14*(V14+W14)</f>
        <v>80</v>
      </c>
      <c r="AO14" s="28" t="n">
        <f aca="false">IF(F14="", "", IFERROR(AN14 / X14, ""))</f>
        <v>80.8080808080808</v>
      </c>
    </row>
    <row r="15" customFormat="false" ht="25.5" hidden="false" customHeight="true" outlineLevel="0" collapsed="false">
      <c r="A15" s="23" t="n">
        <v>10</v>
      </c>
      <c r="B15" s="23" t="s">
        <v>62</v>
      </c>
      <c r="C15" s="24" t="n">
        <v>0.7</v>
      </c>
      <c r="D15" s="24" t="n">
        <v>0.5</v>
      </c>
      <c r="E15" s="24" t="n">
        <v>0.1</v>
      </c>
      <c r="F15" s="25" t="n">
        <v>2</v>
      </c>
      <c r="G15" s="25" t="n">
        <v>9</v>
      </c>
      <c r="H15" s="29" t="n">
        <v>3</v>
      </c>
      <c r="I15" s="29" t="n">
        <v>0.7</v>
      </c>
      <c r="J15" s="29" t="n">
        <v>0.5</v>
      </c>
      <c r="K15" s="20" t="n">
        <f aca="false">IF(F15="", "", H15 - I15 - J15)</f>
        <v>1.8</v>
      </c>
      <c r="L15" s="23" t="n">
        <v>200</v>
      </c>
      <c r="M15" s="27" t="n">
        <f aca="false">IF(F15="", "", 5 * K15 * (F15 + G15) / (F15 * G15))</f>
        <v>5.5</v>
      </c>
      <c r="N15" s="27" t="n">
        <f aca="false">IF(F15="", "", (F15 * G15) / (K15 * (F15 + G15)))</f>
        <v>0.909090909090909</v>
      </c>
      <c r="O15" s="23" t="s">
        <v>56</v>
      </c>
      <c r="P15" s="23" t="s">
        <v>47</v>
      </c>
      <c r="Q15" s="23" t="s">
        <v>57</v>
      </c>
      <c r="R15" s="23" t="n">
        <v>4000</v>
      </c>
      <c r="S15" s="23" t="n">
        <v>80</v>
      </c>
      <c r="T15" s="23" t="n">
        <v>4000</v>
      </c>
      <c r="U15" s="23" t="n">
        <v>50000</v>
      </c>
      <c r="V15" s="23" t="n">
        <v>40</v>
      </c>
      <c r="W15" s="23" t="n">
        <v>0</v>
      </c>
      <c r="X15" s="23" t="n">
        <v>0.99</v>
      </c>
      <c r="Y15" s="22" t="s">
        <v>58</v>
      </c>
      <c r="Z15" s="23" t="s">
        <v>47</v>
      </c>
      <c r="AA15" s="23" t="s">
        <v>57</v>
      </c>
      <c r="AB15" s="23" t="n">
        <v>1</v>
      </c>
      <c r="AC15" s="31" t="s">
        <v>58</v>
      </c>
      <c r="AD15" s="23" t="n">
        <v>0.58</v>
      </c>
      <c r="AE15" s="23" t="n">
        <v>0.85</v>
      </c>
      <c r="AF15" s="28" t="n">
        <f aca="false">IF(F15="", "", IFERROR((L15 * F15 * G15) / (AD15 * AE15), ""))</f>
        <v>7302.23123732252</v>
      </c>
      <c r="AG15" s="28" t="n">
        <f aca="false">IF(F15="", "", IFERROR(ROUND(AF15 / (R15 * AB15), 0), ""))</f>
        <v>2</v>
      </c>
      <c r="AH15" s="28" t="n">
        <v>1</v>
      </c>
      <c r="AI15" s="28" t="n">
        <v>3</v>
      </c>
      <c r="AJ15" s="28" t="n">
        <f aca="false">IF(F15="", "", IFERROR(G15 / AI15, ""))</f>
        <v>3</v>
      </c>
      <c r="AK15" s="28" t="n">
        <f aca="false">IF(F15="", "", IFERROR(F15 / AH15, ""))</f>
        <v>2</v>
      </c>
      <c r="AL15" s="28" t="n">
        <f aca="false">IF(F15="", "", IFERROR(AJ15 / 2, ""))</f>
        <v>1.5</v>
      </c>
      <c r="AM15" s="28" t="n">
        <f aca="false">IF(F15="", "", IFERROR(AK15 / 2, ""))</f>
        <v>1</v>
      </c>
      <c r="AN15" s="28" t="n">
        <f aca="false">AH15*AI15*AB15*(V15+W15)</f>
        <v>120</v>
      </c>
      <c r="AO15" s="28" t="n">
        <f aca="false">IF(F15="", "", IFERROR(AN15 / X15, ""))</f>
        <v>121.212121212121</v>
      </c>
    </row>
    <row r="16" customFormat="false" ht="41.25" hidden="false" customHeight="true" outlineLevel="0" collapsed="false">
      <c r="A16" s="23" t="n">
        <v>11</v>
      </c>
      <c r="B16" s="23" t="s">
        <v>63</v>
      </c>
      <c r="C16" s="24" t="n">
        <v>0.7</v>
      </c>
      <c r="D16" s="24" t="n">
        <v>0.5</v>
      </c>
      <c r="E16" s="24" t="n">
        <v>0.1</v>
      </c>
      <c r="F16" s="25" t="n">
        <v>3.57</v>
      </c>
      <c r="G16" s="25" t="n">
        <v>7.2</v>
      </c>
      <c r="H16" s="29" t="n">
        <v>3</v>
      </c>
      <c r="I16" s="29" t="n">
        <v>0.7</v>
      </c>
      <c r="J16" s="29" t="n">
        <v>0.5</v>
      </c>
      <c r="K16" s="20" t="n">
        <f aca="false">IF(F16="", "", H16 - I16 - J16)</f>
        <v>1.8</v>
      </c>
      <c r="L16" s="23" t="n">
        <v>200</v>
      </c>
      <c r="M16" s="28" t="n">
        <v>4</v>
      </c>
      <c r="N16" s="28" t="n">
        <f aca="false">IF(F16="", "", (F16 * G16) / (K16 * (F16 + G16)))</f>
        <v>1.32590529247911</v>
      </c>
      <c r="O16" s="23" t="s">
        <v>56</v>
      </c>
      <c r="P16" s="23" t="s">
        <v>47</v>
      </c>
      <c r="Q16" s="23" t="s">
        <v>57</v>
      </c>
      <c r="R16" s="23" t="n">
        <v>4000</v>
      </c>
      <c r="S16" s="23" t="n">
        <v>80</v>
      </c>
      <c r="T16" s="23" t="n">
        <v>4000</v>
      </c>
      <c r="U16" s="23" t="n">
        <v>50000</v>
      </c>
      <c r="V16" s="23" t="n">
        <v>40</v>
      </c>
      <c r="W16" s="23" t="n">
        <v>0</v>
      </c>
      <c r="X16" s="23" t="n">
        <v>0.99</v>
      </c>
      <c r="Y16" s="22" t="s">
        <v>58</v>
      </c>
      <c r="Z16" s="23" t="s">
        <v>47</v>
      </c>
      <c r="AA16" s="23" t="s">
        <v>57</v>
      </c>
      <c r="AB16" s="23" t="n">
        <v>1</v>
      </c>
      <c r="AC16" s="31" t="s">
        <v>58</v>
      </c>
      <c r="AD16" s="25" t="n">
        <v>0.68</v>
      </c>
      <c r="AE16" s="23" t="n">
        <v>0.85</v>
      </c>
      <c r="AF16" s="28" t="n">
        <f aca="false">IF(F16="", "", IFERROR((L16 * F16 * G16) / (AD16 * AE16), ""))</f>
        <v>8894.11764705882</v>
      </c>
      <c r="AG16" s="28" t="n">
        <f aca="false">IF(F16="", "", IFERROR(ROUND(AF16 / (R16 * AB16), 0), ""))</f>
        <v>2</v>
      </c>
      <c r="AH16" s="28" t="n">
        <v>1</v>
      </c>
      <c r="AI16" s="28" t="n">
        <v>2</v>
      </c>
      <c r="AJ16" s="28" t="n">
        <f aca="false">IF(F16="", "", IFERROR(G16 / AI16, ""))</f>
        <v>3.6</v>
      </c>
      <c r="AK16" s="28" t="n">
        <f aca="false">IF(F16="", "", IFERROR(F16 / AH16, ""))</f>
        <v>3.57</v>
      </c>
      <c r="AL16" s="28" t="n">
        <f aca="false">IF(F16="", "", IFERROR(AJ16 / 2, ""))</f>
        <v>1.8</v>
      </c>
      <c r="AM16" s="28" t="n">
        <f aca="false">IF(F16="", "", IFERROR(AK16 / 2, ""))</f>
        <v>1.785</v>
      </c>
      <c r="AN16" s="28" t="n">
        <f aca="false">AH16*AI16*AB16*(V16+W16)</f>
        <v>80</v>
      </c>
      <c r="AO16" s="28" t="n">
        <f aca="false">IF(F16="", "", IFERROR(AN16 / X16, ""))</f>
        <v>80.8080808080808</v>
      </c>
    </row>
    <row r="17" customFormat="false" ht="41.25" hidden="false" customHeight="true" outlineLevel="0" collapsed="false">
      <c r="A17" s="23" t="n">
        <v>12</v>
      </c>
      <c r="B17" s="23" t="s">
        <v>64</v>
      </c>
      <c r="C17" s="24" t="n">
        <v>0.7</v>
      </c>
      <c r="D17" s="24" t="n">
        <v>0.5</v>
      </c>
      <c r="E17" s="24" t="n">
        <v>0.1</v>
      </c>
      <c r="F17" s="25" t="n">
        <v>3.57</v>
      </c>
      <c r="G17" s="25" t="n">
        <v>7.2</v>
      </c>
      <c r="H17" s="29" t="n">
        <v>3</v>
      </c>
      <c r="I17" s="29" t="n">
        <v>0.7</v>
      </c>
      <c r="J17" s="29" t="n">
        <v>0.5</v>
      </c>
      <c r="K17" s="20" t="n">
        <f aca="false">IF(F17="", "", H17 - I17 - J17)</f>
        <v>1.8</v>
      </c>
      <c r="L17" s="23" t="n">
        <v>200</v>
      </c>
      <c r="M17" s="28" t="n">
        <v>4</v>
      </c>
      <c r="N17" s="28" t="n">
        <f aca="false">IF(F17="", "", (F17 * G17) / (K17 * (F17 + G17)))</f>
        <v>1.32590529247911</v>
      </c>
      <c r="O17" s="23" t="s">
        <v>56</v>
      </c>
      <c r="P17" s="23" t="s">
        <v>47</v>
      </c>
      <c r="Q17" s="23" t="s">
        <v>57</v>
      </c>
      <c r="R17" s="23" t="n">
        <v>4000</v>
      </c>
      <c r="S17" s="23" t="n">
        <v>80</v>
      </c>
      <c r="T17" s="23" t="n">
        <v>4000</v>
      </c>
      <c r="U17" s="23" t="n">
        <v>50000</v>
      </c>
      <c r="V17" s="23" t="n">
        <v>40</v>
      </c>
      <c r="W17" s="23" t="n">
        <v>0</v>
      </c>
      <c r="X17" s="23" t="n">
        <v>0.99</v>
      </c>
      <c r="Y17" s="22" t="s">
        <v>58</v>
      </c>
      <c r="Z17" s="23" t="s">
        <v>47</v>
      </c>
      <c r="AA17" s="23" t="s">
        <v>57</v>
      </c>
      <c r="AB17" s="23" t="n">
        <v>1</v>
      </c>
      <c r="AC17" s="31" t="s">
        <v>58</v>
      </c>
      <c r="AD17" s="25" t="n">
        <v>0.68</v>
      </c>
      <c r="AE17" s="23" t="n">
        <v>0.85</v>
      </c>
      <c r="AF17" s="28" t="n">
        <f aca="false">IF(F17="", "", IFERROR((L17 * F17 * G17) / (AD17 * AE17), ""))</f>
        <v>8894.11764705882</v>
      </c>
      <c r="AG17" s="28" t="n">
        <f aca="false">IF(F17="", "", IFERROR(ROUND(AF17 / (R17 * AB17), 0), ""))</f>
        <v>2</v>
      </c>
      <c r="AH17" s="28" t="n">
        <v>1</v>
      </c>
      <c r="AI17" s="28" t="n">
        <v>2</v>
      </c>
      <c r="AJ17" s="28" t="n">
        <f aca="false">IF(F17="", "", IFERROR(G17 / AI17, ""))</f>
        <v>3.6</v>
      </c>
      <c r="AK17" s="28" t="n">
        <f aca="false">IF(F17="", "", IFERROR(F17 / AH17, ""))</f>
        <v>3.57</v>
      </c>
      <c r="AL17" s="28" t="n">
        <f aca="false">IF(F17="", "", IFERROR(AJ17 / 2, ""))</f>
        <v>1.8</v>
      </c>
      <c r="AM17" s="28" t="n">
        <f aca="false">IF(F17="", "", IFERROR(AK17 / 2, ""))</f>
        <v>1.785</v>
      </c>
      <c r="AN17" s="28" t="n">
        <f aca="false">AH17*AI17*AB17*(V17+W17)</f>
        <v>80</v>
      </c>
      <c r="AO17" s="28" t="n">
        <f aca="false">IF(F17="", "", IFERROR(AN17 / X17, ""))</f>
        <v>80.8080808080808</v>
      </c>
    </row>
    <row r="18" customFormat="false" ht="41.25" hidden="false" customHeight="true" outlineLevel="0" collapsed="false">
      <c r="A18" s="23" t="n">
        <v>13</v>
      </c>
      <c r="B18" s="23" t="s">
        <v>65</v>
      </c>
      <c r="C18" s="24" t="n">
        <v>0.7</v>
      </c>
      <c r="D18" s="24" t="n">
        <v>0.5</v>
      </c>
      <c r="E18" s="24" t="n">
        <v>0.1</v>
      </c>
      <c r="F18" s="25" t="n">
        <v>3.5</v>
      </c>
      <c r="G18" s="25" t="n">
        <v>6</v>
      </c>
      <c r="H18" s="29" t="n">
        <v>3</v>
      </c>
      <c r="I18" s="29" t="n">
        <v>0.7</v>
      </c>
      <c r="J18" s="29" t="n">
        <v>0.5</v>
      </c>
      <c r="K18" s="20" t="n">
        <f aca="false">IF(F18="", "", H18 - I18 - J18)</f>
        <v>1.8</v>
      </c>
      <c r="L18" s="23" t="n">
        <v>200</v>
      </c>
      <c r="M18" s="28" t="n">
        <v>4</v>
      </c>
      <c r="N18" s="28" t="n">
        <f aca="false">IF(F18="", "", (F18 * G18) / (K18 * (F18 + G18)))</f>
        <v>1.2280701754386</v>
      </c>
      <c r="O18" s="23" t="s">
        <v>56</v>
      </c>
      <c r="P18" s="23" t="s">
        <v>47</v>
      </c>
      <c r="Q18" s="23" t="s">
        <v>57</v>
      </c>
      <c r="R18" s="23" t="n">
        <v>4000</v>
      </c>
      <c r="S18" s="23" t="n">
        <v>80</v>
      </c>
      <c r="T18" s="23" t="n">
        <v>4000</v>
      </c>
      <c r="U18" s="23" t="n">
        <v>50000</v>
      </c>
      <c r="V18" s="23" t="n">
        <v>40</v>
      </c>
      <c r="W18" s="23" t="n">
        <v>0</v>
      </c>
      <c r="X18" s="23" t="n">
        <v>0.99</v>
      </c>
      <c r="Y18" s="22" t="s">
        <v>58</v>
      </c>
      <c r="Z18" s="23" t="s">
        <v>47</v>
      </c>
      <c r="AA18" s="23" t="s">
        <v>57</v>
      </c>
      <c r="AB18" s="23" t="n">
        <v>1</v>
      </c>
      <c r="AC18" s="31" t="s">
        <v>58</v>
      </c>
      <c r="AD18" s="25" t="n">
        <v>0.68</v>
      </c>
      <c r="AE18" s="23" t="n">
        <v>0.85</v>
      </c>
      <c r="AF18" s="28" t="n">
        <f aca="false">IF(F18="", "", IFERROR((L18 * F18 * G18) / (AD18 * AE18), ""))</f>
        <v>7266.43598615917</v>
      </c>
      <c r="AG18" s="28" t="n">
        <f aca="false">IF(F18="", "", IFERROR(ROUND(AF18 / (R18 * AB18), 0), ""))</f>
        <v>2</v>
      </c>
      <c r="AH18" s="28" t="n">
        <v>1</v>
      </c>
      <c r="AI18" s="28" t="n">
        <v>2</v>
      </c>
      <c r="AJ18" s="28" t="n">
        <f aca="false">IF(F18="", "", IFERROR(G18 / AI18, ""))</f>
        <v>3</v>
      </c>
      <c r="AK18" s="28" t="n">
        <f aca="false">IF(F18="", "", IFERROR(F18 / AH18, ""))</f>
        <v>3.5</v>
      </c>
      <c r="AL18" s="28" t="n">
        <f aca="false">IF(F18="", "", IFERROR(AJ18 / 2, ""))</f>
        <v>1.5</v>
      </c>
      <c r="AM18" s="28" t="n">
        <f aca="false">IF(F18="", "", IFERROR(AK18 / 2, ""))</f>
        <v>1.75</v>
      </c>
      <c r="AN18" s="28" t="n">
        <f aca="false">AH18*AI18*AB18*(V18+W18)</f>
        <v>80</v>
      </c>
      <c r="AO18" s="28" t="n">
        <f aca="false">IF(F18="", "", IFERROR(AN18 / X18, ""))</f>
        <v>80.8080808080808</v>
      </c>
    </row>
    <row r="19" customFormat="false" ht="41.25" hidden="false" customHeight="true" outlineLevel="0" collapsed="false">
      <c r="A19" s="23" t="n">
        <v>14</v>
      </c>
      <c r="B19" s="23" t="s">
        <v>66</v>
      </c>
      <c r="C19" s="24" t="n">
        <v>0.7</v>
      </c>
      <c r="D19" s="24" t="n">
        <v>0.5</v>
      </c>
      <c r="E19" s="24" t="n">
        <v>0.1</v>
      </c>
      <c r="F19" s="25" t="n">
        <v>3.5</v>
      </c>
      <c r="G19" s="25" t="n">
        <v>6</v>
      </c>
      <c r="H19" s="29" t="n">
        <v>3</v>
      </c>
      <c r="I19" s="29" t="n">
        <v>0.7</v>
      </c>
      <c r="J19" s="29" t="n">
        <v>0.5</v>
      </c>
      <c r="K19" s="20" t="n">
        <f aca="false">IF(F19="", "", H19 - I19 - J19)</f>
        <v>1.8</v>
      </c>
      <c r="L19" s="23" t="n">
        <v>200</v>
      </c>
      <c r="M19" s="28" t="n">
        <v>4</v>
      </c>
      <c r="N19" s="28" t="n">
        <f aca="false">IF(F19="", "", (F19 * G19) / (K19 * (F19 + G19)))</f>
        <v>1.2280701754386</v>
      </c>
      <c r="O19" s="23" t="s">
        <v>56</v>
      </c>
      <c r="P19" s="23" t="s">
        <v>47</v>
      </c>
      <c r="Q19" s="23" t="s">
        <v>57</v>
      </c>
      <c r="R19" s="23" t="n">
        <v>4000</v>
      </c>
      <c r="S19" s="23" t="n">
        <v>80</v>
      </c>
      <c r="T19" s="23" t="n">
        <v>4000</v>
      </c>
      <c r="U19" s="23" t="n">
        <v>50000</v>
      </c>
      <c r="V19" s="23" t="n">
        <v>40</v>
      </c>
      <c r="W19" s="23" t="n">
        <v>0</v>
      </c>
      <c r="X19" s="23" t="n">
        <v>0.99</v>
      </c>
      <c r="Y19" s="22" t="s">
        <v>58</v>
      </c>
      <c r="Z19" s="23" t="s">
        <v>47</v>
      </c>
      <c r="AA19" s="23" t="s">
        <v>57</v>
      </c>
      <c r="AB19" s="23" t="n">
        <v>1</v>
      </c>
      <c r="AC19" s="31" t="s">
        <v>58</v>
      </c>
      <c r="AD19" s="25" t="n">
        <v>0.68</v>
      </c>
      <c r="AE19" s="23" t="n">
        <v>0.85</v>
      </c>
      <c r="AF19" s="28" t="n">
        <f aca="false">IF(F19="", "", IFERROR((L19 * F19 * G19) / (AD19 * AE19), ""))</f>
        <v>7266.43598615917</v>
      </c>
      <c r="AG19" s="28" t="n">
        <f aca="false">IF(F19="", "", IFERROR(ROUND(AF19 / (R19 * AB19), 0), ""))</f>
        <v>2</v>
      </c>
      <c r="AH19" s="28" t="n">
        <v>1</v>
      </c>
      <c r="AI19" s="28" t="n">
        <v>2</v>
      </c>
      <c r="AJ19" s="28" t="n">
        <f aca="false">IF(F19="", "", IFERROR(G19 / AI19, ""))</f>
        <v>3</v>
      </c>
      <c r="AK19" s="28" t="n">
        <f aca="false">IF(F19="", "", IFERROR(F19 / AH19, ""))</f>
        <v>3.5</v>
      </c>
      <c r="AL19" s="28" t="n">
        <f aca="false">IF(F19="", "", IFERROR(AJ19 / 2, ""))</f>
        <v>1.5</v>
      </c>
      <c r="AM19" s="28" t="n">
        <f aca="false">IF(F19="", "", IFERROR(AK19 / 2, ""))</f>
        <v>1.75</v>
      </c>
      <c r="AN19" s="28" t="n">
        <f aca="false">AH19*AI19*AB19*(V19+W19)</f>
        <v>80</v>
      </c>
      <c r="AO19" s="28" t="n">
        <f aca="false">IF(F19="", "", IFERROR(AN19 / X19, ""))</f>
        <v>80.8080808080808</v>
      </c>
    </row>
    <row r="20" customFormat="false" ht="41.25" hidden="false" customHeight="true" outlineLevel="0" collapsed="false">
      <c r="A20" s="23" t="n">
        <v>15</v>
      </c>
      <c r="B20" s="23" t="s">
        <v>67</v>
      </c>
      <c r="C20" s="24" t="n">
        <v>0.7</v>
      </c>
      <c r="D20" s="24" t="n">
        <v>0.5</v>
      </c>
      <c r="E20" s="24" t="n">
        <v>0.1</v>
      </c>
      <c r="F20" s="25" t="n">
        <v>4.7</v>
      </c>
      <c r="G20" s="25" t="n">
        <v>5.6</v>
      </c>
      <c r="H20" s="29" t="n">
        <v>3</v>
      </c>
      <c r="I20" s="29" t="n">
        <v>0.7</v>
      </c>
      <c r="J20" s="29" t="n">
        <v>0.5</v>
      </c>
      <c r="K20" s="20" t="n">
        <f aca="false">IF(F20="", "", H20 - I20 - J20)</f>
        <v>1.8</v>
      </c>
      <c r="L20" s="23" t="n">
        <v>500</v>
      </c>
      <c r="M20" s="28" t="n">
        <v>4</v>
      </c>
      <c r="N20" s="28" t="n">
        <f aca="false">IF(F20="", "", (F20 * G20) / (K20 * (F20 + G20)))</f>
        <v>1.41963322545847</v>
      </c>
      <c r="O20" s="23" t="s">
        <v>56</v>
      </c>
      <c r="P20" s="23" t="s">
        <v>47</v>
      </c>
      <c r="Q20" s="23" t="s">
        <v>57</v>
      </c>
      <c r="R20" s="23" t="n">
        <v>4000</v>
      </c>
      <c r="S20" s="23" t="n">
        <v>80</v>
      </c>
      <c r="T20" s="23" t="n">
        <v>4000</v>
      </c>
      <c r="U20" s="23" t="n">
        <v>50000</v>
      </c>
      <c r="V20" s="23" t="n">
        <v>40</v>
      </c>
      <c r="W20" s="23" t="n">
        <v>0</v>
      </c>
      <c r="X20" s="23" t="n">
        <v>0.99</v>
      </c>
      <c r="Y20" s="22" t="s">
        <v>58</v>
      </c>
      <c r="Z20" s="23" t="s">
        <v>47</v>
      </c>
      <c r="AA20" s="23" t="s">
        <v>57</v>
      </c>
      <c r="AB20" s="23" t="n">
        <v>1</v>
      </c>
      <c r="AC20" s="31" t="s">
        <v>58</v>
      </c>
      <c r="AD20" s="25" t="n">
        <v>0.68</v>
      </c>
      <c r="AE20" s="23" t="n">
        <v>0.85</v>
      </c>
      <c r="AF20" s="28" t="n">
        <f aca="false">IF(F20="", "", IFERROR((L20 * F20 * G20) / (AD20 * AE20), ""))</f>
        <v>22768.1660899654</v>
      </c>
      <c r="AG20" s="28" t="n">
        <f aca="false">IF(F20="", "", IFERROR(ROUND(AF20 / (R20 * AB20), 0), ""))</f>
        <v>6</v>
      </c>
      <c r="AH20" s="28" t="n">
        <v>2</v>
      </c>
      <c r="AI20" s="28" t="n">
        <v>3</v>
      </c>
      <c r="AJ20" s="28" t="n">
        <f aca="false">IF(F20="", "", IFERROR(G20 / AI20, ""))</f>
        <v>1.86666666666667</v>
      </c>
      <c r="AK20" s="28" t="n">
        <f aca="false">IF(F20="", "", IFERROR(F20 / AH20, ""))</f>
        <v>2.35</v>
      </c>
      <c r="AL20" s="28" t="n">
        <f aca="false">IF(F20="", "", IFERROR(AJ20 / 2, ""))</f>
        <v>0.933333333333333</v>
      </c>
      <c r="AM20" s="28" t="n">
        <f aca="false">IF(F20="", "", IFERROR(AK20 / 2, ""))</f>
        <v>1.175</v>
      </c>
      <c r="AN20" s="28" t="n">
        <f aca="false">AH20*AI20*AB20*(V20+W20)</f>
        <v>240</v>
      </c>
      <c r="AO20" s="28" t="n">
        <f aca="false">IF(F20="", "", IFERROR(AN20 / X20, ""))</f>
        <v>242.424242424242</v>
      </c>
    </row>
    <row r="21" customFormat="false" ht="41.25" hidden="false" customHeight="true" outlineLevel="0" collapsed="false">
      <c r="A21" s="23" t="n">
        <v>16</v>
      </c>
      <c r="B21" s="23" t="s">
        <v>68</v>
      </c>
      <c r="C21" s="24" t="n">
        <v>0.7</v>
      </c>
      <c r="D21" s="24" t="n">
        <v>0.5</v>
      </c>
      <c r="E21" s="24" t="n">
        <v>0.1</v>
      </c>
      <c r="F21" s="25" t="n">
        <v>2.7</v>
      </c>
      <c r="G21" s="25" t="n">
        <v>5.6</v>
      </c>
      <c r="H21" s="29" t="n">
        <v>3</v>
      </c>
      <c r="I21" s="29" t="n">
        <v>0.7</v>
      </c>
      <c r="J21" s="29" t="n">
        <v>0.5</v>
      </c>
      <c r="K21" s="20" t="n">
        <f aca="false">IF(F21="", "", H21 - I21 - J21)</f>
        <v>1.8</v>
      </c>
      <c r="L21" s="23" t="n">
        <v>500</v>
      </c>
      <c r="M21" s="28" t="n">
        <v>5</v>
      </c>
      <c r="N21" s="28" t="n">
        <f aca="false">IF(F21="", "", (F21 * G21) / (K21 * (F21 + G21)))</f>
        <v>1.01204819277108</v>
      </c>
      <c r="O21" s="23" t="s">
        <v>56</v>
      </c>
      <c r="P21" s="23" t="s">
        <v>47</v>
      </c>
      <c r="Q21" s="23" t="s">
        <v>57</v>
      </c>
      <c r="R21" s="23" t="n">
        <v>4000</v>
      </c>
      <c r="S21" s="23" t="n">
        <v>80</v>
      </c>
      <c r="T21" s="23" t="n">
        <v>4000</v>
      </c>
      <c r="U21" s="23" t="n">
        <v>50000</v>
      </c>
      <c r="V21" s="23" t="n">
        <v>40</v>
      </c>
      <c r="W21" s="23" t="n">
        <v>0</v>
      </c>
      <c r="X21" s="23" t="n">
        <v>0.99</v>
      </c>
      <c r="Y21" s="22" t="s">
        <v>58</v>
      </c>
      <c r="Z21" s="23" t="s">
        <v>47</v>
      </c>
      <c r="AA21" s="23" t="s">
        <v>57</v>
      </c>
      <c r="AB21" s="23" t="n">
        <v>1</v>
      </c>
      <c r="AC21" s="31" t="s">
        <v>58</v>
      </c>
      <c r="AD21" s="25" t="n">
        <v>0.61</v>
      </c>
      <c r="AE21" s="23" t="n">
        <v>0.85</v>
      </c>
      <c r="AF21" s="28" t="n">
        <f aca="false">IF(F21="", "", IFERROR((L21 * F21 * G21) / (AD21 * AE21), ""))</f>
        <v>14580.5207328833</v>
      </c>
      <c r="AG21" s="28" t="n">
        <f aca="false">IF(F21="", "", IFERROR(ROUND(AF21 / (R21 * AB21), 0), ""))</f>
        <v>4</v>
      </c>
      <c r="AH21" s="28" t="n">
        <v>1</v>
      </c>
      <c r="AI21" s="28" t="n">
        <v>4</v>
      </c>
      <c r="AJ21" s="28" t="n">
        <f aca="false">IF(F21="", "", IFERROR(G21 / AI21, ""))</f>
        <v>1.4</v>
      </c>
      <c r="AK21" s="28" t="n">
        <f aca="false">IF(F21="", "", IFERROR(F21 / AH21, ""))</f>
        <v>2.7</v>
      </c>
      <c r="AL21" s="28" t="n">
        <f aca="false">IF(F21="", "", IFERROR(AJ21 / 2, ""))</f>
        <v>0.7</v>
      </c>
      <c r="AM21" s="28" t="n">
        <f aca="false">IF(F21="", "", IFERROR(AK21 / 2, ""))</f>
        <v>1.35</v>
      </c>
      <c r="AN21" s="28" t="n">
        <f aca="false">AH21*AI21*AB21*(V21+W21)</f>
        <v>160</v>
      </c>
      <c r="AO21" s="28" t="n">
        <f aca="false">IF(F21="", "", IFERROR(AN21 / X21, ""))</f>
        <v>161.616161616162</v>
      </c>
    </row>
    <row r="22" customFormat="false" ht="41.25" hidden="false" customHeight="true" outlineLevel="0" collapsed="false">
      <c r="A22" s="23" t="n">
        <v>17</v>
      </c>
      <c r="B22" s="23" t="s">
        <v>69</v>
      </c>
      <c r="C22" s="24" t="n">
        <v>0.7</v>
      </c>
      <c r="D22" s="24" t="n">
        <v>0.5</v>
      </c>
      <c r="E22" s="24" t="n">
        <v>0.1</v>
      </c>
      <c r="F22" s="25" t="n">
        <v>4.5</v>
      </c>
      <c r="G22" s="25" t="n">
        <v>7.7</v>
      </c>
      <c r="H22" s="29" t="n">
        <v>3</v>
      </c>
      <c r="I22" s="29" t="n">
        <v>0.7</v>
      </c>
      <c r="J22" s="29" t="n">
        <v>0.5</v>
      </c>
      <c r="K22" s="20" t="n">
        <f aca="false">IF(F22="", "", H22 - I22 - J22)</f>
        <v>1.8</v>
      </c>
      <c r="L22" s="23" t="n">
        <v>500</v>
      </c>
      <c r="M22" s="28" t="n">
        <v>3</v>
      </c>
      <c r="N22" s="28" t="n">
        <f aca="false">IF(F22="", "", (F22 * G22) / (K22 * (F22 + G22)))</f>
        <v>1.57786885245902</v>
      </c>
      <c r="O22" s="23" t="s">
        <v>56</v>
      </c>
      <c r="P22" s="23" t="s">
        <v>47</v>
      </c>
      <c r="Q22" s="23" t="s">
        <v>57</v>
      </c>
      <c r="R22" s="23" t="n">
        <v>4000</v>
      </c>
      <c r="S22" s="23" t="n">
        <v>80</v>
      </c>
      <c r="T22" s="23" t="n">
        <v>4000</v>
      </c>
      <c r="U22" s="23" t="n">
        <v>50000</v>
      </c>
      <c r="V22" s="23" t="n">
        <v>40</v>
      </c>
      <c r="W22" s="23" t="n">
        <v>0</v>
      </c>
      <c r="X22" s="23" t="n">
        <v>0.99</v>
      </c>
      <c r="Y22" s="22" t="s">
        <v>58</v>
      </c>
      <c r="Z22" s="23" t="s">
        <v>47</v>
      </c>
      <c r="AA22" s="23" t="s">
        <v>57</v>
      </c>
      <c r="AB22" s="23" t="n">
        <v>1</v>
      </c>
      <c r="AC22" s="31" t="s">
        <v>58</v>
      </c>
      <c r="AD22" s="25" t="n">
        <v>0.77</v>
      </c>
      <c r="AE22" s="23" t="n">
        <v>0.85</v>
      </c>
      <c r="AF22" s="28" t="n">
        <f aca="false">IF(F22="", "", IFERROR((L22 * F22 * G22) / (AD22 * AE22), ""))</f>
        <v>26470.5882352941</v>
      </c>
      <c r="AG22" s="28" t="n">
        <f aca="false">IF(F22="", "", IFERROR(ROUND(AF22 / (R22 * AB22), 0), ""))</f>
        <v>7</v>
      </c>
      <c r="AH22" s="28" t="n">
        <v>2</v>
      </c>
      <c r="AI22" s="28" t="n">
        <v>4</v>
      </c>
      <c r="AJ22" s="28" t="n">
        <f aca="false">IF(F22="", "", IFERROR(G22 / AI22, ""))</f>
        <v>1.925</v>
      </c>
      <c r="AK22" s="28" t="n">
        <f aca="false">IF(F22="", "", IFERROR(F22 / AH22, ""))</f>
        <v>2.25</v>
      </c>
      <c r="AL22" s="28" t="n">
        <f aca="false">IF(F22="", "", IFERROR(AJ22 / 2, ""))</f>
        <v>0.9625</v>
      </c>
      <c r="AM22" s="28" t="n">
        <f aca="false">IF(F22="", "", IFERROR(AK22 / 2, ""))</f>
        <v>1.125</v>
      </c>
      <c r="AN22" s="28" t="n">
        <f aca="false">AH22*AI22*AB22*(V22+W22)</f>
        <v>320</v>
      </c>
      <c r="AO22" s="28" t="n">
        <f aca="false">IF(F22="", "", IFERROR(AN22 / X22, ""))</f>
        <v>323.232323232323</v>
      </c>
    </row>
    <row r="23" customFormat="false" ht="41.25" hidden="false" customHeight="true" outlineLevel="0" collapsed="false">
      <c r="A23" s="23" t="n">
        <v>18</v>
      </c>
      <c r="B23" s="23" t="s">
        <v>70</v>
      </c>
      <c r="C23" s="24" t="n">
        <v>0.7</v>
      </c>
      <c r="D23" s="24" t="n">
        <v>0.5</v>
      </c>
      <c r="E23" s="24" t="n">
        <v>0.1</v>
      </c>
      <c r="F23" s="25" t="n">
        <v>3.5</v>
      </c>
      <c r="G23" s="25" t="n">
        <v>7.7</v>
      </c>
      <c r="H23" s="29" t="n">
        <v>3</v>
      </c>
      <c r="I23" s="29" t="n">
        <v>0.7</v>
      </c>
      <c r="J23" s="29" t="n">
        <v>0.5</v>
      </c>
      <c r="K23" s="20" t="n">
        <f aca="false">IF(F23="", "", H23 - I23 - J23)</f>
        <v>1.8</v>
      </c>
      <c r="L23" s="23" t="n">
        <v>100</v>
      </c>
      <c r="M23" s="28" t="n">
        <v>4</v>
      </c>
      <c r="N23" s="28" t="n">
        <f aca="false">IF(F23="", "", (F23 * G23) / (K23 * (F23 + G23)))</f>
        <v>1.33680555555556</v>
      </c>
      <c r="O23" s="23" t="s">
        <v>56</v>
      </c>
      <c r="P23" s="23" t="s">
        <v>47</v>
      </c>
      <c r="Q23" s="23" t="s">
        <v>57</v>
      </c>
      <c r="R23" s="23" t="n">
        <v>4000</v>
      </c>
      <c r="S23" s="23" t="n">
        <v>80</v>
      </c>
      <c r="T23" s="23" t="n">
        <v>4000</v>
      </c>
      <c r="U23" s="23" t="n">
        <v>50000</v>
      </c>
      <c r="V23" s="23" t="n">
        <v>40</v>
      </c>
      <c r="W23" s="23" t="n">
        <v>0</v>
      </c>
      <c r="X23" s="23" t="n">
        <v>0.99</v>
      </c>
      <c r="Y23" s="22" t="s">
        <v>58</v>
      </c>
      <c r="Z23" s="23" t="s">
        <v>47</v>
      </c>
      <c r="AA23" s="23" t="s">
        <v>57</v>
      </c>
      <c r="AB23" s="23" t="n">
        <v>1</v>
      </c>
      <c r="AC23" s="31" t="s">
        <v>58</v>
      </c>
      <c r="AD23" s="25" t="n">
        <v>0.68</v>
      </c>
      <c r="AE23" s="23" t="n">
        <v>0.85</v>
      </c>
      <c r="AF23" s="28" t="n">
        <f aca="false">IF(F23="", "", IFERROR((L23 * F23 * G23) / (AD23 * AE23), ""))</f>
        <v>4662.62975778547</v>
      </c>
      <c r="AG23" s="28" t="n">
        <f aca="false">IF(F23="", "", IFERROR(ROUND(AF23 / (R23 * AB23), 0), ""))</f>
        <v>1</v>
      </c>
      <c r="AH23" s="28" t="n">
        <v>1</v>
      </c>
      <c r="AI23" s="28" t="n">
        <v>1</v>
      </c>
      <c r="AJ23" s="28" t="n">
        <f aca="false">IF(F23="", "", IFERROR(G23 / AI23, ""))</f>
        <v>7.7</v>
      </c>
      <c r="AK23" s="28" t="n">
        <f aca="false">IF(F23="", "", IFERROR(F23 / AH23, ""))</f>
        <v>3.5</v>
      </c>
      <c r="AL23" s="28" t="n">
        <f aca="false">IF(F23="", "", IFERROR(AJ23 / 2, ""))</f>
        <v>3.85</v>
      </c>
      <c r="AM23" s="28" t="n">
        <f aca="false">IF(F23="", "", IFERROR(AK23 / 2, ""))</f>
        <v>1.75</v>
      </c>
      <c r="AN23" s="28" t="n">
        <f aca="false">AH23*AI23*AB23*(V23+W23)</f>
        <v>40</v>
      </c>
      <c r="AO23" s="28" t="n">
        <f aca="false">IF(F23="", "", IFERROR(AN23 / X23, ""))</f>
        <v>40.4040404040404</v>
      </c>
    </row>
    <row r="24" customFormat="false" ht="41.25" hidden="false" customHeight="true" outlineLevel="0" collapsed="false">
      <c r="A24" s="23" t="n">
        <v>19</v>
      </c>
      <c r="B24" s="23" t="s">
        <v>71</v>
      </c>
      <c r="C24" s="24" t="n">
        <v>0.7</v>
      </c>
      <c r="D24" s="24" t="n">
        <v>0.5</v>
      </c>
      <c r="E24" s="24" t="n">
        <v>0.1</v>
      </c>
      <c r="F24" s="25" t="n">
        <v>2</v>
      </c>
      <c r="G24" s="25" t="n">
        <v>7.9</v>
      </c>
      <c r="H24" s="29" t="n">
        <v>3</v>
      </c>
      <c r="I24" s="29" t="n">
        <v>0.7</v>
      </c>
      <c r="J24" s="29" t="n">
        <v>0.5</v>
      </c>
      <c r="K24" s="20" t="n">
        <f aca="false">IF(F24="", "", H24 - I24 - J24)</f>
        <v>1.8</v>
      </c>
      <c r="L24" s="23" t="n">
        <v>100</v>
      </c>
      <c r="M24" s="28" t="n">
        <v>6</v>
      </c>
      <c r="N24" s="28" t="n">
        <f aca="false">IF(F24="", "", (F24 * G24) / (K24 * (F24 + G24)))</f>
        <v>0.886644219977553</v>
      </c>
      <c r="O24" s="23" t="s">
        <v>56</v>
      </c>
      <c r="P24" s="23" t="s">
        <v>47</v>
      </c>
      <c r="Q24" s="23" t="s">
        <v>57</v>
      </c>
      <c r="R24" s="23" t="n">
        <v>4000</v>
      </c>
      <c r="S24" s="23" t="n">
        <v>80</v>
      </c>
      <c r="T24" s="23" t="n">
        <v>4000</v>
      </c>
      <c r="U24" s="23" t="n">
        <v>50000</v>
      </c>
      <c r="V24" s="23" t="n">
        <v>40</v>
      </c>
      <c r="W24" s="23" t="n">
        <v>0</v>
      </c>
      <c r="X24" s="23" t="n">
        <v>0.99</v>
      </c>
      <c r="Y24" s="22" t="s">
        <v>58</v>
      </c>
      <c r="Z24" s="23" t="s">
        <v>47</v>
      </c>
      <c r="AA24" s="23" t="s">
        <v>57</v>
      </c>
      <c r="AB24" s="23" t="n">
        <v>1</v>
      </c>
      <c r="AC24" s="31" t="s">
        <v>58</v>
      </c>
      <c r="AD24" s="25" t="n">
        <v>0.55</v>
      </c>
      <c r="AE24" s="23" t="n">
        <v>0.85</v>
      </c>
      <c r="AF24" s="28" t="n">
        <f aca="false">IF(F24="", "", IFERROR((L24 * F24 * G24) / (AD24 * AE24), ""))</f>
        <v>3379.67914438503</v>
      </c>
      <c r="AG24" s="28" t="n">
        <f aca="false">IF(F24="", "", IFERROR(ROUND(AF24 / (R24 * AB24), 0), ""))</f>
        <v>1</v>
      </c>
      <c r="AH24" s="28" t="n">
        <v>1</v>
      </c>
      <c r="AI24" s="28" t="n">
        <v>2</v>
      </c>
      <c r="AJ24" s="28" t="n">
        <f aca="false">IF(F24="", "", IFERROR(G24 / AI24, ""))</f>
        <v>3.95</v>
      </c>
      <c r="AK24" s="28" t="n">
        <f aca="false">IF(F24="", "", IFERROR(F24 / AH24, ""))</f>
        <v>2</v>
      </c>
      <c r="AL24" s="28" t="n">
        <f aca="false">IF(F24="", "", IFERROR(AJ24 / 2, ""))</f>
        <v>1.975</v>
      </c>
      <c r="AM24" s="28" t="n">
        <f aca="false">IF(F24="", "", IFERROR(AK24 / 2, ""))</f>
        <v>1</v>
      </c>
      <c r="AN24" s="28" t="n">
        <f aca="false">AH24*AI24*AB24*(V24+W24)</f>
        <v>80</v>
      </c>
      <c r="AO24" s="28" t="n">
        <f aca="false">IF(F24="", "", IFERROR(AN24 / X24, ""))</f>
        <v>80.8080808080808</v>
      </c>
    </row>
    <row r="25" customFormat="false" ht="41.25" hidden="false" customHeight="true" outlineLevel="0" collapsed="false">
      <c r="A25" s="23" t="n">
        <v>20</v>
      </c>
      <c r="B25" s="23" t="s">
        <v>72</v>
      </c>
      <c r="C25" s="24" t="n">
        <v>0.7</v>
      </c>
      <c r="D25" s="24" t="n">
        <v>0.5</v>
      </c>
      <c r="E25" s="24" t="n">
        <v>0.1</v>
      </c>
      <c r="F25" s="25" t="n">
        <v>1.3</v>
      </c>
      <c r="G25" s="25" t="n">
        <v>28.4</v>
      </c>
      <c r="H25" s="29" t="n">
        <v>3</v>
      </c>
      <c r="I25" s="29" t="n">
        <v>0.7</v>
      </c>
      <c r="J25" s="29" t="n">
        <v>0.5</v>
      </c>
      <c r="K25" s="20" t="n">
        <f aca="false">IF(F25="", "", H25 - I25 - J25)</f>
        <v>1.8</v>
      </c>
      <c r="L25" s="23" t="n">
        <v>100</v>
      </c>
      <c r="M25" s="28" t="n">
        <v>7</v>
      </c>
      <c r="N25" s="28" t="n">
        <f aca="false">IF(F25="", "", (F25 * G25) / (K25 * (F25 + G25)))</f>
        <v>0.690609801720913</v>
      </c>
      <c r="O25" s="23" t="s">
        <v>56</v>
      </c>
      <c r="P25" s="23" t="s">
        <v>47</v>
      </c>
      <c r="Q25" s="23" t="s">
        <v>57</v>
      </c>
      <c r="R25" s="23" t="n">
        <v>4000</v>
      </c>
      <c r="S25" s="23" t="n">
        <v>80</v>
      </c>
      <c r="T25" s="23" t="n">
        <v>4000</v>
      </c>
      <c r="U25" s="23" t="n">
        <v>50000</v>
      </c>
      <c r="V25" s="23" t="n">
        <v>40</v>
      </c>
      <c r="W25" s="23" t="n">
        <v>0</v>
      </c>
      <c r="X25" s="23" t="n">
        <v>0.99</v>
      </c>
      <c r="Y25" s="22" t="s">
        <v>58</v>
      </c>
      <c r="Z25" s="23" t="s">
        <v>47</v>
      </c>
      <c r="AA25" s="23" t="s">
        <v>57</v>
      </c>
      <c r="AB25" s="23" t="n">
        <v>1</v>
      </c>
      <c r="AC25" s="31" t="s">
        <v>58</v>
      </c>
      <c r="AD25" s="25" t="n">
        <v>0.5</v>
      </c>
      <c r="AE25" s="23" t="n">
        <v>0.85</v>
      </c>
      <c r="AF25" s="28" t="n">
        <f aca="false">IF(F25="", "", IFERROR((L25 * F25 * G25) / (AD25 * AE25), ""))</f>
        <v>8687.05882352941</v>
      </c>
      <c r="AG25" s="28" t="n">
        <f aca="false">IF(F25="", "", IFERROR(ROUND(AF25 / (R25 * AB25), 0), ""))</f>
        <v>2</v>
      </c>
      <c r="AH25" s="28" t="n">
        <v>1</v>
      </c>
      <c r="AI25" s="28" t="n">
        <v>5</v>
      </c>
      <c r="AJ25" s="28" t="n">
        <f aca="false">IF(F25="", "", IFERROR(G25 / AI25, ""))</f>
        <v>5.68</v>
      </c>
      <c r="AK25" s="28" t="n">
        <f aca="false">IF(F25="", "", IFERROR(F25 / AH25, ""))</f>
        <v>1.3</v>
      </c>
      <c r="AL25" s="28" t="n">
        <f aca="false">IF(F25="", "", IFERROR(AJ25 / 2, ""))</f>
        <v>2.84</v>
      </c>
      <c r="AM25" s="28" t="n">
        <f aca="false">IF(F25="", "", IFERROR(AK25 / 2, ""))</f>
        <v>0.65</v>
      </c>
      <c r="AN25" s="28" t="n">
        <f aca="false">AH25*AI25*AB25*(V25+W25)</f>
        <v>200</v>
      </c>
      <c r="AO25" s="28" t="n">
        <f aca="false">IF(F25="", "", IFERROR(AN25 / X25, ""))</f>
        <v>202.020202020202</v>
      </c>
    </row>
    <row r="26" customFormat="false" ht="41.25" hidden="false" customHeight="true" outlineLevel="0" collapsed="false">
      <c r="A26" s="23" t="n">
        <v>21</v>
      </c>
      <c r="B26" s="23" t="s">
        <v>73</v>
      </c>
      <c r="C26" s="24" t="n">
        <v>0.7</v>
      </c>
      <c r="D26" s="24" t="n">
        <v>0.5</v>
      </c>
      <c r="E26" s="24" t="n">
        <v>0.1</v>
      </c>
      <c r="F26" s="25" t="n">
        <v>1</v>
      </c>
      <c r="G26" s="23" t="n">
        <v>5.1</v>
      </c>
      <c r="H26" s="29" t="n">
        <v>3</v>
      </c>
      <c r="I26" s="29" t="n">
        <v>0.7</v>
      </c>
      <c r="J26" s="29" t="n">
        <v>0.5</v>
      </c>
      <c r="K26" s="20" t="n">
        <f aca="false">IF(F26="", "", H26 - I26 - J26)</f>
        <v>1.8</v>
      </c>
      <c r="L26" s="23" t="n">
        <v>100</v>
      </c>
      <c r="M26" s="28" t="n">
        <v>13</v>
      </c>
      <c r="N26" s="28" t="n">
        <f aca="false">IF(F26="", "", (F26 * G26) / (K26 * (F26 + G26)))</f>
        <v>0.46448087431694</v>
      </c>
      <c r="O26" s="23" t="s">
        <v>56</v>
      </c>
      <c r="P26" s="23" t="s">
        <v>47</v>
      </c>
      <c r="Q26" s="23" t="s">
        <v>57</v>
      </c>
      <c r="R26" s="23" t="n">
        <v>4000</v>
      </c>
      <c r="S26" s="23" t="n">
        <v>80</v>
      </c>
      <c r="T26" s="23" t="n">
        <v>4000</v>
      </c>
      <c r="U26" s="23" t="n">
        <v>50000</v>
      </c>
      <c r="V26" s="23" t="n">
        <v>40</v>
      </c>
      <c r="W26" s="23" t="n">
        <v>0</v>
      </c>
      <c r="X26" s="23" t="n">
        <v>0.99</v>
      </c>
      <c r="Y26" s="22" t="s">
        <v>58</v>
      </c>
      <c r="Z26" s="23" t="s">
        <v>47</v>
      </c>
      <c r="AA26" s="23" t="s">
        <v>57</v>
      </c>
      <c r="AB26" s="23" t="n">
        <v>1</v>
      </c>
      <c r="AC26" s="31" t="s">
        <v>58</v>
      </c>
      <c r="AD26" s="25" t="n">
        <v>0.28</v>
      </c>
      <c r="AE26" s="23" t="n">
        <v>0.85</v>
      </c>
      <c r="AF26" s="28" t="n">
        <f aca="false">IF(F26="", "", IFERROR((L26 * F26 * G26) / (AD26 * AE26), ""))</f>
        <v>2142.85714285714</v>
      </c>
      <c r="AG26" s="28" t="n">
        <f aca="false">IF(F26="", "", IFERROR(ROUND(AF26 / (R26 * AB26), 0), ""))</f>
        <v>1</v>
      </c>
      <c r="AH26" s="28" t="n">
        <v>1</v>
      </c>
      <c r="AI26" s="28" t="n">
        <v>2</v>
      </c>
      <c r="AJ26" s="28" t="n">
        <f aca="false">IF(F26="", "", IFERROR(G26 / AI26, ""))</f>
        <v>2.55</v>
      </c>
      <c r="AK26" s="28" t="n">
        <f aca="false">IF(F26="", "", IFERROR(F26 / AH26, ""))</f>
        <v>1</v>
      </c>
      <c r="AL26" s="28" t="n">
        <f aca="false">IF(F26="", "", IFERROR(AJ26 / 2, ""))</f>
        <v>1.275</v>
      </c>
      <c r="AM26" s="28" t="n">
        <f aca="false">IF(F26="", "", IFERROR(AK26 / 2, ""))</f>
        <v>0.5</v>
      </c>
      <c r="AN26" s="28" t="n">
        <f aca="false">AH26*AI26*AB26*(V26+W26)</f>
        <v>80</v>
      </c>
      <c r="AO26" s="28" t="n">
        <f aca="false">IF(F26="", "", IFERROR(AN26 / X26, ""))</f>
        <v>80.8080808080808</v>
      </c>
    </row>
    <row r="27" customFormat="false" ht="41.25" hidden="false" customHeight="true" outlineLevel="0" collapsed="false">
      <c r="A27" s="23" t="n">
        <v>22</v>
      </c>
      <c r="B27" s="23" t="s">
        <v>74</v>
      </c>
      <c r="C27" s="24" t="n">
        <v>0.7</v>
      </c>
      <c r="D27" s="23" t="n">
        <v>0.5</v>
      </c>
      <c r="E27" s="23" t="n">
        <v>0.1</v>
      </c>
      <c r="F27" s="25" t="n">
        <v>5.6</v>
      </c>
      <c r="G27" s="25" t="n">
        <v>7.7</v>
      </c>
      <c r="H27" s="29" t="n">
        <v>3</v>
      </c>
      <c r="I27" s="29" t="n">
        <v>0.7</v>
      </c>
      <c r="J27" s="29" t="n">
        <v>0.5</v>
      </c>
      <c r="K27" s="20" t="n">
        <f aca="false">IF(F27="", "", H27 - I27 - J27)</f>
        <v>1.8</v>
      </c>
      <c r="L27" s="23" t="n">
        <v>100</v>
      </c>
      <c r="M27" s="28" t="n">
        <f aca="false">IF(F27="", "", 5 * K27 * (F27 + G27) / (F27 * G27))</f>
        <v>2.77597402597403</v>
      </c>
      <c r="N27" s="28" t="n">
        <f aca="false">IF(F27="", "", (F27 * G27) / (K27 * (F27 + G27)))</f>
        <v>1.80116959064328</v>
      </c>
      <c r="O27" s="23" t="s">
        <v>56</v>
      </c>
      <c r="P27" s="23" t="s">
        <v>47</v>
      </c>
      <c r="Q27" s="23" t="s">
        <v>57</v>
      </c>
      <c r="R27" s="23" t="n">
        <v>4000</v>
      </c>
      <c r="S27" s="23" t="n">
        <v>80</v>
      </c>
      <c r="T27" s="23" t="n">
        <v>4000</v>
      </c>
      <c r="U27" s="23" t="n">
        <v>50000</v>
      </c>
      <c r="V27" s="23" t="n">
        <v>40</v>
      </c>
      <c r="W27" s="23" t="n">
        <v>0</v>
      </c>
      <c r="X27" s="23" t="n">
        <v>0.99</v>
      </c>
      <c r="Y27" s="16" t="s">
        <v>58</v>
      </c>
      <c r="Z27" s="23" t="s">
        <v>47</v>
      </c>
      <c r="AA27" s="23" t="s">
        <v>57</v>
      </c>
      <c r="AB27" s="23" t="n">
        <v>1</v>
      </c>
      <c r="AC27" s="23" t="s">
        <v>58</v>
      </c>
      <c r="AD27" s="23" t="n">
        <v>0.79</v>
      </c>
      <c r="AE27" s="23" t="n">
        <v>0.85</v>
      </c>
      <c r="AF27" s="28" t="n">
        <f aca="false">IF(F27="", "", IFERROR((L27 * F27 * G27) / (AD27 * AE27), ""))</f>
        <v>6421.44452717796</v>
      </c>
      <c r="AG27" s="28" t="n">
        <f aca="false">IF(F27="", "", IFERROR(ROUND(AF27 / (R27 * AB27), 0), ""))</f>
        <v>2</v>
      </c>
      <c r="AH27" s="28" t="n">
        <v>1</v>
      </c>
      <c r="AI27" s="28" t="n">
        <v>2</v>
      </c>
      <c r="AJ27" s="28" t="n">
        <f aca="false">IF(F27="", "", IFERROR(G27 / AI27, ""))</f>
        <v>3.85</v>
      </c>
      <c r="AK27" s="28" t="n">
        <f aca="false">IF(F27="", "", IFERROR(F27 / AH27, ""))</f>
        <v>5.6</v>
      </c>
      <c r="AL27" s="28" t="n">
        <f aca="false">IF(F27="", "", IFERROR(AJ27 / 2, ""))</f>
        <v>1.925</v>
      </c>
      <c r="AM27" s="28" t="n">
        <f aca="false">IF(F27="", "", IFERROR(AK27 / 2, ""))</f>
        <v>2.8</v>
      </c>
      <c r="AN27" s="28" t="n">
        <f aca="false">AH27*AI27*AB27*(V27+W27)</f>
        <v>80</v>
      </c>
      <c r="AO27" s="28" t="n">
        <f aca="false">IF(F27="", "", IFERROR(AN27 / X27, ""))</f>
        <v>80.8080808080808</v>
      </c>
    </row>
    <row r="28" customFormat="false" ht="15" hidden="false" customHeight="true" outlineLevel="0" collapsed="false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customFormat="false" ht="15" hidden="false" customHeight="true" outlineLevel="0" collapsed="false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customFormat="false" ht="15" hidden="false" customHeight="true" outlineLevel="0" collapsed="false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customFormat="false" ht="15" hidden="false" customHeight="true" outlineLevel="0" collapsed="false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customFormat="false" ht="15" hidden="false" customHeight="true" outlineLevel="0" collapsed="false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customFormat="false" ht="15" hidden="false" customHeight="true" outlineLevel="0" collapsed="false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customFormat="false" ht="15.75" hidden="false" customHeight="true" outlineLevel="0" collapsed="false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customFormat="false" ht="15.75" hidden="false" customHeight="true" outlineLevel="0" collapsed="false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customFormat="false" ht="15.7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customFormat="false" ht="15.7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customFormat="false" ht="15.7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customFormat="false" ht="15.7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customFormat="false" ht="15.7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</row>
    <row r="41" customFormat="false" ht="15.75" hidden="false" customHeight="true" outlineLevel="0" collapsed="false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customFormat="false" ht="21.75" hidden="false" customHeight="true" outlineLevel="0" collapsed="false">
      <c r="A42" s="32"/>
      <c r="B42" s="3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</row>
    <row r="43" customFormat="false" ht="15.75" hidden="false" customHeight="true" outlineLevel="0" collapsed="false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customFormat="false" ht="15.75" hidden="false" customHeight="true" outlineLevel="0" collapsed="false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</row>
    <row r="45" customFormat="false" ht="15.75" hidden="false" customHeight="true" outlineLevel="0" collapsed="false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</row>
    <row r="46" customFormat="false" ht="15.75" hidden="false" customHeight="true" outlineLevel="0" collapsed="false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</row>
    <row r="47" customFormat="false" ht="15.75" hidden="false" customHeight="true" outlineLevel="0" collapsed="false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</row>
    <row r="48" customFormat="false" ht="15.75" hidden="false" customHeight="true" outlineLevel="0" collapsed="false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</row>
    <row r="49" customFormat="false" ht="15.75" hidden="false" customHeight="true" outlineLevel="0" collapsed="false">
      <c r="A49" s="32"/>
      <c r="B49" s="33"/>
      <c r="C49" s="33"/>
      <c r="D49" s="33"/>
      <c r="E49" s="33"/>
      <c r="F49" s="33"/>
      <c r="G49" s="33"/>
      <c r="H49" s="33"/>
      <c r="I49" s="33"/>
      <c r="J49" s="33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</row>
    <row r="50" customFormat="false" ht="15.75" hidden="false" customHeight="true" outlineLevel="0" collapsed="false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</row>
    <row r="51" customFormat="false" ht="15.75" hidden="false" customHeight="true" outlineLevel="0" collapsed="false">
      <c r="A51" s="32"/>
      <c r="B51" s="33"/>
      <c r="C51" s="33"/>
      <c r="D51" s="33"/>
      <c r="E51" s="33"/>
      <c r="F51" s="33"/>
      <c r="G51" s="33"/>
      <c r="H51" s="33"/>
      <c r="I51" s="33"/>
      <c r="J51" s="33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</row>
    <row r="52" customFormat="false" ht="15.75" hidden="false" customHeight="true" outlineLevel="0" collapsed="false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customFormat="false" ht="15.75" hidden="false" customHeight="true" outlineLevel="0" collapsed="false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customFormat="false" ht="15.75" hidden="false" customHeight="true" outlineLevel="0" collapsed="false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</row>
    <row r="55" customFormat="false" ht="15.75" hidden="false" customHeight="true" outlineLevel="0" collapsed="false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</row>
    <row r="56" customFormat="false" ht="15.75" hidden="false" customHeight="true" outlineLevel="0" collapsed="false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</row>
    <row r="57" customFormat="false" ht="15.75" hidden="false" customHeight="true" outlineLevel="0" collapsed="false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</row>
    <row r="58" customFormat="false" ht="15.75" hidden="false" customHeight="true" outlineLevel="0" collapsed="false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</row>
    <row r="59" customFormat="false" ht="15.75" hidden="false" customHeight="true" outlineLevel="0" collapsed="false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</row>
    <row r="60" customFormat="false" ht="15.75" hidden="false" customHeight="true" outlineLevel="0" collapsed="false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</row>
    <row r="61" customFormat="false" ht="15.75" hidden="false" customHeight="true" outlineLevel="0" collapsed="false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</row>
    <row r="62" customFormat="false" ht="15.75" hidden="false" customHeight="true" outlineLevel="0" collapsed="false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</row>
    <row r="63" customFormat="false" ht="15.75" hidden="false" customHeight="true" outlineLevel="0" collapsed="false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</row>
    <row r="64" customFormat="false" ht="15.75" hidden="false" customHeight="true" outlineLevel="0" collapsed="false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customFormat="false" ht="15.75" hidden="false" customHeight="true" outlineLevel="0" collapsed="false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customFormat="false" ht="15.75" hidden="false" customHeight="true" outlineLevel="0" collapsed="false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</row>
    <row r="67" customFormat="false" ht="15.75" hidden="false" customHeight="true" outlineLevel="0" collapsed="false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</row>
    <row r="68" customFormat="false" ht="15.75" hidden="false" customHeight="true" outlineLevel="0" collapsed="false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</row>
    <row r="69" customFormat="false" ht="15.75" hidden="false" customHeight="true" outlineLevel="0" collapsed="false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</row>
    <row r="70" customFormat="false" ht="15.75" hidden="false" customHeight="true" outlineLevel="0" collapsed="false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</row>
    <row r="71" customFormat="false" ht="15.75" hidden="false" customHeight="true" outlineLevel="0" collapsed="false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</row>
    <row r="72" customFormat="false" ht="15.75" hidden="false" customHeight="true" outlineLevel="0" collapsed="false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</row>
    <row r="73" customFormat="false" ht="15.75" hidden="false" customHeight="true" outlineLevel="0" collapsed="false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</row>
    <row r="74" customFormat="false" ht="15.75" hidden="false" customHeight="true" outlineLevel="0" collapsed="false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</row>
    <row r="75" customFormat="false" ht="15.75" hidden="false" customHeight="tru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</row>
    <row r="76" customFormat="false" ht="15.75" hidden="false" customHeight="true" outlineLevel="0" collapsed="false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</row>
    <row r="77" customFormat="false" ht="15.75" hidden="false" customHeight="true" outlineLevel="0" collapsed="false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</row>
    <row r="78" customFormat="false" ht="15.75" hidden="false" customHeight="true" outlineLevel="0" collapsed="false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</row>
    <row r="79" customFormat="false" ht="15.75" hidden="false" customHeight="true" outlineLevel="0" collapsed="false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</row>
    <row r="80" customFormat="false" ht="15.75" hidden="false" customHeight="true" outlineLevel="0" collapsed="false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</row>
    <row r="81" customFormat="false" ht="15.75" hidden="false" customHeight="true" outlineLevel="0" collapsed="false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</row>
    <row r="82" customFormat="false" ht="15.75" hidden="false" customHeight="true" outlineLevel="0" collapsed="false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</row>
    <row r="83" customFormat="false" ht="15.75" hidden="false" customHeight="true" outlineLevel="0" collapsed="false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</row>
    <row r="84" customFormat="false" ht="15.75" hidden="false" customHeight="true" outlineLevel="0" collapsed="false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</row>
    <row r="85" customFormat="false" ht="15.75" hidden="false" customHeight="true" outlineLevel="0" collapsed="false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</row>
    <row r="86" customFormat="false" ht="15.75" hidden="false" customHeight="true" outlineLevel="0" collapsed="false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</row>
    <row r="87" customFormat="false" ht="15.75" hidden="false" customHeight="true" outlineLevel="0" collapsed="false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</row>
    <row r="88" customFormat="false" ht="15.75" hidden="false" customHeight="true" outlineLevel="0" collapsed="false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</row>
    <row r="89" customFormat="false" ht="15.75" hidden="false" customHeight="true" outlineLevel="0" collapsed="false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</row>
    <row r="90" customFormat="false" ht="15.75" hidden="false" customHeight="true" outlineLevel="0" collapsed="false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</row>
    <row r="91" customFormat="false" ht="15.75" hidden="false" customHeight="true" outlineLevel="0" collapsed="false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</row>
    <row r="92" customFormat="false" ht="15.75" hidden="false" customHeight="true" outlineLevel="0" collapsed="false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</row>
    <row r="93" customFormat="false" ht="15.75" hidden="false" customHeight="true" outlineLevel="0" collapsed="false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</row>
    <row r="94" customFormat="false" ht="15.75" hidden="false" customHeight="true" outlineLevel="0" collapsed="false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</row>
    <row r="95" customFormat="false" ht="15.75" hidden="false" customHeight="true" outlineLevel="0" collapsed="false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</row>
    <row r="96" customFormat="false" ht="15.75" hidden="false" customHeight="true" outlineLevel="0" collapsed="false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</row>
    <row r="97" customFormat="false" ht="15.75" hidden="false" customHeight="true" outlineLevel="0" collapsed="false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</row>
    <row r="98" customFormat="false" ht="15.75" hidden="false" customHeight="true" outlineLevel="0" collapsed="false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</row>
    <row r="99" customFormat="false" ht="15.75" hidden="false" customHeight="true" outlineLevel="0" collapsed="false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</row>
    <row r="100" customFormat="false" ht="15.75" hidden="false" customHeight="tru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</row>
    <row r="101" customFormat="false" ht="15.75" hidden="false" customHeight="tru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</row>
    <row r="102" customFormat="false" ht="15.75" hidden="false" customHeight="true" outlineLevel="0" collapsed="false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</row>
    <row r="103" customFormat="false" ht="15.75" hidden="false" customHeight="true" outlineLevel="0" collapsed="false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</row>
    <row r="104" customFormat="false" ht="15.75" hidden="false" customHeight="true" outlineLevel="0" collapsed="false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</row>
    <row r="105" customFormat="false" ht="15.75" hidden="false" customHeight="true" outlineLevel="0" collapsed="false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</row>
    <row r="106" customFormat="false" ht="15.75" hidden="false" customHeight="true" outlineLevel="0" collapsed="false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</row>
    <row r="107" customFormat="false" ht="15.75" hidden="false" customHeight="true" outlineLevel="0" collapsed="false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</row>
    <row r="108" customFormat="false" ht="15.75" hidden="false" customHeight="true" outlineLevel="0" collapsed="false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</row>
    <row r="109" customFormat="false" ht="15.75" hidden="false" customHeight="true" outlineLevel="0" collapsed="false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</row>
    <row r="110" customFormat="false" ht="15.75" hidden="false" customHeight="true" outlineLevel="0" collapsed="false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</row>
    <row r="111" customFormat="false" ht="15.75" hidden="false" customHeight="true" outlineLevel="0" collapsed="false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</row>
    <row r="112" customFormat="false" ht="15.75" hidden="false" customHeight="true" outlineLevel="0" collapsed="false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</row>
    <row r="113" customFormat="false" ht="15.75" hidden="false" customHeight="true" outlineLevel="0" collapsed="false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</row>
    <row r="114" customFormat="false" ht="15.75" hidden="false" customHeight="true" outlineLevel="0" collapsed="false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</row>
    <row r="115" customFormat="false" ht="15.75" hidden="false" customHeight="true" outlineLevel="0" collapsed="false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</row>
    <row r="116" customFormat="false" ht="15.75" hidden="false" customHeight="true" outlineLevel="0" collapsed="false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</row>
    <row r="117" customFormat="false" ht="15.75" hidden="false" customHeight="true" outlineLevel="0" collapsed="false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</row>
    <row r="118" customFormat="false" ht="15.75" hidden="false" customHeight="true" outlineLevel="0" collapsed="false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</row>
    <row r="119" customFormat="false" ht="15.75" hidden="false" customHeight="true" outlineLevel="0" collapsed="false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</row>
    <row r="120" customFormat="false" ht="15.75" hidden="false" customHeight="true" outlineLevel="0" collapsed="false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</row>
    <row r="121" customFormat="false" ht="15.75" hidden="false" customHeight="true" outlineLevel="0" collapsed="false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</row>
    <row r="122" customFormat="false" ht="15.75" hidden="false" customHeight="true" outlineLevel="0" collapsed="false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</row>
    <row r="123" customFormat="false" ht="15.75" hidden="false" customHeight="true" outlineLevel="0" collapsed="false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</row>
    <row r="124" customFormat="false" ht="15.75" hidden="false" customHeight="true" outlineLevel="0" collapsed="false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</row>
    <row r="125" customFormat="false" ht="15.75" hidden="false" customHeight="true" outlineLevel="0" collapsed="false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</row>
    <row r="126" customFormat="false" ht="15.75" hidden="false" customHeight="true" outlineLevel="0" collapsed="false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</row>
    <row r="127" customFormat="false" ht="15.75" hidden="false" customHeight="true" outlineLevel="0" collapsed="false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</row>
    <row r="128" customFormat="false" ht="15.75" hidden="false" customHeight="true" outlineLevel="0" collapsed="false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</row>
    <row r="129" customFormat="false" ht="15.75" hidden="false" customHeight="true" outlineLevel="0" collapsed="false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</row>
    <row r="130" customFormat="false" ht="15.75" hidden="false" customHeight="true" outlineLevel="0" collapsed="false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</row>
    <row r="131" customFormat="false" ht="15.75" hidden="false" customHeight="true" outlineLevel="0" collapsed="false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</row>
    <row r="132" customFormat="false" ht="15.75" hidden="false" customHeight="true" outlineLevel="0" collapsed="false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</row>
    <row r="133" customFormat="false" ht="15.75" hidden="false" customHeight="true" outlineLevel="0" collapsed="false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</row>
    <row r="134" customFormat="false" ht="15.75" hidden="false" customHeight="true" outlineLevel="0" collapsed="false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</row>
    <row r="135" customFormat="false" ht="15.75" hidden="false" customHeight="true" outlineLevel="0" collapsed="false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</row>
    <row r="136" customFormat="false" ht="15.75" hidden="false" customHeight="true" outlineLevel="0" collapsed="false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</row>
    <row r="137" customFormat="false" ht="15.75" hidden="false" customHeight="true" outlineLevel="0" collapsed="false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</row>
    <row r="138" customFormat="false" ht="15.75" hidden="false" customHeight="true" outlineLevel="0" collapsed="false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</row>
    <row r="139" customFormat="false" ht="15.75" hidden="false" customHeight="true" outlineLevel="0" collapsed="false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</row>
    <row r="140" customFormat="false" ht="15.75" hidden="false" customHeight="true" outlineLevel="0" collapsed="false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</row>
    <row r="141" customFormat="false" ht="15.75" hidden="false" customHeight="true" outlineLevel="0" collapsed="false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</row>
    <row r="142" customFormat="false" ht="15.75" hidden="false" customHeight="true" outlineLevel="0" collapsed="false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</row>
    <row r="143" customFormat="false" ht="15.75" hidden="false" customHeight="true" outlineLevel="0" collapsed="false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</row>
    <row r="144" customFormat="false" ht="15.75" hidden="false" customHeight="true" outlineLevel="0" collapsed="false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</row>
    <row r="145" customFormat="false" ht="15.75" hidden="false" customHeight="true" outlineLevel="0" collapsed="false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</row>
    <row r="146" customFormat="false" ht="15.75" hidden="false" customHeight="true" outlineLevel="0" collapsed="false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</row>
    <row r="147" customFormat="false" ht="15.75" hidden="false" customHeight="true" outlineLevel="0" collapsed="false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</row>
    <row r="148" customFormat="false" ht="15.75" hidden="false" customHeight="true" outlineLevel="0" collapsed="false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</row>
    <row r="149" customFormat="false" ht="15.75" hidden="false" customHeight="true" outlineLevel="0" collapsed="false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</row>
    <row r="150" customFormat="false" ht="15.75" hidden="false" customHeight="true" outlineLevel="0" collapsed="false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</row>
    <row r="151" customFormat="false" ht="15.75" hidden="false" customHeight="true" outlineLevel="0" collapsed="false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</row>
    <row r="152" customFormat="false" ht="15.75" hidden="false" customHeight="true" outlineLevel="0" collapsed="false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</row>
    <row r="153" customFormat="false" ht="15.75" hidden="false" customHeight="true" outlineLevel="0" collapsed="false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</row>
    <row r="154" customFormat="false" ht="15.75" hidden="false" customHeight="true" outlineLevel="0" collapsed="false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</row>
    <row r="155" customFormat="false" ht="15.75" hidden="false" customHeight="true" outlineLevel="0" collapsed="false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</row>
    <row r="156" customFormat="false" ht="15.75" hidden="false" customHeight="true" outlineLevel="0" collapsed="false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</row>
    <row r="157" customFormat="false" ht="15.75" hidden="false" customHeight="true" outlineLevel="0" collapsed="false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</row>
    <row r="158" customFormat="false" ht="15.75" hidden="false" customHeight="true" outlineLevel="0" collapsed="false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</row>
    <row r="159" customFormat="false" ht="15.75" hidden="false" customHeight="true" outlineLevel="0" collapsed="false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</row>
    <row r="160" customFormat="false" ht="15.75" hidden="false" customHeight="true" outlineLevel="0" collapsed="false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</row>
    <row r="161" customFormat="false" ht="15.75" hidden="false" customHeight="true" outlineLevel="0" collapsed="false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</row>
    <row r="162" customFormat="false" ht="15.75" hidden="false" customHeight="true" outlineLevel="0" collapsed="false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</row>
    <row r="163" customFormat="false" ht="15.75" hidden="false" customHeight="true" outlineLevel="0" collapsed="false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</row>
    <row r="164" customFormat="false" ht="15.75" hidden="false" customHeight="true" outlineLevel="0" collapsed="false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</row>
    <row r="165" customFormat="false" ht="15.75" hidden="false" customHeight="true" outlineLevel="0" collapsed="false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</row>
    <row r="166" customFormat="false" ht="15.75" hidden="false" customHeight="true" outlineLevel="0" collapsed="false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</row>
    <row r="167" customFormat="false" ht="15.75" hidden="false" customHeight="true" outlineLevel="0" collapsed="false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</row>
    <row r="168" customFormat="false" ht="15.75" hidden="false" customHeight="true" outlineLevel="0" collapsed="false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 customFormat="false" ht="15.75" hidden="false" customHeight="true" outlineLevel="0" collapsed="false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 customFormat="false" ht="15.75" hidden="false" customHeight="true" outlineLevel="0" collapsed="false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 customFormat="false" ht="15.75" hidden="false" customHeight="true" outlineLevel="0" collapsed="false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</row>
    <row r="172" customFormat="false" ht="15.75" hidden="false" customHeight="true" outlineLevel="0" collapsed="false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 customFormat="false" ht="15.75" hidden="false" customHeight="true" outlineLevel="0" collapsed="false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 customFormat="false" ht="15.75" hidden="false" customHeight="true" outlineLevel="0" collapsed="false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 customFormat="false" ht="15.75" hidden="false" customHeight="true" outlineLevel="0" collapsed="false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</row>
    <row r="176" customFormat="false" ht="15.75" hidden="false" customHeight="true" outlineLevel="0" collapsed="false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</row>
    <row r="177" customFormat="false" ht="15.75" hidden="false" customHeight="true" outlineLevel="0" collapsed="false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</row>
    <row r="178" customFormat="false" ht="15.75" hidden="false" customHeight="true" outlineLevel="0" collapsed="false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</row>
    <row r="179" customFormat="false" ht="15.75" hidden="false" customHeight="true" outlineLevel="0" collapsed="false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 customFormat="false" ht="15.75" hidden="false" customHeight="true" outlineLevel="0" collapsed="false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 customFormat="false" ht="15.75" hidden="false" customHeight="true" outlineLevel="0" collapsed="false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 customFormat="false" ht="15.75" hidden="false" customHeight="true" outlineLevel="0" collapsed="false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</row>
    <row r="183" customFormat="false" ht="15.75" hidden="false" customHeight="true" outlineLevel="0" collapsed="false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 customFormat="false" ht="15.75" hidden="false" customHeight="true" outlineLevel="0" collapsed="false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</row>
    <row r="185" customFormat="false" ht="15.75" hidden="false" customHeight="true" outlineLevel="0" collapsed="false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</row>
    <row r="186" customFormat="false" ht="15.75" hidden="false" customHeight="true" outlineLevel="0" collapsed="false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 customFormat="false" ht="15.75" hidden="false" customHeight="true" outlineLevel="0" collapsed="false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</row>
    <row r="188" customFormat="false" ht="15.75" hidden="false" customHeight="true" outlineLevel="0" collapsed="false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</row>
    <row r="189" customFormat="false" ht="15.75" hidden="false" customHeight="true" outlineLevel="0" collapsed="false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 customFormat="false" ht="15.75" hidden="false" customHeight="true" outlineLevel="0" collapsed="false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</row>
    <row r="191" customFormat="false" ht="15.75" hidden="false" customHeight="true" outlineLevel="0" collapsed="false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</row>
    <row r="192" customFormat="false" ht="15.75" hidden="false" customHeight="true" outlineLevel="0" collapsed="false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</row>
    <row r="193" customFormat="false" ht="15.75" hidden="false" customHeight="true" outlineLevel="0" collapsed="false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</row>
    <row r="194" customFormat="false" ht="15.75" hidden="false" customHeight="true" outlineLevel="0" collapsed="false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</row>
    <row r="195" customFormat="false" ht="15.75" hidden="false" customHeight="true" outlineLevel="0" collapsed="false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</row>
    <row r="196" customFormat="false" ht="15.75" hidden="false" customHeight="true" outlineLevel="0" collapsed="false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</row>
    <row r="197" customFormat="false" ht="15.75" hidden="false" customHeight="true" outlineLevel="0" collapsed="false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</row>
    <row r="198" customFormat="false" ht="15.75" hidden="false" customHeight="true" outlineLevel="0" collapsed="false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</row>
    <row r="199" customFormat="false" ht="15.75" hidden="false" customHeight="true" outlineLevel="0" collapsed="false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 customFormat="false" ht="15.75" hidden="false" customHeight="true" outlineLevel="0" collapsed="false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</row>
    <row r="201" customFormat="false" ht="15.75" hidden="false" customHeight="true" outlineLevel="0" collapsed="false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</row>
    <row r="202" customFormat="false" ht="15.75" hidden="false" customHeight="true" outlineLevel="0" collapsed="false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 customFormat="false" ht="15.75" hidden="false" customHeight="true" outlineLevel="0" collapsed="false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 customFormat="false" ht="15.75" hidden="false" customHeight="true" outlineLevel="0" collapsed="false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</row>
    <row r="205" customFormat="false" ht="15.75" hidden="false" customHeight="true" outlineLevel="0" collapsed="false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</row>
    <row r="206" customFormat="false" ht="15.75" hidden="false" customHeight="true" outlineLevel="0" collapsed="false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</row>
    <row r="207" customFormat="false" ht="15.75" hidden="false" customHeight="true" outlineLevel="0" collapsed="false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</row>
    <row r="208" customFormat="false" ht="15.75" hidden="false" customHeight="true" outlineLevel="0" collapsed="false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</row>
    <row r="209" customFormat="false" ht="15.75" hidden="false" customHeight="true" outlineLevel="0" collapsed="false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</row>
    <row r="210" customFormat="false" ht="15.75" hidden="false" customHeight="true" outlineLevel="0" collapsed="false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 customFormat="false" ht="15.75" hidden="false" customHeight="true" outlineLevel="0" collapsed="false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</row>
    <row r="212" customFormat="false" ht="15.75" hidden="false" customHeight="true" outlineLevel="0" collapsed="false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</row>
    <row r="213" customFormat="false" ht="15.75" hidden="false" customHeight="true" outlineLevel="0" collapsed="false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</row>
    <row r="214" customFormat="false" ht="15.75" hidden="false" customHeight="true" outlineLevel="0" collapsed="false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 customFormat="false" ht="15.75" hidden="false" customHeight="true" outlineLevel="0" collapsed="false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</row>
    <row r="216" customFormat="false" ht="15.75" hidden="false" customHeight="true" outlineLevel="0" collapsed="false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 customFormat="false" ht="15.75" hidden="false" customHeight="true" outlineLevel="0" collapsed="false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 customFormat="false" ht="15.75" hidden="false" customHeight="true" outlineLevel="0" collapsed="false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 customFormat="false" ht="15.75" hidden="false" customHeight="true" outlineLevel="0" collapsed="false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 customFormat="false" ht="15.75" hidden="false" customHeight="true" outlineLevel="0" collapsed="false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</row>
    <row r="221" customFormat="false" ht="15.75" hidden="false" customHeight="true" outlineLevel="0" collapsed="false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</row>
    <row r="222" customFormat="false" ht="15.75" hidden="false" customHeight="true" outlineLevel="0" collapsed="false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 customFormat="false" ht="15.75" hidden="false" customHeight="true" outlineLevel="0" collapsed="false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</row>
    <row r="224" customFormat="false" ht="15.75" hidden="false" customHeight="true" outlineLevel="0" collapsed="false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</row>
    <row r="225" customFormat="false" ht="15.75" hidden="false" customHeight="true" outlineLevel="0" collapsed="false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</row>
    <row r="226" customFormat="false" ht="15.75" hidden="false" customHeight="true" outlineLevel="0" collapsed="false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</row>
    <row r="227" customFormat="false" ht="15.75" hidden="false" customHeight="true" outlineLevel="0" collapsed="false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</row>
    <row r="228" customFormat="false" ht="15.75" hidden="false" customHeight="true" outlineLevel="0" collapsed="false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</row>
    <row r="229" customFormat="false" ht="15.75" hidden="false" customHeight="true" outlineLevel="0" collapsed="false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 customFormat="false" ht="15.75" hidden="false" customHeight="true" outlineLevel="0" collapsed="false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 customFormat="false" ht="15.75" hidden="false" customHeight="true" outlineLevel="0" collapsed="false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</row>
  </sheetData>
  <mergeCells count="24">
    <mergeCell ref="A1:AO1"/>
    <mergeCell ref="A2:A3"/>
    <mergeCell ref="B2:B3"/>
    <mergeCell ref="C2:E2"/>
    <mergeCell ref="F2:K2"/>
    <mergeCell ref="L2:L3"/>
    <mergeCell ref="M2:M3"/>
    <mergeCell ref="N2:N3"/>
    <mergeCell ref="O2:Y2"/>
    <mergeCell ref="Z2:AC2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4:AO4"/>
    <mergeCell ref="A10:AO10"/>
  </mergeCells>
  <hyperlinks>
    <hyperlink ref="Y5" r:id="rId2" display="https://lumicenter.com/produtos/lhb60-s"/>
    <hyperlink ref="AC5" r:id="rId3" display="https://lumicenter.com/produtos/lhb60-s"/>
    <hyperlink ref="Y6" r:id="rId4" display="https://lumicenter.com/produtos/lhb60-s"/>
    <hyperlink ref="AC6" r:id="rId5" display="https://lumicenter.com/produtos/lhb60-s"/>
    <hyperlink ref="Y7" r:id="rId6" display="https://lumicenter.com/produtos/lhb60-s"/>
    <hyperlink ref="AC7" r:id="rId7" display="https://lumicenter.com/produtos/lhb60-s"/>
    <hyperlink ref="Y8" r:id="rId8" display="https://lumicenter.com/produtos/lhb60-s"/>
    <hyperlink ref="AC8" r:id="rId9" display="https://lumicenter.com/produtos/lhb60-s"/>
    <hyperlink ref="Y9" r:id="rId10" display="https://lumicenter.com/produtos/lhb60-s"/>
    <hyperlink ref="AC9" r:id="rId11" display="https://lumicenter.com/produtos/lhb60-s"/>
    <hyperlink ref="Y11" r:id="rId12" display="https://lumicenter.com/produtos/lht44-s"/>
    <hyperlink ref="AC11" r:id="rId13" display="https://lumicenter.com/produtos/lht44-s"/>
    <hyperlink ref="Y12" r:id="rId14" display="https://lumicenter.com/produtos/lht44-s"/>
    <hyperlink ref="AC12" r:id="rId15" display="https://lumicenter.com/produtos/lht44-s"/>
    <hyperlink ref="Y13" r:id="rId16" display="https://lumicenter.com/produtos/lht44-s"/>
    <hyperlink ref="AC13" r:id="rId17" display="https://lumicenter.com/produtos/lht44-s"/>
    <hyperlink ref="Y14" r:id="rId18" display="https://lumicenter.com/produtos/lht44-s"/>
    <hyperlink ref="AC14" r:id="rId19" display="https://lumicenter.com/produtos/lht44-s"/>
    <hyperlink ref="Y15" r:id="rId20" display="https://lumicenter.com/produtos/lht44-s"/>
    <hyperlink ref="AC15" r:id="rId21" display="https://lumicenter.com/produtos/lht44-s"/>
    <hyperlink ref="Y16" r:id="rId22" display="https://lumicenter.com/produtos/lht44-s"/>
    <hyperlink ref="AC16" r:id="rId23" display="https://lumicenter.com/produtos/lht44-s"/>
    <hyperlink ref="Y17" r:id="rId24" display="https://lumicenter.com/produtos/lht44-s"/>
    <hyperlink ref="AC17" r:id="rId25" display="https://lumicenter.com/produtos/lht44-s"/>
    <hyperlink ref="Y18" r:id="rId26" display="https://lumicenter.com/produtos/lht44-s"/>
    <hyperlink ref="AC18" r:id="rId27" display="https://lumicenter.com/produtos/lht44-s"/>
    <hyperlink ref="Y19" r:id="rId28" display="https://lumicenter.com/produtos/lht44-s"/>
    <hyperlink ref="AC19" r:id="rId29" display="https://lumicenter.com/produtos/lht44-s"/>
    <hyperlink ref="Y20" r:id="rId30" display="https://lumicenter.com/produtos/lht44-s"/>
    <hyperlink ref="AC20" r:id="rId31" display="https://lumicenter.com/produtos/lht44-s"/>
    <hyperlink ref="Y21" r:id="rId32" display="https://lumicenter.com/produtos/lht44-s"/>
    <hyperlink ref="AC21" r:id="rId33" display="https://lumicenter.com/produtos/lht44-s"/>
    <hyperlink ref="Y22" r:id="rId34" display="https://lumicenter.com/produtos/lht44-s"/>
    <hyperlink ref="AC22" r:id="rId35" display="https://lumicenter.com/produtos/lht44-s"/>
    <hyperlink ref="Y23" r:id="rId36" display="https://lumicenter.com/produtos/lht44-s"/>
    <hyperlink ref="AC23" r:id="rId37" display="https://lumicenter.com/produtos/lht44-s"/>
    <hyperlink ref="Y24" r:id="rId38" display="https://lumicenter.com/produtos/lht44-s"/>
    <hyperlink ref="AC24" r:id="rId39" display="https://lumicenter.com/produtos/lht44-s"/>
    <hyperlink ref="Y25" r:id="rId40" display="https://lumicenter.com/produtos/lht44-s"/>
    <hyperlink ref="AC25" r:id="rId41" display="https://lumicenter.com/produtos/lht44-s"/>
    <hyperlink ref="Y26" r:id="rId42" display="https://lumicenter.com/produtos/lht44-s"/>
    <hyperlink ref="AC26" r:id="rId43" display="https://lumicenter.com/produtos/lht44-s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B3E2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.15"/>
    <col collapsed="false" customWidth="true" hidden="false" outlineLevel="0" max="6" min="2" style="0" width="15.71"/>
    <col collapsed="false" customWidth="true" hidden="false" outlineLevel="0" max="7" min="7" style="0" width="12.29"/>
    <col collapsed="false" customWidth="true" hidden="false" outlineLevel="0" max="8" min="8" style="0" width="8.71"/>
    <col collapsed="false" customWidth="true" hidden="false" outlineLevel="0" max="9" min="9" style="0" width="29.14"/>
    <col collapsed="false" customWidth="true" hidden="false" outlineLevel="0" max="10" min="10" style="0" width="8.15"/>
  </cols>
  <sheetData>
    <row r="1" customFormat="false" ht="26.25" hidden="false" customHeight="true" outlineLevel="0" collapsed="false">
      <c r="A1" s="35" t="s">
        <v>75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25.5" hidden="false" customHeight="true" outlineLevel="0" collapsed="false">
      <c r="A2" s="36" t="s">
        <v>76</v>
      </c>
      <c r="B2" s="37" t="s">
        <v>77</v>
      </c>
      <c r="C2" s="37" t="s">
        <v>78</v>
      </c>
      <c r="D2" s="37" t="s">
        <v>79</v>
      </c>
      <c r="E2" s="38" t="s">
        <v>80</v>
      </c>
      <c r="F2" s="38"/>
      <c r="G2" s="38" t="s">
        <v>81</v>
      </c>
      <c r="H2" s="38"/>
      <c r="I2" s="39" t="s">
        <v>82</v>
      </c>
      <c r="J2" s="39"/>
    </row>
    <row r="3" customFormat="false" ht="40.5" hidden="false" customHeight="true" outlineLevel="0" collapsed="false">
      <c r="A3" s="36"/>
      <c r="B3" s="37"/>
      <c r="C3" s="37"/>
      <c r="D3" s="37"/>
      <c r="E3" s="40" t="s">
        <v>83</v>
      </c>
      <c r="F3" s="40" t="s">
        <v>84</v>
      </c>
      <c r="G3" s="40" t="s">
        <v>83</v>
      </c>
      <c r="H3" s="40" t="s">
        <v>84</v>
      </c>
      <c r="I3" s="40" t="s">
        <v>85</v>
      </c>
      <c r="J3" s="40" t="s">
        <v>86</v>
      </c>
    </row>
    <row r="4" customFormat="false" ht="15" hidden="false" customHeight="true" outlineLevel="0" collapsed="false">
      <c r="A4" s="41" t="s">
        <v>87</v>
      </c>
      <c r="B4" s="41"/>
      <c r="C4" s="41"/>
      <c r="D4" s="41"/>
      <c r="E4" s="41"/>
      <c r="F4" s="41"/>
      <c r="G4" s="41"/>
      <c r="H4" s="41"/>
      <c r="I4" s="41"/>
      <c r="J4" s="41"/>
    </row>
    <row r="5" customFormat="false" ht="15" hidden="false" customHeight="true" outlineLevel="0" collapsed="false">
      <c r="A5" s="42" t="str">
        <f aca="false">Luminotécnico!B5</f>
        <v>Tornear e Chanfrar</v>
      </c>
      <c r="B5" s="43" t="n">
        <f aca="false">Luminotécnico!F5*Luminotécnico!G5</f>
        <v>145.8</v>
      </c>
      <c r="C5" s="43" t="n">
        <f aca="false">2*(Luminotécnico!F5+Luminotécnico!G5)</f>
        <v>50.4</v>
      </c>
      <c r="D5" s="44" t="n">
        <f aca="false">Luminotécnico!AO5</f>
        <v>953.939393939394</v>
      </c>
      <c r="E5" s="42" t="n">
        <f aca="false">ROUNDUP(C5/7.5, 0)</f>
        <v>7</v>
      </c>
      <c r="F5" s="42" t="n">
        <f aca="false">E5*600</f>
        <v>4200</v>
      </c>
      <c r="G5" s="42" t="n">
        <f aca="false">ROUNDUP(C5/15,0)</f>
        <v>4</v>
      </c>
      <c r="H5" s="42" t="n">
        <f aca="false">G5*6000</f>
        <v>24000</v>
      </c>
      <c r="I5" s="42" t="s">
        <v>88</v>
      </c>
      <c r="J5" s="42" t="n">
        <v>4160</v>
      </c>
    </row>
    <row r="6" customFormat="false" ht="15" hidden="false" customHeight="true" outlineLevel="0" collapsed="false">
      <c r="A6" s="45" t="str">
        <f aca="false">Luminotécnico!B6</f>
        <v>Polimento</v>
      </c>
      <c r="B6" s="46" t="n">
        <f aca="false">Luminotécnico!F6*Luminotécnico!G6</f>
        <v>132.84</v>
      </c>
      <c r="C6" s="46" t="n">
        <f aca="false">2*(Luminotécnico!F6+Luminotécnico!G6)</f>
        <v>48.8</v>
      </c>
      <c r="D6" s="47" t="n">
        <f aca="false">Luminotécnico!AO6</f>
        <v>1430.90909090909</v>
      </c>
      <c r="E6" s="42" t="n">
        <f aca="false">ROUNDUP(C6/7.5, 0)</f>
        <v>7</v>
      </c>
      <c r="F6" s="42" t="n">
        <f aca="false">E6*600</f>
        <v>4200</v>
      </c>
      <c r="G6" s="42" t="n">
        <f aca="false">ROUNDUP(C6/15,0)</f>
        <v>4</v>
      </c>
      <c r="H6" s="42" t="n">
        <f aca="false">G6*6000</f>
        <v>24000</v>
      </c>
      <c r="I6" s="45" t="s">
        <v>89</v>
      </c>
      <c r="J6" s="45" t="n">
        <v>4320</v>
      </c>
    </row>
    <row r="7" customFormat="false" ht="15" hidden="false" customHeight="true" outlineLevel="0" collapsed="false">
      <c r="A7" s="45" t="str">
        <f aca="false">Luminotécnico!B7</f>
        <v>Colagem e montagem</v>
      </c>
      <c r="B7" s="46" t="n">
        <f aca="false">Luminotécnico!F7*Luminotécnico!G7</f>
        <v>149.4</v>
      </c>
      <c r="C7" s="46" t="n">
        <f aca="false">2*(Luminotécnico!F7+Luminotécnico!G7)</f>
        <v>51.2</v>
      </c>
      <c r="D7" s="47" t="n">
        <f aca="false">Luminotécnico!AO7</f>
        <v>635.959595959596</v>
      </c>
      <c r="E7" s="42" t="n">
        <f aca="false">ROUNDUP(C7/7.5, 0)</f>
        <v>7</v>
      </c>
      <c r="F7" s="42" t="n">
        <f aca="false">E7*600</f>
        <v>4200</v>
      </c>
      <c r="G7" s="42" t="n">
        <f aca="false">ROUNDUP(C7/15,0)</f>
        <v>4</v>
      </c>
      <c r="H7" s="42" t="n">
        <f aca="false">G7*6000</f>
        <v>24000</v>
      </c>
      <c r="I7" s="48" t="s">
        <v>90</v>
      </c>
      <c r="J7" s="48" t="n">
        <v>2240</v>
      </c>
    </row>
    <row r="8" customFormat="false" ht="15" hidden="false" customHeight="true" outlineLevel="0" collapsed="false">
      <c r="A8" s="45" t="str">
        <f aca="false">Luminotécnico!B8</f>
        <v>Sistemas de Serra</v>
      </c>
      <c r="B8" s="46" t="n">
        <f aca="false">Luminotécnico!F8*Luminotécnico!G8</f>
        <v>136.105</v>
      </c>
      <c r="C8" s="46" t="n">
        <f aca="false">2*(Luminotécnico!F8+Luminotécnico!G8)</f>
        <v>49.7</v>
      </c>
      <c r="D8" s="47" t="n">
        <f aca="false">Luminotécnico!AO8</f>
        <v>635.959595959596</v>
      </c>
      <c r="E8" s="42" t="n">
        <f aca="false">ROUNDUP(C8/7.5, 0)</f>
        <v>7</v>
      </c>
      <c r="F8" s="42" t="n">
        <f aca="false">E8*600</f>
        <v>4200</v>
      </c>
      <c r="G8" s="42" t="n">
        <f aca="false">ROUNDUP(C8/15,0)</f>
        <v>4</v>
      </c>
      <c r="H8" s="42" t="n">
        <f aca="false">G8*6000</f>
        <v>24000</v>
      </c>
      <c r="I8" s="45" t="s">
        <v>91</v>
      </c>
      <c r="J8" s="45" t="n">
        <v>5440</v>
      </c>
    </row>
    <row r="9" customFormat="false" ht="15" hidden="false" customHeight="true" outlineLevel="0" collapsed="false">
      <c r="A9" s="45" t="str">
        <f aca="false">Luminotécnico!B9</f>
        <v>Inspeção Final</v>
      </c>
      <c r="B9" s="46" t="n">
        <f aca="false">Luminotécnico!F9*Luminotécnico!G9</f>
        <v>96.1675</v>
      </c>
      <c r="C9" s="46" t="n">
        <f aca="false">2*(Luminotécnico!F9+Luminotécnico!G9)</f>
        <v>41.2</v>
      </c>
      <c r="D9" s="47" t="n">
        <f aca="false">Luminotécnico!AO9</f>
        <v>1669.39393939394</v>
      </c>
      <c r="E9" s="42" t="n">
        <f aca="false">ROUNDUP(C9/7.5, 0)</f>
        <v>6</v>
      </c>
      <c r="F9" s="42" t="n">
        <f aca="false">E9*600</f>
        <v>3600</v>
      </c>
      <c r="G9" s="42" t="n">
        <f aca="false">ROUNDUP(C9/15,0)</f>
        <v>3</v>
      </c>
      <c r="H9" s="42" t="n">
        <f aca="false">G9*6000</f>
        <v>18000</v>
      </c>
      <c r="I9" s="45"/>
      <c r="J9" s="45"/>
    </row>
    <row r="10" customFormat="false" ht="15" hidden="false" customHeight="true" outlineLevel="0" collapsed="false">
      <c r="A10" s="49" t="s">
        <v>92</v>
      </c>
      <c r="B10" s="49"/>
      <c r="C10" s="49"/>
      <c r="D10" s="49"/>
      <c r="E10" s="49"/>
      <c r="F10" s="49"/>
      <c r="G10" s="49"/>
      <c r="H10" s="49"/>
      <c r="I10" s="49"/>
      <c r="J10" s="49"/>
    </row>
    <row r="11" customFormat="false" ht="15" hidden="false" customHeight="true" outlineLevel="0" collapsed="false">
      <c r="A11" s="45" t="str">
        <f aca="false">Luminotécnico!B11</f>
        <v>Sala de Estar</v>
      </c>
      <c r="B11" s="46" t="n">
        <f aca="false">Luminotécnico!F11*Luminotécnico!G11</f>
        <v>54.28</v>
      </c>
      <c r="C11" s="46" t="n">
        <f aca="false">2*(Luminotécnico!F11+Luminotécnico!G11)</f>
        <v>30.2</v>
      </c>
      <c r="D11" s="45" t="n">
        <f aca="false">IF(B11&lt;=6, 100, 100 + INT((B11 - 6) / 4) * 60)</f>
        <v>820</v>
      </c>
      <c r="E11" s="45" t="n">
        <f aca="false">ROUNDUP(C11/5, 0)</f>
        <v>7</v>
      </c>
      <c r="F11" s="45" t="n">
        <f aca="false">E11*100</f>
        <v>700</v>
      </c>
      <c r="G11" s="42" t="n">
        <v>0</v>
      </c>
      <c r="H11" s="42" t="n">
        <f aca="false">G11*6000</f>
        <v>0</v>
      </c>
      <c r="I11" s="45" t="s">
        <v>93</v>
      </c>
      <c r="J11" s="45" t="n">
        <v>1900</v>
      </c>
    </row>
    <row r="12" customFormat="false" ht="15" hidden="false" customHeight="true" outlineLevel="0" collapsed="false">
      <c r="A12" s="45" t="str">
        <f aca="false">Luminotécnico!B12</f>
        <v>Sala de reuniões</v>
      </c>
      <c r="B12" s="46" t="n">
        <f aca="false">Luminotécnico!F12*Luminotécnico!G12</f>
        <v>42.35</v>
      </c>
      <c r="C12" s="46" t="n">
        <f aca="false">2*(Luminotécnico!F12+Luminotécnico!G12)</f>
        <v>26.4</v>
      </c>
      <c r="D12" s="45" t="n">
        <f aca="false">IF(B12&lt;=6, 100, 100 + INT((B12 - 6) / 4) * 60)</f>
        <v>640</v>
      </c>
      <c r="E12" s="45" t="n">
        <f aca="false">IF(B12&lt;=37, MAX(ROUNDUP(C12/3,0), ROUNDUP(B12/4,0)), 8+3*ROUNDUP((B12-37)/37,0))</f>
        <v>11</v>
      </c>
      <c r="F12" s="45" t="n">
        <f aca="false">E12*200</f>
        <v>2200</v>
      </c>
      <c r="G12" s="42" t="n">
        <v>0</v>
      </c>
      <c r="H12" s="42" t="n">
        <f aca="false">G12*6000</f>
        <v>0</v>
      </c>
      <c r="I12" s="45" t="s">
        <v>94</v>
      </c>
      <c r="J12" s="45" t="n">
        <v>2500</v>
      </c>
    </row>
    <row r="13" customFormat="false" ht="15" hidden="false" customHeight="true" outlineLevel="0" collapsed="false">
      <c r="A13" s="45" t="str">
        <f aca="false">Luminotécnico!B13</f>
        <v>Recepção</v>
      </c>
      <c r="B13" s="46" t="n">
        <f aca="false">Luminotécnico!F13*Luminotécnico!G13</f>
        <v>19.2</v>
      </c>
      <c r="C13" s="46" t="n">
        <f aca="false">2*(Luminotécnico!F13+Luminotécnico!G13)</f>
        <v>17.6</v>
      </c>
      <c r="D13" s="45" t="n">
        <f aca="false">IF(B13&lt;=6, 100, 100 + INT((B13 - 6) / 4) * 60)</f>
        <v>280</v>
      </c>
      <c r="E13" s="45" t="n">
        <f aca="false">IF(B13&lt;=37, MAX(ROUNDUP(C13/3,0), ROUNDUP(B13/4,0)), 8+3*ROUNDUP((B13-37)/37,0))</f>
        <v>6</v>
      </c>
      <c r="F13" s="45" t="n">
        <f aca="false">E13*200</f>
        <v>1200</v>
      </c>
      <c r="G13" s="42" t="n">
        <v>0</v>
      </c>
      <c r="H13" s="42" t="n">
        <f aca="false">G13*6000</f>
        <v>0</v>
      </c>
      <c r="I13" s="45" t="s">
        <v>95</v>
      </c>
      <c r="J13" s="45" t="n">
        <v>1400</v>
      </c>
    </row>
    <row r="14" customFormat="false" ht="15" hidden="false" customHeight="true" outlineLevel="0" collapsed="false">
      <c r="A14" s="50" t="str">
        <f aca="false">Luminotécnico!B14</f>
        <v>Copa</v>
      </c>
      <c r="B14" s="51" t="n">
        <f aca="false">Luminotécnico!F14*Luminotécnico!G14</f>
        <v>16.8</v>
      </c>
      <c r="C14" s="51" t="n">
        <f aca="false">2*(Luminotécnico!F14+Luminotécnico!G14)</f>
        <v>16.6</v>
      </c>
      <c r="D14" s="50" t="n">
        <f aca="false">IF(B14&lt;=6, 100, 100 + INT((B14 - 6) / 4) * 60)</f>
        <v>220</v>
      </c>
      <c r="E14" s="50" t="n">
        <f aca="false">ROUNDUP(C14/3.5, 0)</f>
        <v>5</v>
      </c>
      <c r="F14" s="50" t="n">
        <f aca="false">IF(E14&gt;3, 3*600 + (E14-3)*100, E14*600)</f>
        <v>2000</v>
      </c>
      <c r="G14" s="42" t="n">
        <v>0</v>
      </c>
      <c r="H14" s="42" t="n">
        <f aca="false">G14*6000</f>
        <v>0</v>
      </c>
      <c r="I14" s="50"/>
      <c r="J14" s="50"/>
    </row>
    <row r="15" customFormat="false" ht="15" hidden="false" customHeight="true" outlineLevel="0" collapsed="false">
      <c r="A15" s="50" t="str">
        <f aca="false">Luminotécnico!B15</f>
        <v>Ante Sala</v>
      </c>
      <c r="B15" s="51" t="n">
        <f aca="false">Luminotécnico!F15*Luminotécnico!G15</f>
        <v>18</v>
      </c>
      <c r="C15" s="51" t="n">
        <f aca="false">2*(Luminotécnico!F15+Luminotécnico!G15)</f>
        <v>22</v>
      </c>
      <c r="D15" s="50" t="n">
        <f aca="false">IF(B15&lt;=6, 100, 100 + INT((B15 - 6) / 4) * 60)</f>
        <v>280</v>
      </c>
      <c r="E15" s="50" t="n">
        <f aca="false">ROUNDUP(C15/5, 0)</f>
        <v>5</v>
      </c>
      <c r="F15" s="50" t="n">
        <f aca="false">E15*100</f>
        <v>500</v>
      </c>
      <c r="G15" s="42" t="n">
        <v>0</v>
      </c>
      <c r="H15" s="42" t="n">
        <f aca="false">G15*6000</f>
        <v>0</v>
      </c>
      <c r="I15" s="50"/>
      <c r="J15" s="50"/>
    </row>
    <row r="16" customFormat="false" ht="15" hidden="false" customHeight="true" outlineLevel="0" collapsed="false">
      <c r="A16" s="50" t="str">
        <f aca="false">Luminotécnico!B16</f>
        <v>BWC1</v>
      </c>
      <c r="B16" s="51" t="n">
        <f aca="false">Luminotécnico!F16*Luminotécnico!G16</f>
        <v>25.704</v>
      </c>
      <c r="C16" s="51" t="n">
        <f aca="false">2*(Luminotécnico!F16+Luminotécnico!G16)</f>
        <v>21.54</v>
      </c>
      <c r="D16" s="50" t="n">
        <f aca="false">IF(B16&lt;=6, 100, 100 + INT((B16 - 6) / 4) * 60)</f>
        <v>340</v>
      </c>
      <c r="E16" s="50" t="n">
        <v>1</v>
      </c>
      <c r="F16" s="50" t="n">
        <v>600</v>
      </c>
      <c r="G16" s="42" t="n">
        <v>0</v>
      </c>
      <c r="H16" s="42" t="n">
        <f aca="false">G16*6000</f>
        <v>0</v>
      </c>
      <c r="I16" s="50" t="s">
        <v>96</v>
      </c>
      <c r="J16" s="50" t="n">
        <v>1500</v>
      </c>
    </row>
    <row r="17" customFormat="false" ht="15" hidden="false" customHeight="true" outlineLevel="0" collapsed="false">
      <c r="A17" s="50" t="str">
        <f aca="false">Luminotécnico!B17</f>
        <v>BWC2</v>
      </c>
      <c r="B17" s="51" t="n">
        <f aca="false">Luminotécnico!F17*Luminotécnico!G17</f>
        <v>25.704</v>
      </c>
      <c r="C17" s="51" t="n">
        <f aca="false">2*(Luminotécnico!F17+Luminotécnico!G17)</f>
        <v>21.54</v>
      </c>
      <c r="D17" s="50" t="n">
        <f aca="false">IF(B17&lt;=6, 100, 100 + INT((B17 - 6) / 4) * 60)</f>
        <v>340</v>
      </c>
      <c r="E17" s="50" t="n">
        <v>1</v>
      </c>
      <c r="F17" s="50" t="n">
        <v>600</v>
      </c>
      <c r="G17" s="42" t="n">
        <v>0</v>
      </c>
      <c r="H17" s="42" t="n">
        <f aca="false">G17*6000</f>
        <v>0</v>
      </c>
      <c r="I17" s="50" t="s">
        <v>96</v>
      </c>
      <c r="J17" s="50" t="n">
        <v>1500</v>
      </c>
    </row>
    <row r="18" customFormat="false" ht="15" hidden="false" customHeight="true" outlineLevel="0" collapsed="false">
      <c r="A18" s="50" t="str">
        <f aca="false">Luminotécnico!B18</f>
        <v>BWC3</v>
      </c>
      <c r="B18" s="51" t="n">
        <f aca="false">Luminotécnico!F18*Luminotécnico!G18</f>
        <v>21</v>
      </c>
      <c r="C18" s="51" t="n">
        <f aca="false">2*(Luminotécnico!F18+Luminotécnico!G18)</f>
        <v>19</v>
      </c>
      <c r="D18" s="50" t="n">
        <f aca="false">IF(B18&lt;=6, 100, 100 + INT((B18 - 6) / 4) * 60)</f>
        <v>280</v>
      </c>
      <c r="E18" s="50" t="n">
        <v>1</v>
      </c>
      <c r="F18" s="50" t="n">
        <v>600</v>
      </c>
      <c r="G18" s="42" t="n">
        <v>0</v>
      </c>
      <c r="H18" s="42" t="n">
        <f aca="false">G18*6000</f>
        <v>0</v>
      </c>
      <c r="I18" s="50" t="s">
        <v>96</v>
      </c>
      <c r="J18" s="50" t="n">
        <v>1500</v>
      </c>
    </row>
    <row r="19" customFormat="false" ht="15" hidden="false" customHeight="true" outlineLevel="0" collapsed="false">
      <c r="A19" s="50" t="str">
        <f aca="false">Luminotécnico!B19</f>
        <v>BWC4</v>
      </c>
      <c r="B19" s="51" t="n">
        <f aca="false">Luminotécnico!F19*Luminotécnico!G19</f>
        <v>21</v>
      </c>
      <c r="C19" s="51" t="n">
        <f aca="false">2*(Luminotécnico!F19+Luminotécnico!G19)</f>
        <v>19</v>
      </c>
      <c r="D19" s="50" t="n">
        <f aca="false">IF(B19&lt;=6, 100, 100 + INT((B19 - 6) / 4) * 60)</f>
        <v>280</v>
      </c>
      <c r="E19" s="50" t="n">
        <v>1</v>
      </c>
      <c r="F19" s="50" t="n">
        <v>600</v>
      </c>
      <c r="G19" s="42" t="n">
        <v>0</v>
      </c>
      <c r="H19" s="42" t="n">
        <f aca="false">G19*6000</f>
        <v>0</v>
      </c>
      <c r="I19" s="50" t="s">
        <v>96</v>
      </c>
      <c r="J19" s="50" t="n">
        <v>1500</v>
      </c>
    </row>
    <row r="20" customFormat="false" ht="15" hidden="false" customHeight="true" outlineLevel="0" collapsed="false">
      <c r="A20" s="50" t="str">
        <f aca="false">Luminotécnico!B20</f>
        <v>Vídeo Conferencia</v>
      </c>
      <c r="B20" s="51" t="n">
        <f aca="false">Luminotécnico!F20*Luminotécnico!G20</f>
        <v>26.32</v>
      </c>
      <c r="C20" s="51" t="n">
        <f aca="false">2*(Luminotécnico!F20+Luminotécnico!G20)</f>
        <v>20.6</v>
      </c>
      <c r="D20" s="50" t="n">
        <f aca="false">IF(B20&lt;=6, 100, 100 + INT((B20 - 6) / 4) * 60)</f>
        <v>400</v>
      </c>
      <c r="E20" s="50" t="n">
        <f aca="false">IF(B20&lt;=37, MAX(ROUNDUP(C20/3,0), ROUNDUP(B20/4,0)), 8+3*ROUNDUP((B20-37)/37,0))</f>
        <v>7</v>
      </c>
      <c r="F20" s="50" t="n">
        <f aca="false">E20*200</f>
        <v>1400</v>
      </c>
      <c r="G20" s="42" t="n">
        <v>0</v>
      </c>
      <c r="H20" s="42" t="n">
        <f aca="false">G20*6000</f>
        <v>0</v>
      </c>
      <c r="I20" s="50" t="s">
        <v>93</v>
      </c>
      <c r="J20" s="50" t="n">
        <v>1900</v>
      </c>
    </row>
    <row r="21" customFormat="false" ht="15" hidden="false" customHeight="true" outlineLevel="0" collapsed="false">
      <c r="A21" s="50" t="str">
        <f aca="false">Luminotécnico!B21</f>
        <v>Presidência</v>
      </c>
      <c r="B21" s="51" t="n">
        <f aca="false">Luminotécnico!F21*Luminotécnico!G21</f>
        <v>15.12</v>
      </c>
      <c r="C21" s="51" t="n">
        <f aca="false">2*(Luminotécnico!F21+Luminotécnico!G21)</f>
        <v>16.6</v>
      </c>
      <c r="D21" s="50" t="n">
        <f aca="false">IF(B21&lt;=6, 100, 100 + INT((B21 - 6) / 4) * 60)</f>
        <v>220</v>
      </c>
      <c r="E21" s="50" t="n">
        <f aca="false">IF(B21&lt;=37, MAX(ROUNDUP(C21/3,0), ROUNDUP(B21/4,0)), 8+3*ROUNDUP((B21-37)/37,0))</f>
        <v>6</v>
      </c>
      <c r="F21" s="50" t="n">
        <f aca="false">E21*200</f>
        <v>1200</v>
      </c>
      <c r="G21" s="42" t="n">
        <v>0</v>
      </c>
      <c r="H21" s="42" t="n">
        <f aca="false">G21*6000</f>
        <v>0</v>
      </c>
      <c r="I21" s="50" t="s">
        <v>95</v>
      </c>
      <c r="J21" s="50" t="n">
        <v>1400</v>
      </c>
    </row>
    <row r="22" customFormat="false" ht="15" hidden="false" customHeight="true" outlineLevel="0" collapsed="false">
      <c r="A22" s="50" t="str">
        <f aca="false">Luminotécnico!B22</f>
        <v>Diretoria Técnica</v>
      </c>
      <c r="B22" s="51" t="n">
        <f aca="false">Luminotécnico!F22*Luminotécnico!G22</f>
        <v>34.65</v>
      </c>
      <c r="C22" s="51" t="n">
        <f aca="false">2*(Luminotécnico!F22+Luminotécnico!G22)</f>
        <v>24.4</v>
      </c>
      <c r="D22" s="50" t="n">
        <f aca="false">IF(B22&lt;=6, 100, 100 + INT((B22 - 6) / 4) * 60)</f>
        <v>520</v>
      </c>
      <c r="E22" s="50" t="n">
        <f aca="false">IF(B22&lt;=37, MAX(ROUNDUP(C22/3,0), ROUNDUP(B22/4,0)), 8+3*ROUNDUP((B22-37)/37,0))</f>
        <v>9</v>
      </c>
      <c r="F22" s="50" t="n">
        <f aca="false">E22*200</f>
        <v>1800</v>
      </c>
      <c r="G22" s="42" t="n">
        <v>0</v>
      </c>
      <c r="H22" s="42" t="n">
        <f aca="false">G22*6000</f>
        <v>0</v>
      </c>
      <c r="I22" s="50" t="s">
        <v>95</v>
      </c>
      <c r="J22" s="50" t="n">
        <v>1400</v>
      </c>
    </row>
    <row r="23" customFormat="false" ht="15.75" hidden="false" customHeight="true" outlineLevel="0" collapsed="false">
      <c r="A23" s="50" t="str">
        <f aca="false">Luminotécnico!B23</f>
        <v>Depósito</v>
      </c>
      <c r="B23" s="51" t="n">
        <f aca="false">Luminotécnico!F23*Luminotécnico!G23</f>
        <v>26.95</v>
      </c>
      <c r="C23" s="51" t="n">
        <f aca="false">2*(Luminotécnico!F23+Luminotécnico!G23)</f>
        <v>22.4</v>
      </c>
      <c r="D23" s="50" t="n">
        <f aca="false">IF(B23&lt;=6, 100, 100 + INT((B23 - 6) / 4) * 60)</f>
        <v>400</v>
      </c>
      <c r="E23" s="50" t="n">
        <f aca="false">ROUNDUP(C23/5, 0)</f>
        <v>5</v>
      </c>
      <c r="F23" s="50" t="n">
        <f aca="false">E23*100</f>
        <v>500</v>
      </c>
      <c r="G23" s="42" t="n">
        <v>0</v>
      </c>
      <c r="H23" s="42" t="n">
        <f aca="false">G23*6000</f>
        <v>0</v>
      </c>
      <c r="I23" s="50" t="s">
        <v>97</v>
      </c>
      <c r="J23" s="50" t="n">
        <v>6000</v>
      </c>
    </row>
    <row r="24" customFormat="false" ht="15.75" hidden="false" customHeight="true" outlineLevel="0" collapsed="false">
      <c r="A24" s="50" t="str">
        <f aca="false">Luminotécnico!B24</f>
        <v>Circulação 1</v>
      </c>
      <c r="B24" s="51" t="n">
        <f aca="false">Luminotécnico!F24*Luminotécnico!G24</f>
        <v>15.8</v>
      </c>
      <c r="C24" s="51" t="n">
        <f aca="false">2*(Luminotécnico!F24+Luminotécnico!G24)</f>
        <v>19.8</v>
      </c>
      <c r="D24" s="50" t="n">
        <f aca="false">IF(B24&lt;=6, 100, 100 + INT((B24 - 6) / 4) * 60)</f>
        <v>220</v>
      </c>
      <c r="E24" s="50" t="n">
        <f aca="false">ROUNDUP(C24/5, 0)</f>
        <v>4</v>
      </c>
      <c r="F24" s="50" t="n">
        <f aca="false">E24*100</f>
        <v>400</v>
      </c>
      <c r="G24" s="42" t="n">
        <v>0</v>
      </c>
      <c r="H24" s="42" t="n">
        <f aca="false">G24*6000</f>
        <v>0</v>
      </c>
      <c r="I24" s="50"/>
      <c r="J24" s="50"/>
    </row>
    <row r="25" customFormat="false" ht="15.75" hidden="false" customHeight="true" outlineLevel="0" collapsed="false">
      <c r="A25" s="50" t="str">
        <f aca="false">Luminotécnico!B25</f>
        <v>Circulação 2</v>
      </c>
      <c r="B25" s="51" t="n">
        <f aca="false">Luminotécnico!F25*Luminotécnico!G25</f>
        <v>36.92</v>
      </c>
      <c r="C25" s="51" t="n">
        <f aca="false">2*(Luminotécnico!F25+Luminotécnico!G25)</f>
        <v>59.4</v>
      </c>
      <c r="D25" s="50" t="n">
        <f aca="false">IF(B25&lt;=6, 100, 100 + INT((B25 - 6) / 4) * 60)</f>
        <v>520</v>
      </c>
      <c r="E25" s="50" t="n">
        <f aca="false">ROUNDUP(C25/5, 0)</f>
        <v>12</v>
      </c>
      <c r="F25" s="50" t="n">
        <f aca="false">E25*100</f>
        <v>1200</v>
      </c>
      <c r="G25" s="42" t="n">
        <v>0</v>
      </c>
      <c r="H25" s="42" t="n">
        <f aca="false">G25*6000</f>
        <v>0</v>
      </c>
      <c r="I25" s="50"/>
      <c r="J25" s="50"/>
    </row>
    <row r="26" customFormat="false" ht="15.75" hidden="false" customHeight="true" outlineLevel="0" collapsed="false">
      <c r="A26" s="50" t="str">
        <f aca="false">Luminotécnico!B26</f>
        <v>Circulação 3</v>
      </c>
      <c r="B26" s="51" t="n">
        <f aca="false">Luminotécnico!F26*Luminotécnico!G26</f>
        <v>5.1</v>
      </c>
      <c r="C26" s="51" t="n">
        <f aca="false">2*(Luminotécnico!F26+Luminotécnico!G26)</f>
        <v>12.2</v>
      </c>
      <c r="D26" s="50" t="n">
        <f aca="false">IF(B26&lt;=6, 100, 100 + INT((B26 - 6) / 4) * 60)</f>
        <v>100</v>
      </c>
      <c r="E26" s="50" t="n">
        <v>2</v>
      </c>
      <c r="F26" s="50" t="n">
        <f aca="false">E26*100</f>
        <v>200</v>
      </c>
      <c r="G26" s="42" t="n">
        <v>0</v>
      </c>
      <c r="H26" s="42" t="n">
        <f aca="false">G26*6000</f>
        <v>0</v>
      </c>
      <c r="I26" s="50"/>
      <c r="J26" s="50"/>
    </row>
    <row r="27" customFormat="false" ht="15.75" hidden="false" customHeight="true" outlineLevel="0" collapsed="false">
      <c r="A27" s="50" t="str">
        <f aca="false">Luminotécnico!B27</f>
        <v>Subestação</v>
      </c>
      <c r="B27" s="51" t="n">
        <f aca="false">Luminotécnico!F27*Luminotécnico!G27</f>
        <v>43.12</v>
      </c>
      <c r="C27" s="51" t="n">
        <f aca="false">2*(Luminotécnico!F27+Luminotécnico!G27)</f>
        <v>26.6</v>
      </c>
      <c r="D27" s="50" t="n">
        <f aca="false">IF(B27&lt;=6, 100, 100 + INT((B27 - 6) / 4) * 60)</f>
        <v>640</v>
      </c>
      <c r="E27" s="50" t="n">
        <f aca="false">ROUNDUP(C27/5, 0)</f>
        <v>6</v>
      </c>
      <c r="F27" s="50" t="n">
        <f aca="false">E27*100</f>
        <v>600</v>
      </c>
      <c r="G27" s="50" t="n">
        <v>1</v>
      </c>
      <c r="H27" s="50" t="n">
        <f aca="false">G27*6000</f>
        <v>6000</v>
      </c>
      <c r="I27" s="50"/>
      <c r="J27" s="50"/>
    </row>
    <row r="28" customFormat="false" ht="15.7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</row>
    <row r="29" customFormat="false" ht="15.7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</row>
    <row r="30" customFormat="false" ht="15.7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</row>
    <row r="31" customFormat="false" ht="15.75" hidden="false" customHeight="tru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</row>
    <row r="32" customFormat="false" ht="15.75" hidden="false" customHeight="true" outlineLevel="0" collapsed="false">
      <c r="A32" s="50"/>
      <c r="B32" s="52"/>
      <c r="C32" s="52"/>
      <c r="D32" s="52"/>
      <c r="E32" s="52"/>
      <c r="F32" s="52"/>
      <c r="G32" s="50"/>
      <c r="H32" s="50"/>
      <c r="I32" s="50"/>
      <c r="J32" s="50"/>
    </row>
    <row r="33" customFormat="false" ht="15.75" hidden="false" customHeight="tru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</row>
    <row r="34" customFormat="false" ht="15.7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</row>
    <row r="35" customFormat="false" ht="15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</row>
    <row r="36" customFormat="false" ht="15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</row>
    <row r="37" customFormat="false" ht="15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</row>
    <row r="38" customFormat="false" ht="15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</row>
    <row r="39" customFormat="false" ht="15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</row>
    <row r="40" customFormat="false" ht="15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</row>
    <row r="41" customFormat="false" ht="15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</row>
    <row r="42" customFormat="false" ht="15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</row>
    <row r="43" customFormat="false" ht="15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</row>
    <row r="44" customFormat="false" ht="15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</row>
    <row r="45" customFormat="false" ht="15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</row>
    <row r="46" customFormat="false" ht="15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</row>
    <row r="47" customFormat="false" ht="15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</row>
    <row r="48" customFormat="false" ht="15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</row>
    <row r="49" customFormat="false" ht="15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</row>
    <row r="50" customFormat="false" ht="15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</row>
    <row r="51" customFormat="false" ht="15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</row>
    <row r="52" customFormat="false" ht="15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</row>
    <row r="53" customFormat="false" ht="15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</row>
    <row r="54" customFormat="false" ht="15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</row>
    <row r="55" customFormat="false" ht="15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</row>
    <row r="56" customFormat="false" ht="15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</row>
    <row r="57" customFormat="false" ht="15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</row>
    <row r="58" customFormat="false" ht="15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</row>
    <row r="59" customFormat="false" ht="15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</row>
    <row r="60" customFormat="false" ht="15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</row>
    <row r="61" customFormat="false" ht="15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</row>
    <row r="62" customFormat="false" ht="15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</row>
    <row r="63" customFormat="false" ht="15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</row>
    <row r="64" customFormat="false" ht="15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</row>
    <row r="65" customFormat="false" ht="15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</row>
    <row r="66" customFormat="false" ht="15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</row>
    <row r="67" customFormat="false" ht="15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</row>
    <row r="68" customFormat="false" ht="15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</row>
    <row r="69" customFormat="false" ht="15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</row>
    <row r="70" customFormat="false" ht="15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</row>
    <row r="71" customFormat="false" ht="15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</row>
    <row r="72" customFormat="false" ht="15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</row>
    <row r="73" customFormat="false" ht="15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</row>
    <row r="74" customFormat="false" ht="15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</row>
    <row r="75" customFormat="false" ht="15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</row>
    <row r="76" customFormat="false" ht="15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</row>
    <row r="77" customFormat="false" ht="15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</row>
    <row r="78" customFormat="false" ht="15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</row>
    <row r="79" customFormat="false" ht="15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</row>
    <row r="80" customFormat="false" ht="15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</row>
    <row r="81" customFormat="false" ht="15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</row>
    <row r="82" customFormat="false" ht="15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</row>
    <row r="83" customFormat="false" ht="15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</row>
    <row r="84" customFormat="false" ht="15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</row>
    <row r="85" customFormat="false" ht="15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</row>
    <row r="86" customFormat="false" ht="15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</row>
    <row r="87" customFormat="false" ht="15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</row>
    <row r="88" customFormat="false" ht="15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</row>
    <row r="89" customFormat="false" ht="15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</row>
    <row r="90" customFormat="false" ht="15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</row>
    <row r="91" customFormat="false" ht="15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</row>
    <row r="92" customFormat="false" ht="15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</row>
    <row r="93" customFormat="false" ht="15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</row>
    <row r="94" customFormat="false" ht="15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</row>
    <row r="95" customFormat="false" ht="15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</row>
    <row r="96" customFormat="false" ht="15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</row>
    <row r="97" customFormat="false" ht="15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</row>
    <row r="98" customFormat="false" ht="15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</row>
    <row r="99" customFormat="false" ht="15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</row>
    <row r="100" customFormat="false" ht="15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</row>
    <row r="101" customFormat="false" ht="15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</row>
    <row r="102" customFormat="false" ht="15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</row>
    <row r="103" customFormat="false" ht="15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</row>
    <row r="104" customFormat="false" ht="15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</row>
    <row r="105" customFormat="false" ht="15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</row>
    <row r="106" customFormat="false" ht="15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</row>
    <row r="107" customFormat="false" ht="15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</row>
    <row r="108" customFormat="false" ht="15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</row>
    <row r="109" customFormat="false" ht="15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</row>
    <row r="110" customFormat="false" ht="15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</row>
    <row r="111" customFormat="false" ht="15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</row>
    <row r="112" customFormat="false" ht="15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</row>
    <row r="113" customFormat="false" ht="15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</row>
    <row r="114" customFormat="false" ht="15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</row>
    <row r="115" customFormat="false" ht="15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</row>
    <row r="116" customFormat="false" ht="15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</row>
    <row r="117" customFormat="false" ht="15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</row>
    <row r="118" customFormat="false" ht="15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</row>
    <row r="119" customFormat="false" ht="15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</row>
    <row r="120" customFormat="false" ht="15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</row>
    <row r="121" customFormat="false" ht="15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</row>
    <row r="122" customFormat="false" ht="15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</row>
    <row r="123" customFormat="false" ht="15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</row>
    <row r="124" customFormat="false" ht="15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</row>
    <row r="125" customFormat="false" ht="15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</row>
    <row r="126" customFormat="false" ht="15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</row>
    <row r="127" customFormat="false" ht="15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</row>
    <row r="128" customFormat="false" ht="15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</row>
    <row r="129" customFormat="false" ht="15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</row>
    <row r="130" customFormat="false" ht="15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</row>
    <row r="131" customFormat="false" ht="15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</row>
    <row r="132" customFormat="false" ht="15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</row>
    <row r="133" customFormat="false" ht="15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</row>
    <row r="134" customFormat="false" ht="15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</row>
    <row r="135" customFormat="false" ht="15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</row>
    <row r="136" customFormat="false" ht="15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</row>
    <row r="137" customFormat="false" ht="15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</row>
    <row r="138" customFormat="false" ht="15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</row>
    <row r="139" customFormat="false" ht="15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</row>
    <row r="140" customFormat="false" ht="15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</row>
    <row r="141" customFormat="false" ht="15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</row>
    <row r="142" customFormat="false" ht="15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</row>
    <row r="143" customFormat="false" ht="15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</row>
    <row r="144" customFormat="false" ht="15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</row>
    <row r="145" customFormat="false" ht="15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</row>
    <row r="146" customFormat="false" ht="15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</row>
    <row r="147" customFormat="false" ht="15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</row>
    <row r="148" customFormat="false" ht="15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</row>
    <row r="149" customFormat="false" ht="15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</row>
    <row r="150" customFormat="false" ht="15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</row>
    <row r="151" customFormat="false" ht="15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</row>
    <row r="157" customFormat="false" ht="15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</row>
    <row r="189" customFormat="false" ht="15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</row>
    <row r="214" customFormat="false" ht="15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</row>
    <row r="224" customFormat="false" ht="15.75" hidden="false" customHeight="true" outlineLevel="0" collapsed="false">
      <c r="A224" s="32"/>
      <c r="B224" s="32"/>
      <c r="C224" s="32"/>
      <c r="D224" s="32"/>
      <c r="E224" s="32"/>
      <c r="F224" s="32"/>
      <c r="G224" s="32"/>
      <c r="H224" s="32"/>
      <c r="I224" s="32"/>
      <c r="J224" s="32"/>
    </row>
    <row r="225" customFormat="false" ht="15.75" hidden="false" customHeight="true" outlineLevel="0" collapsed="false">
      <c r="A225" s="32"/>
      <c r="B225" s="32"/>
      <c r="C225" s="32"/>
      <c r="D225" s="32"/>
      <c r="E225" s="32"/>
      <c r="F225" s="32"/>
      <c r="G225" s="32"/>
      <c r="H225" s="32"/>
      <c r="I225" s="32"/>
      <c r="J225" s="32"/>
    </row>
    <row r="226" customFormat="false" ht="15.75" hidden="false" customHeight="true" outlineLevel="0" collapsed="false">
      <c r="A226" s="32"/>
      <c r="B226" s="32"/>
      <c r="C226" s="32"/>
      <c r="D226" s="32"/>
      <c r="E226" s="32"/>
      <c r="F226" s="32"/>
      <c r="G226" s="32"/>
      <c r="H226" s="32"/>
      <c r="I226" s="32"/>
      <c r="J226" s="32"/>
    </row>
    <row r="227" customFormat="false" ht="15.75" hidden="false" customHeight="true" outlineLevel="0" collapsed="false">
      <c r="A227" s="32"/>
      <c r="B227" s="32"/>
      <c r="C227" s="32"/>
      <c r="D227" s="32"/>
      <c r="E227" s="32"/>
      <c r="F227" s="32"/>
      <c r="G227" s="32"/>
      <c r="H227" s="32"/>
      <c r="I227" s="32"/>
      <c r="J227" s="32"/>
    </row>
    <row r="228" customFormat="false" ht="15.75" hidden="false" customHeight="true" outlineLevel="0" collapsed="false">
      <c r="A228" s="32"/>
      <c r="B228" s="32"/>
      <c r="C228" s="32"/>
      <c r="D228" s="32"/>
      <c r="E228" s="32"/>
      <c r="F228" s="32"/>
      <c r="G228" s="32"/>
      <c r="H228" s="32"/>
      <c r="I228" s="32"/>
      <c r="J228" s="32"/>
    </row>
    <row r="229" customFormat="false" ht="15.75" hidden="false" customHeight="true" outlineLevel="0" collapsed="false">
      <c r="A229" s="32"/>
      <c r="B229" s="32"/>
      <c r="C229" s="32"/>
      <c r="D229" s="32"/>
      <c r="E229" s="32"/>
      <c r="F229" s="32"/>
      <c r="G229" s="32"/>
      <c r="H229" s="32"/>
      <c r="I229" s="32"/>
      <c r="J229" s="32"/>
    </row>
    <row r="230" customFormat="false" ht="15.75" hidden="false" customHeight="true" outlineLevel="0" collapsed="false">
      <c r="A230" s="32"/>
      <c r="B230" s="32"/>
      <c r="C230" s="32"/>
      <c r="D230" s="32"/>
      <c r="E230" s="32"/>
      <c r="F230" s="32"/>
      <c r="G230" s="32"/>
      <c r="H230" s="32"/>
      <c r="I230" s="32"/>
      <c r="J230" s="32"/>
    </row>
    <row r="231" customFormat="false" ht="15.75" hidden="false" customHeight="true" outlineLevel="0" collapsed="false">
      <c r="A231" s="32"/>
      <c r="B231" s="32"/>
      <c r="C231" s="32"/>
      <c r="D231" s="32"/>
      <c r="E231" s="32"/>
      <c r="F231" s="32"/>
      <c r="G231" s="32"/>
      <c r="H231" s="32"/>
      <c r="I231" s="32"/>
      <c r="J231" s="3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</row>
  </sheetData>
  <mergeCells count="10">
    <mergeCell ref="A1:J1"/>
    <mergeCell ref="A2:A3"/>
    <mergeCell ref="B2:B3"/>
    <mergeCell ref="C2:C3"/>
    <mergeCell ref="D2:D3"/>
    <mergeCell ref="E2:F2"/>
    <mergeCell ref="G2:H2"/>
    <mergeCell ref="I2:J2"/>
    <mergeCell ref="A4:J4"/>
    <mergeCell ref="A10:J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D4B4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8.71"/>
    <col collapsed="false" customWidth="true" hidden="false" outlineLevel="0" max="3" min="2" style="0" width="7.86"/>
    <col collapsed="false" customWidth="true" hidden="false" outlineLevel="0" max="4" min="4" style="0" width="42.29"/>
    <col collapsed="false" customWidth="true" hidden="false" outlineLevel="0" max="5" min="5" style="0" width="11.43"/>
    <col collapsed="false" customWidth="true" hidden="false" outlineLevel="0" max="6" min="6" style="0" width="12"/>
    <col collapsed="false" customWidth="true" hidden="false" outlineLevel="0" max="7" min="7" style="0" width="4.86"/>
    <col collapsed="false" customWidth="true" hidden="false" outlineLevel="0" max="8" min="8" style="0" width="10.29"/>
    <col collapsed="false" customWidth="true" hidden="false" outlineLevel="0" max="10" min="9" style="0" width="10"/>
    <col collapsed="false" customWidth="true" hidden="false" outlineLevel="0" max="11" min="11" style="0" width="12.86"/>
    <col collapsed="false" customWidth="true" hidden="false" outlineLevel="0" max="12" min="12" style="0" width="31.57"/>
    <col collapsed="false" customWidth="true" hidden="false" outlineLevel="0" max="13" min="13" style="0" width="13.29"/>
    <col collapsed="false" customWidth="true" hidden="false" outlineLevel="0" max="14" min="14" style="0" width="31.71"/>
    <col collapsed="false" customWidth="true" hidden="false" outlineLevel="0" max="15" min="15" style="0" width="11.57"/>
    <col collapsed="false" customWidth="true" hidden="false" outlineLevel="0" max="27" min="16" style="0" width="8.71"/>
  </cols>
  <sheetData>
    <row r="1" customFormat="false" ht="28.5" hidden="false" customHeight="true" outlineLevel="0" collapsed="false">
      <c r="A1" s="54" t="s">
        <v>98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customFormat="false" ht="46.5" hidden="false" customHeight="true" outlineLevel="0" collapsed="false">
      <c r="A2" s="56" t="s">
        <v>99</v>
      </c>
      <c r="B2" s="57" t="s">
        <v>100</v>
      </c>
      <c r="C2" s="57" t="s">
        <v>101</v>
      </c>
      <c r="D2" s="57" t="s">
        <v>102</v>
      </c>
      <c r="E2" s="57" t="s">
        <v>103</v>
      </c>
      <c r="F2" s="57" t="s">
        <v>104</v>
      </c>
      <c r="G2" s="57" t="s">
        <v>105</v>
      </c>
      <c r="H2" s="58" t="s">
        <v>106</v>
      </c>
      <c r="I2" s="58"/>
      <c r="J2" s="58"/>
      <c r="K2" s="57" t="s">
        <v>107</v>
      </c>
      <c r="L2" s="58" t="s">
        <v>108</v>
      </c>
      <c r="M2" s="58"/>
      <c r="N2" s="59" t="s">
        <v>109</v>
      </c>
      <c r="O2" s="59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customFormat="false" ht="45" hidden="false" customHeight="true" outlineLevel="0" collapsed="false">
      <c r="A3" s="56"/>
      <c r="B3" s="57"/>
      <c r="C3" s="57"/>
      <c r="D3" s="57"/>
      <c r="E3" s="57"/>
      <c r="F3" s="57"/>
      <c r="G3" s="57"/>
      <c r="H3" s="60" t="s">
        <v>110</v>
      </c>
      <c r="I3" s="60" t="s">
        <v>111</v>
      </c>
      <c r="J3" s="60" t="s">
        <v>112</v>
      </c>
      <c r="K3" s="57"/>
      <c r="L3" s="60" t="s">
        <v>113</v>
      </c>
      <c r="M3" s="60" t="s">
        <v>114</v>
      </c>
      <c r="N3" s="60" t="s">
        <v>113</v>
      </c>
      <c r="O3" s="61" t="s">
        <v>115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customFormat="false" ht="15" hidden="false" customHeight="true" outlineLevel="0" collapsed="false">
      <c r="A4" s="62" t="s">
        <v>116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customFormat="false" ht="15" hidden="false" customHeight="true" outlineLevel="0" collapsed="false">
      <c r="A5" s="48" t="s">
        <v>117</v>
      </c>
      <c r="B5" s="63" t="n">
        <v>220</v>
      </c>
      <c r="C5" s="62" t="s">
        <v>118</v>
      </c>
      <c r="D5" s="64" t="s">
        <v>119</v>
      </c>
      <c r="E5" s="65" t="n">
        <v>1.5</v>
      </c>
      <c r="F5" s="63" t="n">
        <v>1</v>
      </c>
      <c r="G5" s="66" t="n">
        <v>0.99</v>
      </c>
      <c r="H5" s="67" t="n">
        <f aca="false">I5*G5</f>
        <v>2361</v>
      </c>
      <c r="I5" s="67" t="n">
        <f aca="false">'Previsão de Cargas'!D5+'Previsão de Cargas'!D6</f>
        <v>2384.84848484849</v>
      </c>
      <c r="J5" s="67" t="n">
        <f aca="false">SQRT(I5^2-H5^2)</f>
        <v>336.424279272638</v>
      </c>
      <c r="K5" s="67" t="n">
        <f aca="false">IF(F5=3, I5/(SQRT(3)*B5), I5/(F5*B5))</f>
        <v>10.8402203856749</v>
      </c>
      <c r="L5" s="63" t="n">
        <v>1</v>
      </c>
      <c r="M5" s="63" t="n">
        <v>16</v>
      </c>
      <c r="N5" s="63" t="n">
        <v>2</v>
      </c>
      <c r="O5" s="63" t="n">
        <v>25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customFormat="false" ht="15" hidden="false" customHeight="true" outlineLevel="0" collapsed="false">
      <c r="A6" s="48" t="s">
        <v>120</v>
      </c>
      <c r="B6" s="63" t="n">
        <v>220</v>
      </c>
      <c r="C6" s="62" t="s">
        <v>118</v>
      </c>
      <c r="D6" s="64" t="s">
        <v>121</v>
      </c>
      <c r="E6" s="65" t="n">
        <v>2.5</v>
      </c>
      <c r="F6" s="63" t="n">
        <v>1</v>
      </c>
      <c r="G6" s="66" t="n">
        <v>0.8</v>
      </c>
      <c r="H6" s="67" t="n">
        <f aca="false">I6*G6</f>
        <v>1920</v>
      </c>
      <c r="I6" s="67" t="n">
        <f aca="false">ROUNDUP('Previsão de Cargas'!E5/2,0)*600</f>
        <v>2400</v>
      </c>
      <c r="J6" s="67" t="n">
        <f aca="false">SQRT(I6^2-H6^2)</f>
        <v>1440</v>
      </c>
      <c r="K6" s="67" t="n">
        <f aca="false">IF(F6=3, I6/(SQRT(3)*B6), I6/(F6*B6))</f>
        <v>10.9090909090909</v>
      </c>
      <c r="L6" s="63" t="n">
        <v>1</v>
      </c>
      <c r="M6" s="63" t="n">
        <v>16</v>
      </c>
      <c r="N6" s="63" t="n">
        <v>2</v>
      </c>
      <c r="O6" s="63" t="n">
        <v>25</v>
      </c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customFormat="false" ht="15" hidden="false" customHeight="true" outlineLevel="0" collapsed="false">
      <c r="A7" s="48" t="s">
        <v>122</v>
      </c>
      <c r="B7" s="63" t="n">
        <v>220</v>
      </c>
      <c r="C7" s="62" t="s">
        <v>118</v>
      </c>
      <c r="D7" s="64" t="s">
        <v>123</v>
      </c>
      <c r="E7" s="65" t="n">
        <v>2.5</v>
      </c>
      <c r="F7" s="63" t="n">
        <v>1</v>
      </c>
      <c r="G7" s="66" t="n">
        <v>0.8</v>
      </c>
      <c r="H7" s="67" t="n">
        <f aca="false">I7*G7</f>
        <v>1440</v>
      </c>
      <c r="I7" s="67" t="n">
        <f aca="false">('Previsão de Cargas'!E5-ROUNDUP('Previsão de Cargas'!E5/2,0))*600</f>
        <v>1800</v>
      </c>
      <c r="J7" s="67" t="n">
        <f aca="false">SQRT(I7^2-H7^2)</f>
        <v>1080</v>
      </c>
      <c r="K7" s="67" t="n">
        <f aca="false">IF(F7=3, I7/(SQRT(3)*B7), I7/(F7*B7))</f>
        <v>8.18181818181818</v>
      </c>
      <c r="L7" s="63" t="n">
        <v>1</v>
      </c>
      <c r="M7" s="63" t="n">
        <v>10</v>
      </c>
      <c r="N7" s="63" t="n">
        <v>2</v>
      </c>
      <c r="O7" s="63" t="n">
        <v>25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customFormat="false" ht="15" hidden="false" customHeight="true" outlineLevel="0" collapsed="false">
      <c r="A8" s="48" t="s">
        <v>124</v>
      </c>
      <c r="B8" s="63" t="n">
        <v>220</v>
      </c>
      <c r="C8" s="62" t="s">
        <v>118</v>
      </c>
      <c r="D8" s="64" t="s">
        <v>125</v>
      </c>
      <c r="E8" s="65" t="n">
        <v>2.5</v>
      </c>
      <c r="F8" s="63" t="n">
        <v>1</v>
      </c>
      <c r="G8" s="66" t="n">
        <v>0.8</v>
      </c>
      <c r="H8" s="67" t="n">
        <f aca="false">I8*G8</f>
        <v>1920</v>
      </c>
      <c r="I8" s="67" t="n">
        <f aca="false">ROUNDUP('Previsão de Cargas'!E6/2,0)*600</f>
        <v>2400</v>
      </c>
      <c r="J8" s="67" t="n">
        <f aca="false">SQRT(I8^2-H8^2)</f>
        <v>1440</v>
      </c>
      <c r="K8" s="67" t="n">
        <f aca="false">IF(F8=3, I8/(SQRT(3)*B8), I8/(F8*B8))</f>
        <v>10.9090909090909</v>
      </c>
      <c r="L8" s="63" t="n">
        <v>1</v>
      </c>
      <c r="M8" s="63" t="n">
        <v>16</v>
      </c>
      <c r="N8" s="63" t="n">
        <v>2</v>
      </c>
      <c r="O8" s="63" t="n">
        <v>25</v>
      </c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customFormat="false" ht="15" hidden="false" customHeight="true" outlineLevel="0" collapsed="false">
      <c r="A9" s="48" t="s">
        <v>126</v>
      </c>
      <c r="B9" s="63" t="n">
        <v>220</v>
      </c>
      <c r="C9" s="62" t="s">
        <v>118</v>
      </c>
      <c r="D9" s="64" t="s">
        <v>127</v>
      </c>
      <c r="E9" s="65" t="n">
        <v>2.5</v>
      </c>
      <c r="F9" s="63" t="n">
        <v>1</v>
      </c>
      <c r="G9" s="66" t="n">
        <v>0.8</v>
      </c>
      <c r="H9" s="67" t="n">
        <f aca="false">I9*G9</f>
        <v>1440</v>
      </c>
      <c r="I9" s="67" t="n">
        <f aca="false">('Previsão de Cargas'!E6-ROUNDUP('Previsão de Cargas'!E6/2,0))*600</f>
        <v>1800</v>
      </c>
      <c r="J9" s="67" t="n">
        <f aca="false">SQRT(I9^2-H9^2)</f>
        <v>1080</v>
      </c>
      <c r="K9" s="67" t="n">
        <f aca="false">IF(F9=3, I9/(SQRT(3)*B9), I9/(F9*B9))</f>
        <v>8.18181818181818</v>
      </c>
      <c r="L9" s="63" t="n">
        <v>1</v>
      </c>
      <c r="M9" s="63" t="n">
        <v>10</v>
      </c>
      <c r="N9" s="63" t="n">
        <v>2</v>
      </c>
      <c r="O9" s="63" t="n">
        <v>25</v>
      </c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customFormat="false" ht="15" hidden="false" customHeight="true" outlineLevel="0" collapsed="false">
      <c r="A10" s="48" t="s">
        <v>128</v>
      </c>
      <c r="B10" s="63" t="n">
        <v>380</v>
      </c>
      <c r="C10" s="62" t="s">
        <v>118</v>
      </c>
      <c r="D10" s="64" t="s">
        <v>121</v>
      </c>
      <c r="E10" s="65" t="n">
        <v>2.5</v>
      </c>
      <c r="F10" s="63" t="n">
        <v>3</v>
      </c>
      <c r="G10" s="66" t="n">
        <v>0.8</v>
      </c>
      <c r="H10" s="67" t="n">
        <f aca="false">I10*G10</f>
        <v>9600</v>
      </c>
      <c r="I10" s="67" t="n">
        <v>12000</v>
      </c>
      <c r="J10" s="67" t="n">
        <f aca="false">SQRT(I10^2-H10^2)</f>
        <v>7200</v>
      </c>
      <c r="K10" s="67" t="n">
        <f aca="false">IF(F10=3, I10/(SQRT(3)*B10), I10/(F10*B10))</f>
        <v>18.2321137638829</v>
      </c>
      <c r="L10" s="63" t="n">
        <v>3</v>
      </c>
      <c r="M10" s="63" t="n">
        <v>20</v>
      </c>
      <c r="N10" s="63" t="n">
        <v>4</v>
      </c>
      <c r="O10" s="63" t="n">
        <v>25</v>
      </c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customFormat="false" ht="15" hidden="false" customHeight="true" outlineLevel="0" collapsed="false">
      <c r="A11" s="48" t="s">
        <v>129</v>
      </c>
      <c r="B11" s="63" t="n">
        <v>380</v>
      </c>
      <c r="C11" s="62" t="s">
        <v>118</v>
      </c>
      <c r="D11" s="64" t="s">
        <v>125</v>
      </c>
      <c r="E11" s="65" t="n">
        <v>2.5</v>
      </c>
      <c r="F11" s="63" t="n">
        <v>3</v>
      </c>
      <c r="G11" s="66" t="n">
        <v>0.8</v>
      </c>
      <c r="H11" s="67" t="n">
        <f aca="false">I11*G11</f>
        <v>9600</v>
      </c>
      <c r="I11" s="67" t="n">
        <v>12000</v>
      </c>
      <c r="J11" s="67" t="n">
        <f aca="false">SQRT(I11^2-H11^2)</f>
        <v>7200</v>
      </c>
      <c r="K11" s="67" t="n">
        <f aca="false">IF(F11=3, I11/(SQRT(3)*B11), I11/(F11*B11))</f>
        <v>18.2321137638829</v>
      </c>
      <c r="L11" s="63" t="n">
        <v>3</v>
      </c>
      <c r="M11" s="63" t="n">
        <v>20</v>
      </c>
      <c r="N11" s="63" t="n">
        <v>4</v>
      </c>
      <c r="O11" s="63" t="n">
        <v>25</v>
      </c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customFormat="false" ht="15" hidden="false" customHeight="true" outlineLevel="0" collapsed="false">
      <c r="A12" s="48" t="s">
        <v>130</v>
      </c>
      <c r="B12" s="63" t="n">
        <v>380</v>
      </c>
      <c r="C12" s="62" t="s">
        <v>118</v>
      </c>
      <c r="D12" s="64" t="s">
        <v>123</v>
      </c>
      <c r="E12" s="65" t="n">
        <v>2.5</v>
      </c>
      <c r="F12" s="63" t="n">
        <v>3</v>
      </c>
      <c r="G12" s="66" t="n">
        <v>0.8</v>
      </c>
      <c r="H12" s="67" t="n">
        <f aca="false">I12*G12</f>
        <v>9600</v>
      </c>
      <c r="I12" s="67" t="n">
        <v>12000</v>
      </c>
      <c r="J12" s="67" t="n">
        <f aca="false">SQRT(I12^2-H12^2)</f>
        <v>7200</v>
      </c>
      <c r="K12" s="67" t="n">
        <f aca="false">IF(F12=3, I12/(SQRT(3)*B12), I12/(F12*B12))</f>
        <v>18.2321137638829</v>
      </c>
      <c r="L12" s="63" t="n">
        <v>3</v>
      </c>
      <c r="M12" s="63" t="n">
        <v>20</v>
      </c>
      <c r="N12" s="63" t="n">
        <v>4</v>
      </c>
      <c r="O12" s="63" t="n">
        <v>25</v>
      </c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customFormat="false" ht="15" hidden="false" customHeight="true" outlineLevel="0" collapsed="false">
      <c r="A13" s="48" t="s">
        <v>131</v>
      </c>
      <c r="B13" s="63" t="n">
        <v>380</v>
      </c>
      <c r="C13" s="62" t="s">
        <v>118</v>
      </c>
      <c r="D13" s="64" t="s">
        <v>127</v>
      </c>
      <c r="E13" s="65" t="n">
        <v>2.5</v>
      </c>
      <c r="F13" s="63" t="n">
        <v>3</v>
      </c>
      <c r="G13" s="66" t="n">
        <v>0.8</v>
      </c>
      <c r="H13" s="67" t="n">
        <f aca="false">I13*G13</f>
        <v>9600</v>
      </c>
      <c r="I13" s="67" t="n">
        <v>12000</v>
      </c>
      <c r="J13" s="67" t="n">
        <f aca="false">SQRT(I13^2-H13^2)</f>
        <v>7200</v>
      </c>
      <c r="K13" s="67" t="n">
        <f aca="false">IF(F13=3, I13/(SQRT(3)*B13), I13/(F13*B13))</f>
        <v>18.2321137638829</v>
      </c>
      <c r="L13" s="63" t="n">
        <v>3</v>
      </c>
      <c r="M13" s="63" t="n">
        <v>20</v>
      </c>
      <c r="N13" s="63" t="n">
        <v>4</v>
      </c>
      <c r="O13" s="63" t="n">
        <v>25</v>
      </c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customFormat="false" ht="15" hidden="false" customHeight="true" outlineLevel="0" collapsed="false">
      <c r="A14" s="48" t="s">
        <v>132</v>
      </c>
      <c r="B14" s="63" t="n">
        <v>220</v>
      </c>
      <c r="C14" s="62" t="s">
        <v>118</v>
      </c>
      <c r="D14" s="64" t="s">
        <v>133</v>
      </c>
      <c r="E14" s="48" t="n">
        <v>2.5</v>
      </c>
      <c r="F14" s="63" t="n">
        <v>1</v>
      </c>
      <c r="G14" s="66" t="n">
        <v>0.8</v>
      </c>
      <c r="H14" s="67" t="n">
        <f aca="false">I14*G14</f>
        <v>2400</v>
      </c>
      <c r="I14" s="67" t="n">
        <v>3000</v>
      </c>
      <c r="J14" s="67" t="n">
        <f aca="false">SQRT(I14^2-H14^2)</f>
        <v>1800</v>
      </c>
      <c r="K14" s="67" t="n">
        <f aca="false">IF(F14=3, I14/(SQRT(3)*B14), I14/(F14*B14))</f>
        <v>13.6363636363636</v>
      </c>
      <c r="L14" s="63" t="n">
        <v>1</v>
      </c>
      <c r="M14" s="63" t="n">
        <v>16</v>
      </c>
      <c r="N14" s="63" t="n">
        <v>2</v>
      </c>
      <c r="O14" s="63" t="n">
        <v>25</v>
      </c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customFormat="false" ht="15" hidden="false" customHeight="true" outlineLevel="0" collapsed="false">
      <c r="A15" s="48" t="s">
        <v>134</v>
      </c>
      <c r="B15" s="63" t="n">
        <v>220</v>
      </c>
      <c r="C15" s="62" t="s">
        <v>118</v>
      </c>
      <c r="D15" s="64" t="s">
        <v>135</v>
      </c>
      <c r="E15" s="48" t="n">
        <v>2.5</v>
      </c>
      <c r="F15" s="63" t="n">
        <v>1</v>
      </c>
      <c r="G15" s="66" t="n">
        <v>0.8</v>
      </c>
      <c r="H15" s="67" t="n">
        <f aca="false">I15*G15</f>
        <v>1760</v>
      </c>
      <c r="I15" s="67" t="n">
        <v>2200</v>
      </c>
      <c r="J15" s="67" t="n">
        <f aca="false">SQRT(I15^2-H15^2)</f>
        <v>1320</v>
      </c>
      <c r="K15" s="67" t="n">
        <f aca="false">IF(F15=3, I15/(SQRT(3)*B15), I15/(F15*B15))</f>
        <v>10</v>
      </c>
      <c r="L15" s="63" t="n">
        <v>1</v>
      </c>
      <c r="M15" s="63" t="n">
        <v>16</v>
      </c>
      <c r="N15" s="63" t="n">
        <v>2</v>
      </c>
      <c r="O15" s="63" t="n">
        <v>25</v>
      </c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customFormat="false" ht="15" hidden="false" customHeight="true" outlineLevel="0" collapsed="false">
      <c r="A16" s="48" t="s">
        <v>136</v>
      </c>
      <c r="B16" s="63" t="n">
        <v>220</v>
      </c>
      <c r="C16" s="62" t="s">
        <v>118</v>
      </c>
      <c r="D16" s="64" t="s">
        <v>137</v>
      </c>
      <c r="E16" s="48" t="n">
        <v>2.5</v>
      </c>
      <c r="F16" s="63" t="n">
        <v>1</v>
      </c>
      <c r="G16" s="66" t="n">
        <v>0.8</v>
      </c>
      <c r="H16" s="67" t="n">
        <f aca="false">I16*G16</f>
        <v>1600</v>
      </c>
      <c r="I16" s="67" t="n">
        <v>2000</v>
      </c>
      <c r="J16" s="67" t="n">
        <f aca="false">SQRT(I16^2-H16^2)</f>
        <v>1200</v>
      </c>
      <c r="K16" s="67" t="n">
        <f aca="false">IF(F16=3, I16/(SQRT(3)*B16), I16/(F16*B16))</f>
        <v>9.09090909090909</v>
      </c>
      <c r="L16" s="63" t="n">
        <v>1</v>
      </c>
      <c r="M16" s="63" t="n">
        <v>10</v>
      </c>
      <c r="N16" s="63" t="n">
        <v>2</v>
      </c>
      <c r="O16" s="63" t="n">
        <v>25</v>
      </c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customFormat="false" ht="15" hidden="false" customHeight="true" outlineLevel="0" collapsed="false">
      <c r="A17" s="48" t="s">
        <v>138</v>
      </c>
      <c r="B17" s="63" t="n">
        <v>220</v>
      </c>
      <c r="C17" s="62" t="s">
        <v>118</v>
      </c>
      <c r="D17" s="64" t="s">
        <v>139</v>
      </c>
      <c r="E17" s="48" t="n">
        <v>2.5</v>
      </c>
      <c r="F17" s="63" t="n">
        <v>1</v>
      </c>
      <c r="G17" s="66" t="n">
        <v>0.8</v>
      </c>
      <c r="H17" s="67" t="n">
        <f aca="false">I17*G17</f>
        <v>2720</v>
      </c>
      <c r="I17" s="67" t="n">
        <v>3400</v>
      </c>
      <c r="J17" s="67" t="n">
        <f aca="false">SQRT(I17^2-H17^2)</f>
        <v>2040</v>
      </c>
      <c r="K17" s="67" t="n">
        <f aca="false">IF(F17=3, I17/(SQRT(3)*B17), I17/(F17*B17))</f>
        <v>15.4545454545455</v>
      </c>
      <c r="L17" s="63" t="n">
        <v>1</v>
      </c>
      <c r="M17" s="63" t="n">
        <v>16</v>
      </c>
      <c r="N17" s="63" t="n">
        <v>2</v>
      </c>
      <c r="O17" s="63" t="n">
        <v>25</v>
      </c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customFormat="false" ht="15" hidden="false" customHeight="true" outlineLevel="0" collapsed="false">
      <c r="A18" s="68" t="s">
        <v>140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customFormat="false" ht="27.75" hidden="false" customHeight="true" outlineLevel="0" collapsed="false">
      <c r="A19" s="48" t="s">
        <v>141</v>
      </c>
      <c r="B19" s="63" t="n">
        <v>220</v>
      </c>
      <c r="C19" s="68" t="s">
        <v>142</v>
      </c>
      <c r="D19" s="64" t="s">
        <v>143</v>
      </c>
      <c r="E19" s="65" t="n">
        <v>1.5</v>
      </c>
      <c r="F19" s="63" t="n">
        <v>1</v>
      </c>
      <c r="G19" s="66" t="n">
        <v>0.99</v>
      </c>
      <c r="H19" s="67" t="n">
        <f aca="false">I19*G19</f>
        <v>1932.4</v>
      </c>
      <c r="I19" s="67" t="n">
        <f aca="false">'Previsão de Cargas'!D7+'Previsão de Cargas'!D8+'Previsão de Cargas'!D16+'Previsão de Cargas'!D17</f>
        <v>1951.91919191919</v>
      </c>
      <c r="J19" s="67" t="n">
        <f aca="false">SQRT(I19^2-H19^2)</f>
        <v>275.352086940468</v>
      </c>
      <c r="K19" s="67" t="n">
        <f aca="false">IF(F19=3, I19/(SQRT(3)*B19), I19/(F19*B19))</f>
        <v>8.87235996326905</v>
      </c>
      <c r="L19" s="63" t="n">
        <v>1</v>
      </c>
      <c r="M19" s="63" t="n">
        <v>10</v>
      </c>
      <c r="N19" s="63" t="n">
        <v>2</v>
      </c>
      <c r="O19" s="63" t="n">
        <v>25</v>
      </c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customFormat="false" ht="15.75" hidden="false" customHeight="true" outlineLevel="0" collapsed="false">
      <c r="A20" s="48" t="s">
        <v>144</v>
      </c>
      <c r="B20" s="63" t="n">
        <v>220</v>
      </c>
      <c r="C20" s="69" t="s">
        <v>142</v>
      </c>
      <c r="D20" s="64" t="s">
        <v>53</v>
      </c>
      <c r="E20" s="65" t="n">
        <v>1.5</v>
      </c>
      <c r="F20" s="63" t="n">
        <v>1</v>
      </c>
      <c r="G20" s="66" t="n">
        <v>0.99</v>
      </c>
      <c r="H20" s="67" t="n">
        <f aca="false">I20*G20</f>
        <v>1652.7</v>
      </c>
      <c r="I20" s="67" t="n">
        <f aca="false">'Previsão de Cargas'!D9</f>
        <v>1669.39393939394</v>
      </c>
      <c r="J20" s="67" t="n">
        <f aca="false">SQRT(I20^2-H20^2)</f>
        <v>235.496995490847</v>
      </c>
      <c r="K20" s="67" t="n">
        <f aca="false">IF(F20=3, I20/(SQRT(3)*B20), I20/(F20*B20))</f>
        <v>7.58815426997245</v>
      </c>
      <c r="L20" s="63" t="n">
        <v>1</v>
      </c>
      <c r="M20" s="63" t="n">
        <v>10</v>
      </c>
      <c r="N20" s="63" t="n">
        <v>2</v>
      </c>
      <c r="O20" s="63" t="n">
        <v>25</v>
      </c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customFormat="false" ht="15" hidden="false" customHeight="true" outlineLevel="0" collapsed="false">
      <c r="A21" s="48" t="s">
        <v>145</v>
      </c>
      <c r="B21" s="63" t="n">
        <v>220</v>
      </c>
      <c r="C21" s="68" t="s">
        <v>142</v>
      </c>
      <c r="D21" s="64" t="s">
        <v>146</v>
      </c>
      <c r="E21" s="65" t="n">
        <v>2.5</v>
      </c>
      <c r="F21" s="63" t="n">
        <v>1</v>
      </c>
      <c r="G21" s="66" t="n">
        <v>0.8</v>
      </c>
      <c r="H21" s="67" t="n">
        <f aca="false">I21*G21</f>
        <v>960</v>
      </c>
      <c r="I21" s="67" t="n">
        <f aca="false">'Previsão de Cargas'!F16+'Previsão de Cargas'!F17</f>
        <v>1200</v>
      </c>
      <c r="J21" s="67" t="n">
        <f aca="false">SQRT(I21^2-H21^2)</f>
        <v>720</v>
      </c>
      <c r="K21" s="67" t="n">
        <f aca="false">IF(F21=3, I21/(SQRT(3)*B21), I21/(F21*B21))</f>
        <v>5.45454545454545</v>
      </c>
      <c r="L21" s="63" t="n">
        <v>1</v>
      </c>
      <c r="M21" s="63" t="n">
        <v>10</v>
      </c>
      <c r="N21" s="63" t="n">
        <v>2</v>
      </c>
      <c r="O21" s="63" t="n">
        <v>25</v>
      </c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customFormat="false" ht="15" hidden="false" customHeight="true" outlineLevel="0" collapsed="false">
      <c r="A22" s="48" t="s">
        <v>147</v>
      </c>
      <c r="B22" s="63" t="n">
        <v>220</v>
      </c>
      <c r="C22" s="68" t="s">
        <v>142</v>
      </c>
      <c r="D22" s="64" t="s">
        <v>148</v>
      </c>
      <c r="E22" s="65" t="n">
        <v>2.5</v>
      </c>
      <c r="F22" s="63" t="n">
        <v>1</v>
      </c>
      <c r="G22" s="66" t="n">
        <v>0.8</v>
      </c>
      <c r="H22" s="67" t="n">
        <f aca="false">I22*G22</f>
        <v>1920</v>
      </c>
      <c r="I22" s="67" t="n">
        <f aca="false">ROUNDUP('Previsão de Cargas'!E7/2,0)*600</f>
        <v>2400</v>
      </c>
      <c r="J22" s="67" t="n">
        <f aca="false">SQRT(I22^2-H22^2)</f>
        <v>1440</v>
      </c>
      <c r="K22" s="67" t="n">
        <f aca="false">IF(F22=3, I22/(SQRT(3)*B22), I22/(F22*B22))</f>
        <v>10.9090909090909</v>
      </c>
      <c r="L22" s="63" t="n">
        <v>1</v>
      </c>
      <c r="M22" s="63" t="n">
        <v>16</v>
      </c>
      <c r="N22" s="63" t="n">
        <v>2</v>
      </c>
      <c r="O22" s="63" t="n">
        <v>25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customFormat="false" ht="15" hidden="false" customHeight="true" outlineLevel="0" collapsed="false">
      <c r="A23" s="48" t="s">
        <v>149</v>
      </c>
      <c r="B23" s="63" t="n">
        <v>220</v>
      </c>
      <c r="C23" s="68" t="s">
        <v>142</v>
      </c>
      <c r="D23" s="64" t="s">
        <v>150</v>
      </c>
      <c r="E23" s="65" t="n">
        <v>2.5</v>
      </c>
      <c r="F23" s="63" t="n">
        <v>1</v>
      </c>
      <c r="G23" s="66" t="n">
        <v>0.8</v>
      </c>
      <c r="H23" s="67" t="n">
        <f aca="false">I23*G23</f>
        <v>1440</v>
      </c>
      <c r="I23" s="67" t="n">
        <f aca="false">('Previsão de Cargas'!E7-ROUNDUP('Previsão de Cargas'!E7/2,0))*600</f>
        <v>1800</v>
      </c>
      <c r="J23" s="67" t="n">
        <f aca="false">SQRT(I23^2-H23^2)</f>
        <v>1080</v>
      </c>
      <c r="K23" s="67" t="n">
        <f aca="false">IF(F23=3, I23/(SQRT(3)*B23), I23/(F23*B23))</f>
        <v>8.18181818181818</v>
      </c>
      <c r="L23" s="63" t="n">
        <v>1</v>
      </c>
      <c r="M23" s="63" t="n">
        <v>10</v>
      </c>
      <c r="N23" s="63" t="n">
        <v>2</v>
      </c>
      <c r="O23" s="63" t="n">
        <v>25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customFormat="false" ht="15" hidden="false" customHeight="true" outlineLevel="0" collapsed="false">
      <c r="A24" s="48" t="s">
        <v>151</v>
      </c>
      <c r="B24" s="63" t="n">
        <v>220</v>
      </c>
      <c r="C24" s="68" t="s">
        <v>142</v>
      </c>
      <c r="D24" s="64" t="s">
        <v>152</v>
      </c>
      <c r="E24" s="65" t="n">
        <v>2.5</v>
      </c>
      <c r="F24" s="63" t="n">
        <v>1</v>
      </c>
      <c r="G24" s="66" t="n">
        <v>0.8</v>
      </c>
      <c r="H24" s="67" t="n">
        <f aca="false">I24*G24</f>
        <v>1920</v>
      </c>
      <c r="I24" s="67" t="n">
        <f aca="false">ROUNDUP('Previsão de Cargas'!E8/2,0)*600</f>
        <v>2400</v>
      </c>
      <c r="J24" s="67" t="n">
        <f aca="false">SQRT(I24^2-H24^2)</f>
        <v>1440</v>
      </c>
      <c r="K24" s="67" t="n">
        <f aca="false">IF(F24=3, I24/(SQRT(3)*B24), I24/(F24*B24))</f>
        <v>10.9090909090909</v>
      </c>
      <c r="L24" s="63" t="n">
        <v>1</v>
      </c>
      <c r="M24" s="63" t="n">
        <v>16</v>
      </c>
      <c r="N24" s="63" t="n">
        <v>2</v>
      </c>
      <c r="O24" s="63" t="n">
        <v>25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customFormat="false" ht="15" hidden="false" customHeight="true" outlineLevel="0" collapsed="false">
      <c r="A25" s="48" t="s">
        <v>153</v>
      </c>
      <c r="B25" s="63" t="n">
        <v>220</v>
      </c>
      <c r="C25" s="68" t="s">
        <v>142</v>
      </c>
      <c r="D25" s="64" t="s">
        <v>154</v>
      </c>
      <c r="E25" s="65" t="n">
        <v>2.5</v>
      </c>
      <c r="F25" s="63" t="n">
        <v>1</v>
      </c>
      <c r="G25" s="66" t="n">
        <v>0.8</v>
      </c>
      <c r="H25" s="67" t="n">
        <f aca="false">I25*G25</f>
        <v>1440</v>
      </c>
      <c r="I25" s="67" t="n">
        <f aca="false">('Previsão de Cargas'!E8-ROUNDUP('Previsão de Cargas'!E8/2,0))*600</f>
        <v>1800</v>
      </c>
      <c r="J25" s="67" t="n">
        <f aca="false">SQRT(I25^2-H25^2)</f>
        <v>1080</v>
      </c>
      <c r="K25" s="67" t="n">
        <f aca="false">IF(F25=3, I25/(SQRT(3)*B25), I25/(F25*B25))</f>
        <v>8.18181818181818</v>
      </c>
      <c r="L25" s="63" t="n">
        <v>1</v>
      </c>
      <c r="M25" s="63" t="n">
        <v>10</v>
      </c>
      <c r="N25" s="63" t="n">
        <v>2</v>
      </c>
      <c r="O25" s="63" t="n">
        <v>25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customFormat="false" ht="15.75" hidden="false" customHeight="true" outlineLevel="0" collapsed="false">
      <c r="A26" s="48" t="s">
        <v>155</v>
      </c>
      <c r="B26" s="63" t="n">
        <v>220</v>
      </c>
      <c r="C26" s="69" t="s">
        <v>142</v>
      </c>
      <c r="D26" s="64" t="s">
        <v>156</v>
      </c>
      <c r="E26" s="65" t="n">
        <v>2.5</v>
      </c>
      <c r="F26" s="63" t="n">
        <v>1</v>
      </c>
      <c r="G26" s="66" t="n">
        <v>0.8</v>
      </c>
      <c r="H26" s="67" t="n">
        <f aca="false">I26*G26</f>
        <v>1440</v>
      </c>
      <c r="I26" s="67" t="n">
        <f aca="false">ROUNDUP('Previsão de Cargas'!E9/2,0)*600</f>
        <v>1800</v>
      </c>
      <c r="J26" s="67" t="n">
        <f aca="false">SQRT(I26^2-H26^2)</f>
        <v>1080</v>
      </c>
      <c r="K26" s="67" t="n">
        <f aca="false">IF(F26=3, I26/(SQRT(3)*B26), I26/(F26*B26))</f>
        <v>8.18181818181818</v>
      </c>
      <c r="L26" s="63" t="n">
        <v>1</v>
      </c>
      <c r="M26" s="63" t="n">
        <v>10</v>
      </c>
      <c r="N26" s="63" t="n">
        <v>2</v>
      </c>
      <c r="O26" s="63" t="n">
        <v>25</v>
      </c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customFormat="false" ht="15.75" hidden="false" customHeight="true" outlineLevel="0" collapsed="false">
      <c r="A27" s="48" t="s">
        <v>157</v>
      </c>
      <c r="B27" s="63" t="n">
        <v>220</v>
      </c>
      <c r="C27" s="69" t="s">
        <v>142</v>
      </c>
      <c r="D27" s="64" t="s">
        <v>158</v>
      </c>
      <c r="E27" s="65" t="n">
        <v>2.5</v>
      </c>
      <c r="F27" s="63" t="n">
        <v>1</v>
      </c>
      <c r="G27" s="66" t="n">
        <v>0.8</v>
      </c>
      <c r="H27" s="67" t="n">
        <f aca="false">I27*G27</f>
        <v>1440</v>
      </c>
      <c r="I27" s="67" t="n">
        <f aca="false">('Previsão de Cargas'!E9-ROUNDUP('Previsão de Cargas'!E9/2,0))*600</f>
        <v>1800</v>
      </c>
      <c r="J27" s="67" t="n">
        <f aca="false">SQRT(I27^2-H27^2)</f>
        <v>1080</v>
      </c>
      <c r="K27" s="67" t="n">
        <f aca="false">IF(F27=3, I27/(SQRT(3)*B27), I27/(F27*B27))</f>
        <v>8.18181818181818</v>
      </c>
      <c r="L27" s="63" t="n">
        <v>1</v>
      </c>
      <c r="M27" s="63" t="n">
        <v>10</v>
      </c>
      <c r="N27" s="63" t="n">
        <v>2</v>
      </c>
      <c r="O27" s="63" t="n">
        <v>25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customFormat="false" ht="15" hidden="false" customHeight="true" outlineLevel="0" collapsed="false">
      <c r="A28" s="48" t="s">
        <v>159</v>
      </c>
      <c r="B28" s="63" t="n">
        <v>380</v>
      </c>
      <c r="C28" s="68" t="s">
        <v>142</v>
      </c>
      <c r="D28" s="64" t="s">
        <v>148</v>
      </c>
      <c r="E28" s="65" t="n">
        <v>2.5</v>
      </c>
      <c r="F28" s="63" t="n">
        <v>3</v>
      </c>
      <c r="G28" s="66" t="n">
        <v>0.8</v>
      </c>
      <c r="H28" s="67" t="n">
        <f aca="false">I28*G28</f>
        <v>9600</v>
      </c>
      <c r="I28" s="67" t="n">
        <f aca="false">'Previsão de Cargas'!H7/2</f>
        <v>12000</v>
      </c>
      <c r="J28" s="67" t="n">
        <f aca="false">SQRT(I28^2-H28^2)</f>
        <v>7200</v>
      </c>
      <c r="K28" s="67" t="n">
        <f aca="false">IF(F28=3, I28/(SQRT(3)*B28), I28/(F28*B28))</f>
        <v>18.2321137638829</v>
      </c>
      <c r="L28" s="63" t="n">
        <v>3</v>
      </c>
      <c r="M28" s="63" t="n">
        <v>20</v>
      </c>
      <c r="N28" s="63" t="n">
        <v>4</v>
      </c>
      <c r="O28" s="63" t="n">
        <v>25</v>
      </c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customFormat="false" ht="15" hidden="false" customHeight="true" outlineLevel="0" collapsed="false">
      <c r="A29" s="48" t="s">
        <v>160</v>
      </c>
      <c r="B29" s="63" t="n">
        <v>380</v>
      </c>
      <c r="C29" s="68" t="s">
        <v>142</v>
      </c>
      <c r="D29" s="64" t="s">
        <v>150</v>
      </c>
      <c r="E29" s="65" t="n">
        <v>2.5</v>
      </c>
      <c r="F29" s="63" t="n">
        <v>3</v>
      </c>
      <c r="G29" s="66" t="n">
        <v>0.8</v>
      </c>
      <c r="H29" s="67" t="n">
        <f aca="false">I29*G29</f>
        <v>9600</v>
      </c>
      <c r="I29" s="67" t="n">
        <f aca="false">'Previsão de Cargas'!H7/2</f>
        <v>12000</v>
      </c>
      <c r="J29" s="67" t="n">
        <f aca="false">SQRT(I29^2-H29^2)</f>
        <v>7200</v>
      </c>
      <c r="K29" s="67" t="n">
        <f aca="false">IF(F29=3, I29/(SQRT(3)*B29), I29/(F29*B29))</f>
        <v>18.2321137638829</v>
      </c>
      <c r="L29" s="63" t="n">
        <v>3</v>
      </c>
      <c r="M29" s="63" t="n">
        <v>20</v>
      </c>
      <c r="N29" s="63" t="n">
        <v>4</v>
      </c>
      <c r="O29" s="63" t="n">
        <v>25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customFormat="false" ht="15.75" hidden="false" customHeight="true" outlineLevel="0" collapsed="false">
      <c r="A30" s="48" t="s">
        <v>161</v>
      </c>
      <c r="B30" s="63" t="n">
        <v>380</v>
      </c>
      <c r="C30" s="68" t="s">
        <v>142</v>
      </c>
      <c r="D30" s="64" t="s">
        <v>152</v>
      </c>
      <c r="E30" s="65" t="n">
        <v>2.5</v>
      </c>
      <c r="F30" s="63" t="n">
        <v>3</v>
      </c>
      <c r="G30" s="66" t="n">
        <v>0.8</v>
      </c>
      <c r="H30" s="67" t="n">
        <f aca="false">I30*G30</f>
        <v>9600</v>
      </c>
      <c r="I30" s="67" t="n">
        <v>12000</v>
      </c>
      <c r="J30" s="67" t="n">
        <f aca="false">SQRT(I30^2-H30^2)</f>
        <v>7200</v>
      </c>
      <c r="K30" s="67" t="n">
        <f aca="false">IF(F30=3, I30/(SQRT(3)*B30), I30/(F30*B30))</f>
        <v>18.2321137638829</v>
      </c>
      <c r="L30" s="63" t="n">
        <v>3</v>
      </c>
      <c r="M30" s="63" t="n">
        <v>20</v>
      </c>
      <c r="N30" s="63" t="n">
        <v>4</v>
      </c>
      <c r="O30" s="63" t="n">
        <v>25</v>
      </c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customFormat="false" ht="15.75" hidden="false" customHeight="true" outlineLevel="0" collapsed="false">
      <c r="A31" s="48" t="s">
        <v>162</v>
      </c>
      <c r="B31" s="63" t="n">
        <v>380</v>
      </c>
      <c r="C31" s="69" t="s">
        <v>142</v>
      </c>
      <c r="D31" s="64" t="s">
        <v>53</v>
      </c>
      <c r="E31" s="65" t="n">
        <v>2.5</v>
      </c>
      <c r="F31" s="63" t="n">
        <v>3</v>
      </c>
      <c r="G31" s="66" t="n">
        <v>0.8</v>
      </c>
      <c r="H31" s="67" t="n">
        <f aca="false">I31*G31</f>
        <v>14400</v>
      </c>
      <c r="I31" s="67" t="n">
        <f aca="false">'Previsão de Cargas'!H9</f>
        <v>18000</v>
      </c>
      <c r="J31" s="67" t="n">
        <f aca="false">SQRT(I31^2-H31^2)</f>
        <v>10800</v>
      </c>
      <c r="K31" s="67" t="n">
        <f aca="false">IF(F31=3, I31/(SQRT(3)*B31), I31/(F31*B31))</f>
        <v>27.3481706458244</v>
      </c>
      <c r="L31" s="63" t="n">
        <v>3</v>
      </c>
      <c r="M31" s="63" t="n">
        <v>32</v>
      </c>
      <c r="N31" s="63" t="n">
        <v>4</v>
      </c>
      <c r="O31" s="63" t="n">
        <v>40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customFormat="false" ht="15.75" hidden="false" customHeight="true" outlineLevel="0" collapsed="false">
      <c r="A32" s="48" t="s">
        <v>163</v>
      </c>
      <c r="B32" s="63" t="n">
        <v>220</v>
      </c>
      <c r="C32" s="68" t="s">
        <v>142</v>
      </c>
      <c r="D32" s="64" t="s">
        <v>164</v>
      </c>
      <c r="E32" s="65" t="n">
        <v>2.5</v>
      </c>
      <c r="F32" s="63" t="n">
        <v>1</v>
      </c>
      <c r="G32" s="66" t="n">
        <v>0.98</v>
      </c>
      <c r="H32" s="67" t="n">
        <f aca="false">I32*G32</f>
        <v>3000</v>
      </c>
      <c r="I32" s="67" t="n">
        <f aca="false">('Previsão de Cargas'!J16+'Previsão de Cargas'!J17)/G32</f>
        <v>3061.22448979592</v>
      </c>
      <c r="J32" s="67" t="n">
        <f aca="false">SQRT(I32^2-H32^2)</f>
        <v>609.175981902014</v>
      </c>
      <c r="K32" s="67" t="n">
        <f aca="false">IF(F32=3, I32/(SQRT(3)*B32), I32/(F32*B32))</f>
        <v>13.9146567717996</v>
      </c>
      <c r="L32" s="63" t="n">
        <v>1</v>
      </c>
      <c r="M32" s="63" t="n">
        <v>16</v>
      </c>
      <c r="N32" s="63" t="n">
        <v>2</v>
      </c>
      <c r="O32" s="63" t="n">
        <v>25</v>
      </c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customFormat="false" ht="15.75" hidden="false" customHeight="true" outlineLevel="0" collapsed="false">
      <c r="A33" s="48" t="s">
        <v>165</v>
      </c>
      <c r="B33" s="63" t="n">
        <v>380</v>
      </c>
      <c r="C33" s="68" t="s">
        <v>142</v>
      </c>
      <c r="D33" s="64" t="s">
        <v>154</v>
      </c>
      <c r="E33" s="65" t="n">
        <v>2.5</v>
      </c>
      <c r="F33" s="63" t="n">
        <v>3</v>
      </c>
      <c r="G33" s="66" t="n">
        <v>0.8</v>
      </c>
      <c r="H33" s="67" t="n">
        <f aca="false">I33*G33</f>
        <v>9600</v>
      </c>
      <c r="I33" s="67" t="n">
        <v>12000</v>
      </c>
      <c r="J33" s="67" t="n">
        <f aca="false">SQRT(I33^2-H33^2)</f>
        <v>7200</v>
      </c>
      <c r="K33" s="67" t="n">
        <f aca="false">IF(F33=3, I33/(SQRT(3)*B33), I33/(F33*B33))</f>
        <v>18.2321137638829</v>
      </c>
      <c r="L33" s="63" t="n">
        <v>3</v>
      </c>
      <c r="M33" s="63" t="n">
        <v>20</v>
      </c>
      <c r="N33" s="63" t="n">
        <v>4</v>
      </c>
      <c r="O33" s="63" t="n">
        <v>25</v>
      </c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customFormat="false" ht="15.75" hidden="false" customHeight="true" outlineLevel="0" collapsed="false">
      <c r="A34" s="48" t="s">
        <v>166</v>
      </c>
      <c r="B34" s="63" t="n">
        <v>220</v>
      </c>
      <c r="C34" s="68" t="s">
        <v>142</v>
      </c>
      <c r="D34" s="64" t="s">
        <v>90</v>
      </c>
      <c r="E34" s="48" t="n">
        <v>2.5</v>
      </c>
      <c r="F34" s="63" t="n">
        <v>1</v>
      </c>
      <c r="G34" s="66" t="n">
        <v>0.8</v>
      </c>
      <c r="H34" s="67" t="n">
        <f aca="false">I34*G34</f>
        <v>2240</v>
      </c>
      <c r="I34" s="67" t="n">
        <v>2800</v>
      </c>
      <c r="J34" s="67" t="n">
        <f aca="false">SQRT(I34^2-H34^2)</f>
        <v>1680</v>
      </c>
      <c r="K34" s="67" t="n">
        <f aca="false">IF(F34=3, I34/(SQRT(3)*B34), I34/(F34*B34))</f>
        <v>12.7272727272727</v>
      </c>
      <c r="L34" s="63" t="n">
        <v>1</v>
      </c>
      <c r="M34" s="63" t="n">
        <v>16</v>
      </c>
      <c r="N34" s="63" t="n">
        <v>2</v>
      </c>
      <c r="O34" s="63" t="n">
        <v>25</v>
      </c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customFormat="false" ht="15.75" hidden="false" customHeight="true" outlineLevel="0" collapsed="false">
      <c r="A35" s="48" t="s">
        <v>167</v>
      </c>
      <c r="B35" s="63" t="n">
        <v>380</v>
      </c>
      <c r="C35" s="68" t="s">
        <v>142</v>
      </c>
      <c r="D35" s="64" t="s">
        <v>91</v>
      </c>
      <c r="E35" s="48" t="n">
        <v>2.5</v>
      </c>
      <c r="F35" s="63" t="n">
        <v>2</v>
      </c>
      <c r="G35" s="66" t="n">
        <v>0.8</v>
      </c>
      <c r="H35" s="67" t="n">
        <f aca="false">I35*G35</f>
        <v>5440</v>
      </c>
      <c r="I35" s="67" t="n">
        <v>6800</v>
      </c>
      <c r="J35" s="67" t="n">
        <f aca="false">SQRT(I35^2-H35^2)</f>
        <v>4080</v>
      </c>
      <c r="K35" s="67" t="n">
        <f aca="false">I35/380</f>
        <v>17.8947368421053</v>
      </c>
      <c r="L35" s="63" t="n">
        <v>2</v>
      </c>
      <c r="M35" s="63" t="n">
        <v>20</v>
      </c>
      <c r="N35" s="63" t="n">
        <v>2</v>
      </c>
      <c r="O35" s="63" t="n">
        <v>25</v>
      </c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customFormat="false" ht="15.75" hidden="false" customHeight="true" outlineLevel="0" collapsed="false">
      <c r="A36" s="70" t="s">
        <v>168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customFormat="false" ht="15.75" hidden="false" customHeight="true" outlineLevel="0" collapsed="false">
      <c r="A37" s="48" t="s">
        <v>169</v>
      </c>
      <c r="B37" s="63" t="n">
        <v>220</v>
      </c>
      <c r="C37" s="70" t="s">
        <v>170</v>
      </c>
      <c r="D37" s="64" t="s">
        <v>171</v>
      </c>
      <c r="E37" s="65" t="n">
        <v>1.5</v>
      </c>
      <c r="F37" s="63" t="n">
        <v>1</v>
      </c>
      <c r="G37" s="66" t="n">
        <v>0.99</v>
      </c>
      <c r="H37" s="67" t="n">
        <f aca="false">I37*G37</f>
        <v>1940.4</v>
      </c>
      <c r="I37" s="67" t="n">
        <f aca="false">'Previsão de Cargas'!D11+'Previsão de Cargas'!D12+'Previsão de Cargas'!D13+'Previsão de Cargas'!D14</f>
        <v>1960</v>
      </c>
      <c r="J37" s="67" t="n">
        <f aca="false">SQRT(I37^2-H37^2)</f>
        <v>276.492025201451</v>
      </c>
      <c r="K37" s="67" t="n">
        <f aca="false">IF(F37=3, I37/(SQRT(3)*B37), I37/(F37*B37))</f>
        <v>8.90909090909091</v>
      </c>
      <c r="L37" s="63" t="n">
        <v>1</v>
      </c>
      <c r="M37" s="63" t="n">
        <v>10</v>
      </c>
      <c r="N37" s="63" t="n">
        <v>2</v>
      </c>
      <c r="O37" s="63" t="n">
        <v>25</v>
      </c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customFormat="false" ht="15.75" hidden="false" customHeight="true" outlineLevel="0" collapsed="false">
      <c r="A38" s="48" t="s">
        <v>172</v>
      </c>
      <c r="B38" s="63" t="n">
        <v>220</v>
      </c>
      <c r="C38" s="70" t="s">
        <v>170</v>
      </c>
      <c r="D38" s="64" t="s">
        <v>61</v>
      </c>
      <c r="E38" s="65" t="n">
        <v>2.5</v>
      </c>
      <c r="F38" s="63" t="n">
        <v>1</v>
      </c>
      <c r="G38" s="66" t="n">
        <v>0.8</v>
      </c>
      <c r="H38" s="67" t="n">
        <f aca="false">I38*G38</f>
        <v>1600</v>
      </c>
      <c r="I38" s="67" t="n">
        <f aca="false">'Previsão de Cargas'!F14</f>
        <v>2000</v>
      </c>
      <c r="J38" s="67" t="n">
        <f aca="false">SQRT(I38^2-H38^2)</f>
        <v>1200</v>
      </c>
      <c r="K38" s="67" t="n">
        <f aca="false">IF(F38=3, I38/(SQRT(3)*B38), I38/(F38*B38))</f>
        <v>9.09090909090909</v>
      </c>
      <c r="L38" s="63" t="n">
        <v>1</v>
      </c>
      <c r="M38" s="63" t="n">
        <v>10</v>
      </c>
      <c r="N38" s="63" t="n">
        <v>2</v>
      </c>
      <c r="O38" s="63" t="n">
        <v>25</v>
      </c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customFormat="false" ht="15.75" hidden="false" customHeight="true" outlineLevel="0" collapsed="false">
      <c r="A39" s="48" t="s">
        <v>173</v>
      </c>
      <c r="B39" s="63" t="n">
        <v>220</v>
      </c>
      <c r="C39" s="70" t="s">
        <v>170</v>
      </c>
      <c r="D39" s="64" t="s">
        <v>174</v>
      </c>
      <c r="E39" s="65" t="n">
        <v>2.5</v>
      </c>
      <c r="F39" s="63" t="n">
        <v>1</v>
      </c>
      <c r="G39" s="66" t="n">
        <v>0.8</v>
      </c>
      <c r="H39" s="67" t="n">
        <f aca="false">I39*G39</f>
        <v>960</v>
      </c>
      <c r="I39" s="67" t="n">
        <f aca="false">'Previsão de Cargas'!F18+'Previsão de Cargas'!F19</f>
        <v>1200</v>
      </c>
      <c r="J39" s="67" t="n">
        <f aca="false">SQRT(I39^2-H39^2)</f>
        <v>720</v>
      </c>
      <c r="K39" s="67" t="n">
        <f aca="false">IF(F39=3, I39/(SQRT(3)*B39), I39/(F39*B39))</f>
        <v>5.45454545454545</v>
      </c>
      <c r="L39" s="63" t="n">
        <v>1</v>
      </c>
      <c r="M39" s="63" t="n">
        <v>10</v>
      </c>
      <c r="N39" s="63" t="n">
        <v>2</v>
      </c>
      <c r="O39" s="63" t="n">
        <v>25</v>
      </c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customFormat="false" ht="15.75" hidden="false" customHeight="true" outlineLevel="0" collapsed="false">
      <c r="A40" s="48" t="s">
        <v>175</v>
      </c>
      <c r="B40" s="63" t="n">
        <v>220</v>
      </c>
      <c r="C40" s="70" t="s">
        <v>170</v>
      </c>
      <c r="D40" s="64" t="s">
        <v>176</v>
      </c>
      <c r="E40" s="65" t="n">
        <v>2.5</v>
      </c>
      <c r="F40" s="63" t="n">
        <v>1</v>
      </c>
      <c r="G40" s="66" t="n">
        <v>0.8</v>
      </c>
      <c r="H40" s="67" t="n">
        <f aca="false">I40*G40</f>
        <v>2320</v>
      </c>
      <c r="I40" s="67" t="n">
        <f aca="false">'Previsão de Cargas'!F11+'Previsão de Cargas'!F12</f>
        <v>2900</v>
      </c>
      <c r="J40" s="67" t="n">
        <f aca="false">SQRT(I40^2-H40^2)</f>
        <v>1740</v>
      </c>
      <c r="K40" s="67" t="n">
        <f aca="false">IF(F40=3, I40/(SQRT(3)*B40), I40/(F40*B40))</f>
        <v>13.1818181818182</v>
      </c>
      <c r="L40" s="63" t="n">
        <v>1</v>
      </c>
      <c r="M40" s="63" t="n">
        <v>16</v>
      </c>
      <c r="N40" s="63" t="n">
        <v>2</v>
      </c>
      <c r="O40" s="63" t="n">
        <v>25</v>
      </c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customFormat="false" ht="15.75" hidden="false" customHeight="true" outlineLevel="0" collapsed="false">
      <c r="A41" s="48" t="s">
        <v>177</v>
      </c>
      <c r="B41" s="63" t="n">
        <v>220</v>
      </c>
      <c r="C41" s="69" t="s">
        <v>170</v>
      </c>
      <c r="D41" s="64" t="s">
        <v>178</v>
      </c>
      <c r="E41" s="65" t="n">
        <v>2.5</v>
      </c>
      <c r="F41" s="63" t="n">
        <v>1</v>
      </c>
      <c r="G41" s="66" t="n">
        <v>0.8</v>
      </c>
      <c r="H41" s="67" t="n">
        <f aca="false">I41*G41</f>
        <v>1120</v>
      </c>
      <c r="I41" s="67" t="n">
        <f aca="false">'Previsão de Cargas'!F25+'Previsão de Cargas'!F26</f>
        <v>1400</v>
      </c>
      <c r="J41" s="67" t="n">
        <f aca="false">SQRT(I41^2-H41^2)</f>
        <v>840</v>
      </c>
      <c r="K41" s="67" t="n">
        <f aca="false">IF(F41=3, I41/(SQRT(3)*B41), I41/(F41*B41))</f>
        <v>6.36363636363636</v>
      </c>
      <c r="L41" s="63" t="n">
        <v>1</v>
      </c>
      <c r="M41" s="63" t="n">
        <v>10</v>
      </c>
      <c r="N41" s="63" t="n">
        <v>2</v>
      </c>
      <c r="O41" s="63" t="n">
        <v>25</v>
      </c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customFormat="false" ht="15.75" hidden="false" customHeight="true" outlineLevel="0" collapsed="false">
      <c r="A42" s="48" t="s">
        <v>179</v>
      </c>
      <c r="B42" s="63" t="n">
        <v>220</v>
      </c>
      <c r="C42" s="70" t="s">
        <v>170</v>
      </c>
      <c r="D42" s="64" t="s">
        <v>180</v>
      </c>
      <c r="E42" s="65" t="n">
        <v>2.5</v>
      </c>
      <c r="F42" s="63" t="n">
        <v>1</v>
      </c>
      <c r="G42" s="66" t="n">
        <v>0.98</v>
      </c>
      <c r="H42" s="67" t="n">
        <f aca="false">I42*G42</f>
        <v>3000</v>
      </c>
      <c r="I42" s="67" t="n">
        <f aca="false">('Previsão de Cargas'!J18+'Previsão de Cargas'!J19)/G42</f>
        <v>3061.22448979592</v>
      </c>
      <c r="J42" s="67" t="n">
        <f aca="false">SQRT(I42^2-H42^2)</f>
        <v>609.175981902014</v>
      </c>
      <c r="K42" s="67" t="n">
        <f aca="false">IF(F42=3, I42/(SQRT(3)*B42), I42/(F42*B42))</f>
        <v>13.9146567717996</v>
      </c>
      <c r="L42" s="63" t="n">
        <v>1</v>
      </c>
      <c r="M42" s="63" t="n">
        <v>16</v>
      </c>
      <c r="N42" s="63" t="n">
        <v>2</v>
      </c>
      <c r="O42" s="63" t="n">
        <v>25</v>
      </c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customFormat="false" ht="15.75" hidden="false" customHeight="true" outlineLevel="0" collapsed="false">
      <c r="A43" s="48" t="s">
        <v>181</v>
      </c>
      <c r="B43" s="63" t="n">
        <v>220</v>
      </c>
      <c r="C43" s="70" t="s">
        <v>170</v>
      </c>
      <c r="D43" s="64" t="s">
        <v>182</v>
      </c>
      <c r="E43" s="65" t="n">
        <v>2.5</v>
      </c>
      <c r="F43" s="63" t="n">
        <v>1</v>
      </c>
      <c r="G43" s="66" t="n">
        <v>0.92</v>
      </c>
      <c r="H43" s="67" t="n">
        <f aca="false">I43*G43</f>
        <v>1900</v>
      </c>
      <c r="I43" s="67" t="n">
        <f aca="false">'Previsão de Cargas'!J11/G43</f>
        <v>2065.21739130435</v>
      </c>
      <c r="J43" s="67" t="n">
        <f aca="false">SQRT(I43^2-H43^2)</f>
        <v>809.396610658789</v>
      </c>
      <c r="K43" s="67" t="n">
        <f aca="false">IF(F43=3, I43/(SQRT(3)*B43), I43/(F43*B43))</f>
        <v>9.38735177865613</v>
      </c>
      <c r="L43" s="63" t="n">
        <v>1</v>
      </c>
      <c r="M43" s="63" t="n">
        <v>10</v>
      </c>
      <c r="N43" s="63" t="n">
        <v>2</v>
      </c>
      <c r="O43" s="63" t="n">
        <v>25</v>
      </c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customFormat="false" ht="15.75" hidden="false" customHeight="true" outlineLevel="0" collapsed="false">
      <c r="A44" s="48" t="s">
        <v>183</v>
      </c>
      <c r="B44" s="63" t="n">
        <v>220</v>
      </c>
      <c r="C44" s="70" t="s">
        <v>170</v>
      </c>
      <c r="D44" s="64" t="s">
        <v>184</v>
      </c>
      <c r="E44" s="65" t="n">
        <v>2.5</v>
      </c>
      <c r="F44" s="63" t="n">
        <v>1</v>
      </c>
      <c r="G44" s="66" t="n">
        <v>0.92</v>
      </c>
      <c r="H44" s="67" t="n">
        <f aca="false">I44*G44</f>
        <v>2500</v>
      </c>
      <c r="I44" s="67" t="n">
        <f aca="false">'Previsão de Cargas'!J12/G44</f>
        <v>2717.39130434783</v>
      </c>
      <c r="J44" s="67" t="n">
        <f aca="false">SQRT(I44^2-H44^2)</f>
        <v>1064.99554034051</v>
      </c>
      <c r="K44" s="67" t="n">
        <f aca="false">IF(F44=3, I44/(SQRT(3)*B44), I44/(F44*B44))</f>
        <v>12.3517786561265</v>
      </c>
      <c r="L44" s="63" t="n">
        <v>1</v>
      </c>
      <c r="M44" s="63" t="n">
        <v>16</v>
      </c>
      <c r="N44" s="63" t="n">
        <v>2</v>
      </c>
      <c r="O44" s="63" t="n">
        <v>25</v>
      </c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customFormat="false" ht="15.75" hidden="false" customHeight="true" outlineLevel="0" collapsed="false">
      <c r="A45" s="48" t="s">
        <v>185</v>
      </c>
      <c r="B45" s="63" t="n">
        <v>220</v>
      </c>
      <c r="C45" s="70" t="s">
        <v>170</v>
      </c>
      <c r="D45" s="64" t="s">
        <v>186</v>
      </c>
      <c r="E45" s="65" t="n">
        <v>2.5</v>
      </c>
      <c r="F45" s="63" t="n">
        <v>1</v>
      </c>
      <c r="G45" s="66" t="n">
        <v>0.92</v>
      </c>
      <c r="H45" s="67" t="n">
        <f aca="false">I45*G45</f>
        <v>1400</v>
      </c>
      <c r="I45" s="67" t="n">
        <f aca="false">'Previsão de Cargas'!J13/G45</f>
        <v>1521.73913043478</v>
      </c>
      <c r="J45" s="67" t="n">
        <f aca="false">SQRT(I45^2-H45^2)</f>
        <v>596.397502590687</v>
      </c>
      <c r="K45" s="67" t="n">
        <f aca="false">IF(F45=3, I45/(SQRT(3)*B45), I45/(F45*B45))</f>
        <v>6.91699604743083</v>
      </c>
      <c r="L45" s="63" t="n">
        <v>1</v>
      </c>
      <c r="M45" s="63" t="n">
        <v>10</v>
      </c>
      <c r="N45" s="63" t="n">
        <v>2</v>
      </c>
      <c r="O45" s="63" t="n">
        <v>25</v>
      </c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customFormat="false" ht="15.75" hidden="false" customHeight="true" outlineLevel="0" collapsed="false">
      <c r="A46" s="48" t="s">
        <v>187</v>
      </c>
      <c r="B46" s="63" t="n">
        <v>220</v>
      </c>
      <c r="C46" s="70" t="s">
        <v>170</v>
      </c>
      <c r="D46" s="64" t="s">
        <v>188</v>
      </c>
      <c r="E46" s="65" t="n">
        <v>2.5</v>
      </c>
      <c r="F46" s="63" t="n">
        <v>1</v>
      </c>
      <c r="G46" s="66" t="n">
        <v>0.8</v>
      </c>
      <c r="H46" s="67" t="n">
        <f aca="false">I46*G46</f>
        <v>1360</v>
      </c>
      <c r="I46" s="67" t="n">
        <f aca="false">'Previsão de Cargas'!F13+'Previsão de Cargas'!F15</f>
        <v>1700</v>
      </c>
      <c r="J46" s="67" t="n">
        <f aca="false">SQRT(I46^2-H46^2)</f>
        <v>1020</v>
      </c>
      <c r="K46" s="67" t="n">
        <f aca="false">IF(F46=3, I46/(SQRT(3)*B46), I46/(F46*B46))</f>
        <v>7.72727272727273</v>
      </c>
      <c r="L46" s="63" t="n">
        <v>1</v>
      </c>
      <c r="M46" s="63" t="n">
        <v>10</v>
      </c>
      <c r="N46" s="63" t="n">
        <v>2</v>
      </c>
      <c r="O46" s="63" t="n">
        <v>25</v>
      </c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customFormat="false" ht="15.75" hidden="false" customHeight="true" outlineLevel="0" collapsed="false">
      <c r="A47" s="48" t="s">
        <v>189</v>
      </c>
      <c r="B47" s="63" t="n">
        <v>220</v>
      </c>
      <c r="C47" s="69" t="s">
        <v>170</v>
      </c>
      <c r="D47" s="64" t="s">
        <v>190</v>
      </c>
      <c r="E47" s="65" t="n">
        <v>1.5</v>
      </c>
      <c r="F47" s="63" t="n">
        <v>1</v>
      </c>
      <c r="G47" s="66" t="n">
        <v>0.99</v>
      </c>
      <c r="H47" s="67" t="n">
        <f aca="false">I47*G47</f>
        <v>1445.4</v>
      </c>
      <c r="I47" s="67" t="n">
        <f aca="false">'Previsão de Cargas'!D15+'Previsão de Cargas'!D25+'Previsão de Cargas'!D26+'Previsão de Cargas'!D18+'Previsão de Cargas'!D19</f>
        <v>1460</v>
      </c>
      <c r="J47" s="67" t="n">
        <f aca="false">SQRT(I47^2-H47^2)</f>
        <v>205.958345303122</v>
      </c>
      <c r="K47" s="67" t="n">
        <f aca="false">IF(F47=3, I47/(SQRT(3)*B47), I47/(F47*B47))</f>
        <v>6.63636363636364</v>
      </c>
      <c r="L47" s="63" t="n">
        <v>1</v>
      </c>
      <c r="M47" s="63" t="n">
        <v>10</v>
      </c>
      <c r="N47" s="63" t="n">
        <v>2</v>
      </c>
      <c r="O47" s="63" t="n">
        <v>25</v>
      </c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customFormat="false" ht="15.75" hidden="false" customHeight="true" outlineLevel="0" collapsed="false">
      <c r="A48" s="69" t="s">
        <v>191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customFormat="false" ht="15.75" hidden="false" customHeight="true" outlineLevel="0" collapsed="false">
      <c r="A49" s="48" t="s">
        <v>192</v>
      </c>
      <c r="B49" s="63" t="n">
        <v>220</v>
      </c>
      <c r="C49" s="70" t="s">
        <v>193</v>
      </c>
      <c r="D49" s="64" t="s">
        <v>194</v>
      </c>
      <c r="E49" s="65" t="n">
        <v>1.5</v>
      </c>
      <c r="F49" s="63" t="n">
        <v>1</v>
      </c>
      <c r="G49" s="66" t="n">
        <v>0.99</v>
      </c>
      <c r="H49" s="67" t="n">
        <f aca="false">I49*G49</f>
        <v>2376</v>
      </c>
      <c r="I49" s="67" t="n">
        <f aca="false">'Previsão de Cargas'!D24+'Previsão de Cargas'!D20+'Previsão de Cargas'!D21+'Previsão de Cargas'!D22+'Previsão de Cargas'!D23+'Previsão de Cargas'!D27</f>
        <v>2400</v>
      </c>
      <c r="J49" s="67" t="n">
        <f aca="false">SQRT(I49^2-H49^2)</f>
        <v>338.561663511981</v>
      </c>
      <c r="K49" s="67" t="n">
        <f aca="false">IF(F49=3, I49/(SQRT(3)*B49), I49/(F49*B49))</f>
        <v>10.9090909090909</v>
      </c>
      <c r="L49" s="63" t="n">
        <v>1</v>
      </c>
      <c r="M49" s="63" t="n">
        <v>16</v>
      </c>
      <c r="N49" s="63" t="n">
        <v>2</v>
      </c>
      <c r="O49" s="63" t="n">
        <v>25</v>
      </c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customFormat="false" ht="15.75" hidden="false" customHeight="true" outlineLevel="0" collapsed="false">
      <c r="A50" s="48" t="s">
        <v>195</v>
      </c>
      <c r="B50" s="63" t="n">
        <v>220</v>
      </c>
      <c r="C50" s="70" t="s">
        <v>193</v>
      </c>
      <c r="D50" s="64" t="s">
        <v>196</v>
      </c>
      <c r="E50" s="65" t="n">
        <v>2.5</v>
      </c>
      <c r="F50" s="63" t="n">
        <v>1</v>
      </c>
      <c r="G50" s="66" t="n">
        <v>0.8</v>
      </c>
      <c r="H50" s="67" t="n">
        <f aca="false">I50*G50</f>
        <v>2080</v>
      </c>
      <c r="I50" s="67" t="n">
        <f aca="false">'Previsão de Cargas'!F20+'Previsão de Cargas'!F21</f>
        <v>2600</v>
      </c>
      <c r="J50" s="67" t="n">
        <f aca="false">SQRT(I50^2-H50^2)</f>
        <v>1560</v>
      </c>
      <c r="K50" s="67" t="n">
        <f aca="false">IF(F50=3, I50/(SQRT(3)*B50), I50/(F50*B50))</f>
        <v>11.8181818181818</v>
      </c>
      <c r="L50" s="63" t="n">
        <v>1</v>
      </c>
      <c r="M50" s="63" t="n">
        <v>16</v>
      </c>
      <c r="N50" s="63" t="n">
        <v>2</v>
      </c>
      <c r="O50" s="63" t="n">
        <v>25</v>
      </c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customFormat="false" ht="15.75" hidden="false" customHeight="true" outlineLevel="0" collapsed="false">
      <c r="A51" s="48" t="s">
        <v>197</v>
      </c>
      <c r="B51" s="63" t="n">
        <v>220</v>
      </c>
      <c r="C51" s="70" t="s">
        <v>193</v>
      </c>
      <c r="D51" s="64" t="s">
        <v>70</v>
      </c>
      <c r="E51" s="65" t="n">
        <v>2.5</v>
      </c>
      <c r="F51" s="63" t="n">
        <v>1</v>
      </c>
      <c r="G51" s="66" t="n">
        <v>1</v>
      </c>
      <c r="H51" s="67" t="n">
        <f aca="false">I51*G51</f>
        <v>6000</v>
      </c>
      <c r="I51" s="67" t="n">
        <f aca="false">'Previsão de Cargas'!J23/G51</f>
        <v>6000</v>
      </c>
      <c r="J51" s="67" t="n">
        <f aca="false">SQRT(I51^2-H51^2)</f>
        <v>0</v>
      </c>
      <c r="K51" s="67" t="n">
        <f aca="false">IF(F51=3, I51/(SQRT(3)*B51), I51/(F51*B51))</f>
        <v>27.2727272727273</v>
      </c>
      <c r="L51" s="63" t="n">
        <v>1</v>
      </c>
      <c r="M51" s="63" t="n">
        <v>32</v>
      </c>
      <c r="N51" s="63" t="n">
        <v>2</v>
      </c>
      <c r="O51" s="63" t="n">
        <v>40</v>
      </c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customFormat="false" ht="15" hidden="false" customHeight="true" outlineLevel="0" collapsed="false">
      <c r="A52" s="48" t="s">
        <v>198</v>
      </c>
      <c r="B52" s="63" t="n">
        <v>380</v>
      </c>
      <c r="C52" s="69" t="s">
        <v>193</v>
      </c>
      <c r="D52" s="64" t="s">
        <v>74</v>
      </c>
      <c r="E52" s="65" t="n">
        <v>2.5</v>
      </c>
      <c r="F52" s="63" t="n">
        <v>3</v>
      </c>
      <c r="G52" s="66" t="n">
        <v>0.8</v>
      </c>
      <c r="H52" s="67" t="n">
        <f aca="false">I52*G52</f>
        <v>4800</v>
      </c>
      <c r="I52" s="67" t="n">
        <f aca="false">'Previsão de Cargas'!H27</f>
        <v>6000</v>
      </c>
      <c r="J52" s="67" t="n">
        <f aca="false">SQRT(I52^2-H52^2)</f>
        <v>3600</v>
      </c>
      <c r="K52" s="67" t="n">
        <f aca="false">IF(F52=3, I52/(SQRT(3)*B52), I52/(F52*B52))</f>
        <v>9.11605688194146</v>
      </c>
      <c r="L52" s="63" t="n">
        <v>3</v>
      </c>
      <c r="M52" s="63" t="n">
        <v>10</v>
      </c>
      <c r="N52" s="63" t="n">
        <v>4</v>
      </c>
      <c r="O52" s="63" t="n">
        <v>25</v>
      </c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customFormat="false" ht="15.75" hidden="false" customHeight="true" outlineLevel="0" collapsed="false">
      <c r="A53" s="48" t="s">
        <v>199</v>
      </c>
      <c r="B53" s="63" t="n">
        <v>220</v>
      </c>
      <c r="C53" s="70" t="s">
        <v>193</v>
      </c>
      <c r="D53" s="64" t="s">
        <v>200</v>
      </c>
      <c r="E53" s="65" t="n">
        <v>2.5</v>
      </c>
      <c r="F53" s="63" t="n">
        <v>1</v>
      </c>
      <c r="G53" s="66" t="n">
        <v>0.92</v>
      </c>
      <c r="H53" s="67" t="n">
        <f aca="false">I53*G53</f>
        <v>1900</v>
      </c>
      <c r="I53" s="67" t="n">
        <f aca="false">'Previsão de Cargas'!J20/G53</f>
        <v>2065.21739130435</v>
      </c>
      <c r="J53" s="67" t="n">
        <f aca="false">SQRT(I53^2-H53^2)</f>
        <v>809.396610658789</v>
      </c>
      <c r="K53" s="67" t="n">
        <f aca="false">IF(F53=3, I53/(SQRT(3)*B53), I53/(F53*B53))</f>
        <v>9.38735177865613</v>
      </c>
      <c r="L53" s="63" t="n">
        <v>1</v>
      </c>
      <c r="M53" s="63" t="n">
        <v>10</v>
      </c>
      <c r="N53" s="63" t="n">
        <v>2</v>
      </c>
      <c r="O53" s="63" t="n">
        <v>25</v>
      </c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customFormat="false" ht="15.75" hidden="false" customHeight="true" outlineLevel="0" collapsed="false">
      <c r="A54" s="48" t="s">
        <v>201</v>
      </c>
      <c r="B54" s="63" t="n">
        <v>220</v>
      </c>
      <c r="C54" s="70" t="s">
        <v>193</v>
      </c>
      <c r="D54" s="64" t="s">
        <v>202</v>
      </c>
      <c r="E54" s="65" t="n">
        <v>2.5</v>
      </c>
      <c r="F54" s="63" t="n">
        <v>1</v>
      </c>
      <c r="G54" s="66" t="n">
        <v>0.92</v>
      </c>
      <c r="H54" s="67" t="n">
        <f aca="false">I54*G54</f>
        <v>1400</v>
      </c>
      <c r="I54" s="67" t="n">
        <f aca="false">'Previsão de Cargas'!J21/G54</f>
        <v>1521.73913043478</v>
      </c>
      <c r="J54" s="67" t="n">
        <f aca="false">SQRT(I54^2-H54^2)</f>
        <v>596.397502590687</v>
      </c>
      <c r="K54" s="67" t="n">
        <f aca="false">IF(F54=3, I54/(SQRT(3)*B54), I54/(F54*B54))</f>
        <v>6.91699604743083</v>
      </c>
      <c r="L54" s="63" t="n">
        <v>1</v>
      </c>
      <c r="M54" s="63" t="n">
        <v>10</v>
      </c>
      <c r="N54" s="63" t="n">
        <v>2</v>
      </c>
      <c r="O54" s="63" t="n">
        <v>25</v>
      </c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customFormat="false" ht="15.75" hidden="false" customHeight="true" outlineLevel="0" collapsed="false">
      <c r="A55" s="48" t="s">
        <v>203</v>
      </c>
      <c r="B55" s="63" t="n">
        <v>220</v>
      </c>
      <c r="C55" s="70" t="s">
        <v>193</v>
      </c>
      <c r="D55" s="64" t="s">
        <v>204</v>
      </c>
      <c r="E55" s="65" t="n">
        <v>2.5</v>
      </c>
      <c r="F55" s="63" t="n">
        <v>1</v>
      </c>
      <c r="G55" s="66" t="n">
        <v>0.92</v>
      </c>
      <c r="H55" s="67" t="n">
        <f aca="false">I55*G55</f>
        <v>1400</v>
      </c>
      <c r="I55" s="67" t="n">
        <f aca="false">'Previsão de Cargas'!J22/G55</f>
        <v>1521.73913043478</v>
      </c>
      <c r="J55" s="67" t="n">
        <f aca="false">SQRT(I55^2-H55^2)</f>
        <v>596.397502590687</v>
      </c>
      <c r="K55" s="67" t="n">
        <f aca="false">IF(F55=3, I55/(SQRT(3)*B55), I55/(F55*B55))</f>
        <v>6.91699604743083</v>
      </c>
      <c r="L55" s="63" t="n">
        <v>1</v>
      </c>
      <c r="M55" s="63" t="n">
        <v>10</v>
      </c>
      <c r="N55" s="63" t="n">
        <v>2</v>
      </c>
      <c r="O55" s="63" t="n">
        <v>25</v>
      </c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customFormat="false" ht="15.75" hidden="false" customHeight="true" outlineLevel="0" collapsed="false">
      <c r="A56" s="48" t="s">
        <v>205</v>
      </c>
      <c r="B56" s="63" t="n">
        <v>220</v>
      </c>
      <c r="C56" s="70" t="s">
        <v>193</v>
      </c>
      <c r="D56" s="64" t="s">
        <v>206</v>
      </c>
      <c r="E56" s="65" t="n">
        <v>2.5</v>
      </c>
      <c r="F56" s="63" t="n">
        <v>1</v>
      </c>
      <c r="G56" s="66" t="n">
        <v>0.8</v>
      </c>
      <c r="H56" s="67" t="n">
        <f aca="false">I56*G56</f>
        <v>2640</v>
      </c>
      <c r="I56" s="67" t="n">
        <f aca="false">'Previsão de Cargas'!F22+'Previsão de Cargas'!F23+'Previsão de Cargas'!F24+'Previsão de Cargas'!F27</f>
        <v>3300</v>
      </c>
      <c r="J56" s="67" t="n">
        <f aca="false">SQRT(I56^2-H56^2)</f>
        <v>1980</v>
      </c>
      <c r="K56" s="67" t="n">
        <f aca="false">IF(F56=3, I56/(SQRT(3)*B56), I56/(F56*B56))</f>
        <v>15</v>
      </c>
      <c r="L56" s="63" t="n">
        <v>1</v>
      </c>
      <c r="M56" s="63" t="n">
        <v>16</v>
      </c>
      <c r="N56" s="63" t="n">
        <v>2</v>
      </c>
      <c r="O56" s="63" t="n">
        <v>25</v>
      </c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customFormat="false" ht="15.75" hidden="false" customHeight="true" outlineLevel="0" collapsed="false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customFormat="false" ht="15.75" hidden="false" customHeight="true" outlineLevel="0" collapsed="false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customFormat="false" ht="15.75" hidden="false" customHeight="true" outlineLevel="0" collapsed="false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customFormat="false" ht="15.75" hidden="false" customHeight="true" outlineLevel="0" collapsed="false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customFormat="false" ht="15.75" hidden="false" customHeight="true" outlineLevel="0" collapsed="false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customFormat="false" ht="15.75" hidden="false" customHeight="true" outlineLevel="0" collapsed="false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customFormat="false" ht="15.75" hidden="false" customHeight="true" outlineLevel="0" collapsed="false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customFormat="false" ht="15.75" hidden="false" customHeight="true" outlineLevel="0" collapsed="false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customFormat="false" ht="15.75" hidden="false" customHeight="true" outlineLevel="0" collapsed="false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customFormat="false" ht="15.75" hidden="false" customHeight="true" outlineLevel="0" collapsed="false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customFormat="false" ht="15.75" hidden="false" customHeight="true" outlineLevel="0" collapsed="false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customFormat="false" ht="15.75" hidden="false" customHeight="true" outlineLevel="0" collapsed="false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customFormat="false" ht="15.75" hidden="false" customHeight="true" outlineLevel="0" collapsed="false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customFormat="false" ht="15.75" hidden="false" customHeight="true" outlineLevel="0" collapsed="false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customFormat="false" ht="15.75" hidden="false" customHeight="true" outlineLevel="0" collapsed="false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customFormat="false" ht="15.75" hidden="false" customHeight="true" outlineLevel="0" collapsed="false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customFormat="false" ht="15.7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customFormat="false" ht="15.7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customFormat="false" ht="15.7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customFormat="false" ht="15.7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customFormat="false" ht="15.7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customFormat="false" ht="15.7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customFormat="false" ht="15.75" hidden="false" customHeight="true" outlineLevel="0" collapsed="false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customFormat="false" ht="15.75" hidden="false" customHeight="true" outlineLevel="0" collapsed="false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customFormat="false" ht="15.75" hidden="false" customHeight="true" outlineLevel="0" collapsed="false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customFormat="false" ht="15.75" hidden="false" customHeight="true" outlineLevel="0" collapsed="false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customFormat="false" ht="15.75" hidden="false" customHeight="true" outlineLevel="0" collapsed="false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customFormat="false" ht="15.75" hidden="false" customHeight="true" outlineLevel="0" collapsed="false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customFormat="false" ht="15.75" hidden="false" customHeight="true" outlineLevel="0" collapsed="false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customFormat="false" ht="15.75" hidden="false" customHeight="true" outlineLevel="0" collapsed="false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customFormat="false" ht="15.75" hidden="false" customHeight="true" outlineLevel="0" collapsed="false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customFormat="false" ht="15.75" hidden="false" customHeight="true" outlineLevel="0" collapsed="false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customFormat="false" ht="15.75" hidden="false" customHeight="true" outlineLevel="0" collapsed="false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customFormat="false" ht="15.75" hidden="false" customHeight="true" outlineLevel="0" collapsed="false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customFormat="false" ht="15.75" hidden="false" customHeight="true" outlineLevel="0" collapsed="false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customFormat="false" ht="15.75" hidden="false" customHeight="true" outlineLevel="0" collapsed="false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customFormat="false" ht="15.75" hidden="false" customHeight="true" outlineLevel="0" collapsed="false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customFormat="false" ht="15.75" hidden="false" customHeight="true" outlineLevel="0" collapsed="false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customFormat="false" ht="15.75" hidden="false" customHeight="true" outlineLevel="0" collapsed="false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customFormat="false" ht="15.75" hidden="false" customHeight="true" outlineLevel="0" collapsed="false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customFormat="false" ht="15.75" hidden="false" customHeight="true" outlineLevel="0" collapsed="false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customFormat="false" ht="15.75" hidden="false" customHeight="true" outlineLevel="0" collapsed="false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customFormat="false" ht="15.75" hidden="false" customHeight="true" outlineLevel="0" collapsed="false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customFormat="false" ht="15.75" hidden="false" customHeight="true" outlineLevel="0" collapsed="false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customFormat="false" ht="15.75" hidden="false" customHeight="true" outlineLevel="0" collapsed="false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customFormat="false" ht="15.75" hidden="false" customHeight="true" outlineLevel="0" collapsed="false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customFormat="false" ht="15.75" hidden="false" customHeight="true" outlineLevel="0" collapsed="false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customFormat="false" ht="15.75" hidden="false" customHeight="true" outlineLevel="0" collapsed="false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customFormat="false" ht="15.75" hidden="false" customHeight="true" outlineLevel="0" collapsed="false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customFormat="false" ht="15.75" hidden="false" customHeight="true" outlineLevel="0" collapsed="false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customFormat="false" ht="15.75" hidden="false" customHeight="true" outlineLevel="0" collapsed="false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customFormat="false" ht="15.75" hidden="false" customHeight="true" outlineLevel="0" collapsed="false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customFormat="false" ht="15.75" hidden="false" customHeight="true" outlineLevel="0" collapsed="false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customFormat="false" ht="15.75" hidden="false" customHeight="true" outlineLevel="0" collapsed="false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customFormat="false" ht="15.75" hidden="false" customHeight="true" outlineLevel="0" collapsed="false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customFormat="false" ht="15.75" hidden="false" customHeight="true" outlineLevel="0" collapsed="false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customFormat="false" ht="15.75" hidden="false" customHeight="true" outlineLevel="0" collapsed="false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customFormat="false" ht="15.75" hidden="false" customHeight="true" outlineLevel="0" collapsed="false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customFormat="false" ht="15.75" hidden="false" customHeight="true" outlineLevel="0" collapsed="false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customFormat="false" ht="15.75" hidden="false" customHeight="true" outlineLevel="0" collapsed="false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customFormat="false" ht="15.75" hidden="false" customHeight="true" outlineLevel="0" collapsed="false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customFormat="false" ht="15.75" hidden="false" customHeight="true" outlineLevel="0" collapsed="false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customFormat="false" ht="15.75" hidden="false" customHeight="true" outlineLevel="0" collapsed="false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customFormat="false" ht="15.75" hidden="false" customHeight="true" outlineLevel="0" collapsed="false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customFormat="false" ht="15.75" hidden="false" customHeight="true" outlineLevel="0" collapsed="false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customFormat="false" ht="15.75" hidden="false" customHeight="true" outlineLevel="0" collapsed="false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customFormat="false" ht="15.75" hidden="false" customHeight="true" outlineLevel="0" collapsed="false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customFormat="false" ht="15.75" hidden="false" customHeight="true" outlineLevel="0" collapsed="false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customFormat="false" ht="15.75" hidden="false" customHeight="true" outlineLevel="0" collapsed="false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customFormat="false" ht="15.75" hidden="false" customHeight="true" outlineLevel="0" collapsed="false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customFormat="false" ht="15.75" hidden="false" customHeight="true" outlineLevel="0" collapsed="false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customFormat="false" ht="15.75" hidden="false" customHeight="true" outlineLevel="0" collapsed="false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customFormat="false" ht="15.75" hidden="false" customHeight="true" outlineLevel="0" collapsed="false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customFormat="false" ht="15.75" hidden="false" customHeight="true" outlineLevel="0" collapsed="false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customFormat="false" ht="15.75" hidden="false" customHeight="true" outlineLevel="0" collapsed="false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customFormat="false" ht="15.75" hidden="false" customHeight="true" outlineLevel="0" collapsed="false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customFormat="false" ht="15.75" hidden="false" customHeight="true" outlineLevel="0" collapsed="false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customFormat="false" ht="15.75" hidden="false" customHeight="true" outlineLevel="0" collapsed="false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customFormat="false" ht="15.75" hidden="false" customHeight="true" outlineLevel="0" collapsed="false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customFormat="false" ht="15.75" hidden="false" customHeight="true" outlineLevel="0" collapsed="false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customFormat="false" ht="15.75" hidden="false" customHeight="true" outlineLevel="0" collapsed="false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customFormat="false" ht="15.75" hidden="false" customHeight="true" outlineLevel="0" collapsed="false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customFormat="false" ht="15.75" hidden="false" customHeight="true" outlineLevel="0" collapsed="false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customFormat="false" ht="15.75" hidden="false" customHeight="true" outlineLevel="0" collapsed="false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customFormat="false" ht="15.75" hidden="false" customHeight="true" outlineLevel="0" collapsed="false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customFormat="false" ht="15.75" hidden="false" customHeight="true" outlineLevel="0" collapsed="false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customFormat="false" ht="15.75" hidden="false" customHeight="true" outlineLevel="0" collapsed="false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customFormat="false" ht="15.75" hidden="false" customHeight="true" outlineLevel="0" collapsed="false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customFormat="false" ht="15.75" hidden="false" customHeight="true" outlineLevel="0" collapsed="false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customFormat="false" ht="15.75" hidden="false" customHeight="true" outlineLevel="0" collapsed="false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customFormat="false" ht="15.75" hidden="false" customHeight="true" outlineLevel="0" collapsed="false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customFormat="false" ht="15.75" hidden="false" customHeight="true" outlineLevel="0" collapsed="false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customFormat="false" ht="15.75" hidden="false" customHeight="true" outlineLevel="0" collapsed="false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customFormat="false" ht="15.75" hidden="false" customHeight="true" outlineLevel="0" collapsed="false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customFormat="false" ht="15.75" hidden="false" customHeight="true" outlineLevel="0" collapsed="false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customFormat="false" ht="15.75" hidden="false" customHeight="true" outlineLevel="0" collapsed="false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customFormat="false" ht="15.75" hidden="false" customHeight="true" outlineLevel="0" collapsed="false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customFormat="false" ht="15.75" hidden="false" customHeight="true" outlineLevel="0" collapsed="false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customFormat="false" ht="15.75" hidden="false" customHeight="true" outlineLevel="0" collapsed="false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customFormat="false" ht="15.75" hidden="false" customHeight="true" outlineLevel="0" collapsed="false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customFormat="false" ht="15.75" hidden="false" customHeight="true" outlineLevel="0" collapsed="false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customFormat="false" ht="15.75" hidden="false" customHeight="true" outlineLevel="0" collapsed="false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customFormat="false" ht="15.75" hidden="false" customHeight="true" outlineLevel="0" collapsed="false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customFormat="false" ht="15.75" hidden="false" customHeight="true" outlineLevel="0" collapsed="false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customFormat="false" ht="15.75" hidden="false" customHeight="true" outlineLevel="0" collapsed="false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customFormat="false" ht="15.75" hidden="false" customHeight="true" outlineLevel="0" collapsed="false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customFormat="false" ht="15.75" hidden="false" customHeight="true" outlineLevel="0" collapsed="false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customFormat="false" ht="15.75" hidden="false" customHeight="true" outlineLevel="0" collapsed="false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customFormat="false" ht="15.75" hidden="false" customHeight="true" outlineLevel="0" collapsed="false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customFormat="false" ht="15.75" hidden="false" customHeight="true" outlineLevel="0" collapsed="false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customFormat="false" ht="15.75" hidden="false" customHeight="true" outlineLevel="0" collapsed="false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customFormat="false" ht="15.75" hidden="false" customHeight="true" outlineLevel="0" collapsed="false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customFormat="false" ht="15.75" hidden="false" customHeight="true" outlineLevel="0" collapsed="false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customFormat="false" ht="15.75" hidden="false" customHeight="true" outlineLevel="0" collapsed="false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customFormat="false" ht="15.75" hidden="false" customHeight="true" outlineLevel="0" collapsed="false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customFormat="false" ht="15.75" hidden="false" customHeight="true" outlineLevel="0" collapsed="false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customFormat="false" ht="15.75" hidden="false" customHeight="true" outlineLevel="0" collapsed="false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customFormat="false" ht="15.75" hidden="false" customHeight="true" outlineLevel="0" collapsed="false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customFormat="false" ht="15.75" hidden="false" customHeight="true" outlineLevel="0" collapsed="false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customFormat="false" ht="15.75" hidden="false" customHeight="true" outlineLevel="0" collapsed="false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customFormat="false" ht="15.75" hidden="false" customHeight="true" outlineLevel="0" collapsed="false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customFormat="false" ht="15.75" hidden="false" customHeight="true" outlineLevel="0" collapsed="false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customFormat="false" ht="15.75" hidden="false" customHeight="true" outlineLevel="0" collapsed="false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customFormat="false" ht="15.75" hidden="false" customHeight="true" outlineLevel="0" collapsed="false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customFormat="false" ht="15.75" hidden="false" customHeight="true" outlineLevel="0" collapsed="false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customFormat="false" ht="15.75" hidden="false" customHeight="true" outlineLevel="0" collapsed="false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customFormat="false" ht="15.75" hidden="false" customHeight="true" outlineLevel="0" collapsed="false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customFormat="false" ht="15.75" hidden="false" customHeight="true" outlineLevel="0" collapsed="false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customFormat="false" ht="15.75" hidden="false" customHeight="true" outlineLevel="0" collapsed="false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customFormat="false" ht="15.75" hidden="false" customHeight="true" outlineLevel="0" collapsed="false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customFormat="false" ht="15.75" hidden="false" customHeight="true" outlineLevel="0" collapsed="false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customFormat="false" ht="15.75" hidden="false" customHeight="true" outlineLevel="0" collapsed="false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customFormat="false" ht="15.75" hidden="false" customHeight="true" outlineLevel="0" collapsed="false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customFormat="false" ht="15.75" hidden="false" customHeight="true" outlineLevel="0" collapsed="false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customFormat="false" ht="15.75" hidden="false" customHeight="true" outlineLevel="0" collapsed="false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customFormat="false" ht="15.75" hidden="false" customHeight="true" outlineLevel="0" collapsed="false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customFormat="false" ht="15.75" hidden="false" customHeight="true" outlineLevel="0" collapsed="false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customFormat="false" ht="15.75" hidden="false" customHeight="true" outlineLevel="0" collapsed="false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customFormat="false" ht="15.75" hidden="false" customHeight="true" outlineLevel="0" collapsed="false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customFormat="false" ht="15.75" hidden="false" customHeight="true" outlineLevel="0" collapsed="false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customFormat="false" ht="15.75" hidden="false" customHeight="true" outlineLevel="0" collapsed="false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customFormat="false" ht="15.75" hidden="false" customHeight="true" outlineLevel="0" collapsed="false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customFormat="false" ht="15.75" hidden="false" customHeight="true" outlineLevel="0" collapsed="false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customFormat="false" ht="15.75" hidden="false" customHeight="true" outlineLevel="0" collapsed="false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customFormat="false" ht="15.75" hidden="false" customHeight="true" outlineLevel="0" collapsed="false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customFormat="false" ht="15.75" hidden="false" customHeight="true" outlineLevel="0" collapsed="false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customFormat="false" ht="15.75" hidden="false" customHeight="true" outlineLevel="0" collapsed="false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customFormat="false" ht="15.75" hidden="false" customHeight="true" outlineLevel="0" collapsed="false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customFormat="false" ht="15.75" hidden="false" customHeight="true" outlineLevel="0" collapsed="false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customFormat="false" ht="15.75" hidden="false" customHeight="true" outlineLevel="0" collapsed="false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customFormat="false" ht="15.75" hidden="false" customHeight="true" outlineLevel="0" collapsed="false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customFormat="false" ht="15.75" hidden="false" customHeight="true" outlineLevel="0" collapsed="false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customFormat="false" ht="15.75" hidden="false" customHeight="true" outlineLevel="0" collapsed="false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customFormat="false" ht="15.75" hidden="false" customHeight="true" outlineLevel="0" collapsed="false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customFormat="false" ht="15.75" hidden="false" customHeight="true" outlineLevel="0" collapsed="false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customFormat="false" ht="15.75" hidden="false" customHeight="true" outlineLevel="0" collapsed="false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customFormat="false" ht="15.75" hidden="false" customHeight="true" outlineLevel="0" collapsed="false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customFormat="false" ht="15.75" hidden="false" customHeight="true" outlineLevel="0" collapsed="false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customFormat="false" ht="15.75" hidden="false" customHeight="true" outlineLevel="0" collapsed="false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customFormat="false" ht="15.75" hidden="false" customHeight="true" outlineLevel="0" collapsed="false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customFormat="false" ht="15.75" hidden="false" customHeight="true" outlineLevel="0" collapsed="false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customFormat="false" ht="15.75" hidden="false" customHeight="true" outlineLevel="0" collapsed="false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customFormat="false" ht="15.75" hidden="false" customHeight="true" outlineLevel="0" collapsed="false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customFormat="false" ht="15.75" hidden="false" customHeight="true" outlineLevel="0" collapsed="false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customFormat="false" ht="15.75" hidden="false" customHeight="true" outlineLevel="0" collapsed="false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customFormat="false" ht="15.75" hidden="false" customHeight="true" outlineLevel="0" collapsed="false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customFormat="false" ht="15.75" hidden="false" customHeight="true" outlineLevel="0" collapsed="false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customFormat="false" ht="15.75" hidden="false" customHeight="true" outlineLevel="0" collapsed="false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customFormat="false" ht="15.75" hidden="false" customHeight="true" outlineLevel="0" collapsed="false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customFormat="false" ht="15.75" hidden="false" customHeight="true" outlineLevel="0" collapsed="false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customFormat="false" ht="15.75" hidden="false" customHeight="true" outlineLevel="0" collapsed="false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customFormat="false" ht="15.75" hidden="false" customHeight="true" outlineLevel="0" collapsed="false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customFormat="false" ht="15.75" hidden="false" customHeight="true" outlineLevel="0" collapsed="false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customFormat="false" ht="15.75" hidden="false" customHeight="true" outlineLevel="0" collapsed="false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customFormat="false" ht="15.75" hidden="false" customHeight="true" outlineLevel="0" collapsed="false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customFormat="false" ht="15.75" hidden="false" customHeight="true" outlineLevel="0" collapsed="false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customFormat="false" ht="15.75" hidden="false" customHeight="true" outlineLevel="0" collapsed="false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customFormat="false" ht="15.75" hidden="false" customHeight="true" outlineLevel="0" collapsed="false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customFormat="false" ht="15.75" hidden="false" customHeight="true" outlineLevel="0" collapsed="false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customFormat="false" ht="15.75" hidden="false" customHeight="true" outlineLevel="0" collapsed="false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customFormat="false" ht="15.75" hidden="false" customHeight="true" outlineLevel="0" collapsed="false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customFormat="false" ht="15.75" hidden="false" customHeight="true" outlineLevel="0" collapsed="false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customFormat="false" ht="15.75" hidden="false" customHeight="true" outlineLevel="0" collapsed="false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mergeCells count="16">
    <mergeCell ref="A1:O1"/>
    <mergeCell ref="A2:A3"/>
    <mergeCell ref="B2:B3"/>
    <mergeCell ref="C2:C3"/>
    <mergeCell ref="D2:D3"/>
    <mergeCell ref="E2:E3"/>
    <mergeCell ref="F2:F3"/>
    <mergeCell ref="G2:G3"/>
    <mergeCell ref="H2:J2"/>
    <mergeCell ref="K2:K3"/>
    <mergeCell ref="L2:M2"/>
    <mergeCell ref="N2:O2"/>
    <mergeCell ref="A4:O4"/>
    <mergeCell ref="A18:O18"/>
    <mergeCell ref="A36:O36"/>
    <mergeCell ref="A48:O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.43"/>
    <col collapsed="false" customWidth="true" hidden="false" outlineLevel="0" max="2" min="2" style="0" width="9.43"/>
    <col collapsed="false" customWidth="true" hidden="false" outlineLevel="0" max="3" min="3" style="0" width="40.14"/>
    <col collapsed="false" customWidth="true" hidden="false" outlineLevel="0" max="4" min="4" style="0" width="10.85"/>
    <col collapsed="false" customWidth="true" hidden="false" outlineLevel="0" max="7" min="5" style="0" width="9.43"/>
    <col collapsed="false" customWidth="true" hidden="false" outlineLevel="0" max="8" min="8" style="0" width="10.85"/>
    <col collapsed="false" customWidth="true" hidden="false" outlineLevel="0" max="9" min="9" style="0" width="10.14"/>
    <col collapsed="false" customWidth="true" hidden="false" outlineLevel="0" max="10" min="10" style="0" width="11.57"/>
    <col collapsed="false" customWidth="true" hidden="false" outlineLevel="0" max="11" min="11" style="0" width="10.85"/>
    <col collapsed="false" customWidth="true" hidden="false" outlineLevel="0" max="12" min="12" style="0" width="13"/>
    <col collapsed="false" customWidth="true" hidden="false" outlineLevel="0" max="26" min="13" style="0" width="8.71"/>
  </cols>
  <sheetData>
    <row r="1" customFormat="false" ht="15" hidden="false" customHeight="true" outlineLevel="0" collapsed="false">
      <c r="A1" s="71" t="s">
        <v>207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customFormat="false" ht="15" hidden="false" customHeight="true" outlineLevel="0" collapsed="false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customFormat="false" ht="23.25" hidden="false" customHeight="true" outlineLevel="0" collapsed="false">
      <c r="A3" s="73" t="s">
        <v>99</v>
      </c>
      <c r="B3" s="74" t="s">
        <v>101</v>
      </c>
      <c r="C3" s="74" t="s">
        <v>102</v>
      </c>
      <c r="D3" s="73" t="s">
        <v>208</v>
      </c>
      <c r="E3" s="73" t="s">
        <v>209</v>
      </c>
      <c r="F3" s="73" t="s">
        <v>210</v>
      </c>
      <c r="G3" s="73" t="s">
        <v>211</v>
      </c>
      <c r="H3" s="73" t="s">
        <v>212</v>
      </c>
      <c r="I3" s="73" t="s">
        <v>213</v>
      </c>
      <c r="J3" s="73" t="s">
        <v>214</v>
      </c>
      <c r="K3" s="73" t="s">
        <v>215</v>
      </c>
      <c r="L3" s="73" t="s">
        <v>216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customFormat="false" ht="27.75" hidden="false" customHeight="true" outlineLevel="0" collapsed="false">
      <c r="A4" s="75" t="s">
        <v>116</v>
      </c>
      <c r="B4" s="76"/>
      <c r="C4" s="76"/>
      <c r="D4" s="77"/>
      <c r="E4" s="77"/>
      <c r="F4" s="77"/>
      <c r="G4" s="77"/>
      <c r="H4" s="77"/>
      <c r="I4" s="78"/>
      <c r="J4" s="78"/>
      <c r="K4" s="78"/>
      <c r="L4" s="78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customFormat="false" ht="15" hidden="false" customHeight="true" outlineLevel="0" collapsed="false">
      <c r="A5" s="79" t="s">
        <v>117</v>
      </c>
      <c r="B5" s="79" t="s">
        <v>118</v>
      </c>
      <c r="C5" s="79" t="s">
        <v>119</v>
      </c>
      <c r="D5" s="80" t="n">
        <f aca="false">'Divisão dos Circuitos'!K5</f>
        <v>10.8402203856749</v>
      </c>
      <c r="E5" s="51" t="n">
        <v>1</v>
      </c>
      <c r="F5" s="51" t="n">
        <v>1</v>
      </c>
      <c r="G5" s="51" t="n">
        <v>1</v>
      </c>
      <c r="H5" s="51" t="n">
        <f aca="false">D5/(E5*G5)</f>
        <v>10.8402203856749</v>
      </c>
      <c r="I5" s="50" t="s">
        <v>217</v>
      </c>
      <c r="J5" s="50" t="s">
        <v>218</v>
      </c>
      <c r="K5" s="50" t="n">
        <v>2</v>
      </c>
      <c r="L5" s="50" t="n">
        <v>1.5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customFormat="false" ht="15" hidden="false" customHeight="true" outlineLevel="0" collapsed="false">
      <c r="A6" s="79" t="s">
        <v>120</v>
      </c>
      <c r="B6" s="79" t="s">
        <v>118</v>
      </c>
      <c r="C6" s="79" t="s">
        <v>121</v>
      </c>
      <c r="D6" s="80" t="n">
        <f aca="false">'Divisão dos Circuitos'!K6</f>
        <v>10.9090909090909</v>
      </c>
      <c r="E6" s="51" t="n">
        <v>1</v>
      </c>
      <c r="F6" s="51" t="n">
        <v>1</v>
      </c>
      <c r="G6" s="51" t="n">
        <v>1</v>
      </c>
      <c r="H6" s="51" t="n">
        <f aca="false">D6/(E6*G6)</f>
        <v>10.9090909090909</v>
      </c>
      <c r="I6" s="50" t="s">
        <v>217</v>
      </c>
      <c r="J6" s="50" t="s">
        <v>218</v>
      </c>
      <c r="K6" s="50" t="n">
        <v>2</v>
      </c>
      <c r="L6" s="50" t="n">
        <v>2.5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customFormat="false" ht="15" hidden="false" customHeight="true" outlineLevel="0" collapsed="false">
      <c r="A7" s="79" t="s">
        <v>122</v>
      </c>
      <c r="B7" s="79" t="s">
        <v>118</v>
      </c>
      <c r="C7" s="79" t="s">
        <v>123</v>
      </c>
      <c r="D7" s="80" t="n">
        <f aca="false">'Divisão dos Circuitos'!K7</f>
        <v>8.18181818181818</v>
      </c>
      <c r="E7" s="51" t="n">
        <v>1</v>
      </c>
      <c r="F7" s="51" t="n">
        <v>1</v>
      </c>
      <c r="G7" s="51" t="n">
        <v>1</v>
      </c>
      <c r="H7" s="51" t="n">
        <f aca="false">D7/(E7*G7)</f>
        <v>8.18181818181818</v>
      </c>
      <c r="I7" s="50" t="s">
        <v>217</v>
      </c>
      <c r="J7" s="50" t="s">
        <v>218</v>
      </c>
      <c r="K7" s="50" t="n">
        <v>2</v>
      </c>
      <c r="L7" s="50" t="n">
        <v>2.5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customFormat="false" ht="15" hidden="false" customHeight="true" outlineLevel="0" collapsed="false">
      <c r="A8" s="79" t="s">
        <v>124</v>
      </c>
      <c r="B8" s="79" t="s">
        <v>118</v>
      </c>
      <c r="C8" s="79" t="s">
        <v>125</v>
      </c>
      <c r="D8" s="80" t="n">
        <f aca="false">'Divisão dos Circuitos'!K8</f>
        <v>10.9090909090909</v>
      </c>
      <c r="E8" s="51" t="n">
        <v>1</v>
      </c>
      <c r="F8" s="51" t="n">
        <v>1</v>
      </c>
      <c r="G8" s="51" t="n">
        <v>1</v>
      </c>
      <c r="H8" s="51" t="n">
        <f aca="false">D8/(E8*G8)</f>
        <v>10.9090909090909</v>
      </c>
      <c r="I8" s="50" t="s">
        <v>217</v>
      </c>
      <c r="J8" s="50" t="s">
        <v>218</v>
      </c>
      <c r="K8" s="50" t="n">
        <v>2</v>
      </c>
      <c r="L8" s="50" t="n">
        <v>2.5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customFormat="false" ht="15" hidden="false" customHeight="true" outlineLevel="0" collapsed="false">
      <c r="A9" s="79" t="s">
        <v>126</v>
      </c>
      <c r="B9" s="79" t="s">
        <v>118</v>
      </c>
      <c r="C9" s="79" t="s">
        <v>127</v>
      </c>
      <c r="D9" s="80" t="n">
        <f aca="false">'Divisão dos Circuitos'!K9</f>
        <v>8.18181818181818</v>
      </c>
      <c r="E9" s="51" t="n">
        <v>1</v>
      </c>
      <c r="F9" s="51" t="n">
        <v>1</v>
      </c>
      <c r="G9" s="51" t="n">
        <v>1</v>
      </c>
      <c r="H9" s="51" t="n">
        <f aca="false">D9/(E9*G9)</f>
        <v>8.18181818181818</v>
      </c>
      <c r="I9" s="50" t="s">
        <v>217</v>
      </c>
      <c r="J9" s="50" t="s">
        <v>218</v>
      </c>
      <c r="K9" s="50" t="n">
        <v>2</v>
      </c>
      <c r="L9" s="50" t="n">
        <v>2.5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customFormat="false" ht="15" hidden="false" customHeight="true" outlineLevel="0" collapsed="false">
      <c r="A10" s="79" t="s">
        <v>128</v>
      </c>
      <c r="B10" s="79" t="s">
        <v>118</v>
      </c>
      <c r="C10" s="79" t="s">
        <v>121</v>
      </c>
      <c r="D10" s="80" t="n">
        <f aca="false">'Divisão dos Circuitos'!K10</f>
        <v>18.2321137638829</v>
      </c>
      <c r="E10" s="51" t="n">
        <v>1</v>
      </c>
      <c r="F10" s="51" t="n">
        <v>1</v>
      </c>
      <c r="G10" s="51" t="n">
        <v>1</v>
      </c>
      <c r="H10" s="51" t="n">
        <f aca="false">D10/(E10*G10)</f>
        <v>18.2321137638829</v>
      </c>
      <c r="I10" s="50" t="s">
        <v>217</v>
      </c>
      <c r="J10" s="50" t="s">
        <v>218</v>
      </c>
      <c r="K10" s="50" t="n">
        <v>3</v>
      </c>
      <c r="L10" s="50" t="n">
        <v>2.5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customFormat="false" ht="15" hidden="false" customHeight="true" outlineLevel="0" collapsed="false">
      <c r="A11" s="79" t="s">
        <v>129</v>
      </c>
      <c r="B11" s="79" t="s">
        <v>118</v>
      </c>
      <c r="C11" s="79" t="s">
        <v>125</v>
      </c>
      <c r="D11" s="80" t="n">
        <f aca="false">'Divisão dos Circuitos'!K11</f>
        <v>18.2321137638829</v>
      </c>
      <c r="E11" s="51" t="n">
        <v>1</v>
      </c>
      <c r="F11" s="51" t="n">
        <v>1</v>
      </c>
      <c r="G11" s="51" t="n">
        <v>1</v>
      </c>
      <c r="H11" s="51" t="n">
        <f aca="false">D11/(E11*G11)</f>
        <v>18.2321137638829</v>
      </c>
      <c r="I11" s="50" t="s">
        <v>217</v>
      </c>
      <c r="J11" s="50" t="s">
        <v>218</v>
      </c>
      <c r="K11" s="50" t="n">
        <v>3</v>
      </c>
      <c r="L11" s="50" t="n">
        <v>2.5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customFormat="false" ht="15" hidden="false" customHeight="true" outlineLevel="0" collapsed="false">
      <c r="A12" s="79" t="s">
        <v>130</v>
      </c>
      <c r="B12" s="79" t="s">
        <v>118</v>
      </c>
      <c r="C12" s="79" t="s">
        <v>123</v>
      </c>
      <c r="D12" s="80" t="n">
        <f aca="false">'Divisão dos Circuitos'!K12</f>
        <v>18.2321137638829</v>
      </c>
      <c r="E12" s="51" t="n">
        <v>1</v>
      </c>
      <c r="F12" s="51" t="n">
        <v>1</v>
      </c>
      <c r="G12" s="51" t="n">
        <v>1</v>
      </c>
      <c r="H12" s="51" t="n">
        <f aca="false">D12/(E12*G12)</f>
        <v>18.2321137638829</v>
      </c>
      <c r="I12" s="50" t="s">
        <v>217</v>
      </c>
      <c r="J12" s="50" t="s">
        <v>218</v>
      </c>
      <c r="K12" s="50" t="n">
        <v>3</v>
      </c>
      <c r="L12" s="50" t="n">
        <v>2.5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customFormat="false" ht="15" hidden="false" customHeight="true" outlineLevel="0" collapsed="false">
      <c r="A13" s="79" t="s">
        <v>131</v>
      </c>
      <c r="B13" s="79" t="s">
        <v>118</v>
      </c>
      <c r="C13" s="79" t="s">
        <v>127</v>
      </c>
      <c r="D13" s="80" t="n">
        <f aca="false">'Divisão dos Circuitos'!K13</f>
        <v>18.2321137638829</v>
      </c>
      <c r="E13" s="51" t="n">
        <v>1</v>
      </c>
      <c r="F13" s="51" t="n">
        <v>1</v>
      </c>
      <c r="G13" s="51" t="n">
        <v>1</v>
      </c>
      <c r="H13" s="51" t="n">
        <f aca="false">D13/(E13*G13)</f>
        <v>18.2321137638829</v>
      </c>
      <c r="I13" s="50" t="s">
        <v>217</v>
      </c>
      <c r="J13" s="50" t="s">
        <v>218</v>
      </c>
      <c r="K13" s="50" t="n">
        <v>3</v>
      </c>
      <c r="L13" s="50" t="n">
        <v>2.5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customFormat="false" ht="15" hidden="false" customHeight="true" outlineLevel="0" collapsed="false">
      <c r="A14" s="79" t="s">
        <v>132</v>
      </c>
      <c r="B14" s="79" t="s">
        <v>118</v>
      </c>
      <c r="C14" s="79" t="s">
        <v>133</v>
      </c>
      <c r="D14" s="80" t="n">
        <f aca="false">'Divisão dos Circuitos'!K14</f>
        <v>13.6363636363636</v>
      </c>
      <c r="E14" s="51" t="n">
        <v>1</v>
      </c>
      <c r="F14" s="51" t="n">
        <v>1</v>
      </c>
      <c r="G14" s="51" t="n">
        <v>1</v>
      </c>
      <c r="H14" s="51" t="n">
        <f aca="false">D14/(E14*G14)</f>
        <v>13.6363636363636</v>
      </c>
      <c r="I14" s="50" t="s">
        <v>217</v>
      </c>
      <c r="J14" s="50" t="s">
        <v>218</v>
      </c>
      <c r="K14" s="50" t="n">
        <v>2</v>
      </c>
      <c r="L14" s="50" t="n">
        <v>2.5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customFormat="false" ht="15" hidden="false" customHeight="true" outlineLevel="0" collapsed="false">
      <c r="A15" s="79" t="s">
        <v>134</v>
      </c>
      <c r="B15" s="79" t="s">
        <v>118</v>
      </c>
      <c r="C15" s="79" t="s">
        <v>135</v>
      </c>
      <c r="D15" s="80" t="n">
        <f aca="false">'Divisão dos Circuitos'!K15</f>
        <v>10</v>
      </c>
      <c r="E15" s="51" t="n">
        <v>1</v>
      </c>
      <c r="F15" s="51" t="n">
        <v>1</v>
      </c>
      <c r="G15" s="51" t="n">
        <v>1</v>
      </c>
      <c r="H15" s="51" t="n">
        <f aca="false">D15/(E15*G15)</f>
        <v>10</v>
      </c>
      <c r="I15" s="50" t="s">
        <v>217</v>
      </c>
      <c r="J15" s="50" t="s">
        <v>218</v>
      </c>
      <c r="K15" s="50" t="n">
        <v>2</v>
      </c>
      <c r="L15" s="50" t="n">
        <v>2.5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customFormat="false" ht="15" hidden="false" customHeight="true" outlineLevel="0" collapsed="false">
      <c r="A16" s="79" t="s">
        <v>136</v>
      </c>
      <c r="B16" s="79" t="s">
        <v>118</v>
      </c>
      <c r="C16" s="79" t="s">
        <v>137</v>
      </c>
      <c r="D16" s="80" t="n">
        <f aca="false">'Divisão dos Circuitos'!K16</f>
        <v>9.09090909090909</v>
      </c>
      <c r="E16" s="51" t="n">
        <v>1</v>
      </c>
      <c r="F16" s="51" t="n">
        <v>1</v>
      </c>
      <c r="G16" s="51" t="n">
        <v>1</v>
      </c>
      <c r="H16" s="51" t="n">
        <f aca="false">D16/(E16*G16)</f>
        <v>9.09090909090909</v>
      </c>
      <c r="I16" s="50" t="s">
        <v>217</v>
      </c>
      <c r="J16" s="50" t="s">
        <v>218</v>
      </c>
      <c r="K16" s="50" t="n">
        <v>2</v>
      </c>
      <c r="L16" s="50" t="n">
        <v>2.5</v>
      </c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customFormat="false" ht="15" hidden="false" customHeight="true" outlineLevel="0" collapsed="false">
      <c r="A17" s="79" t="s">
        <v>138</v>
      </c>
      <c r="B17" s="79" t="s">
        <v>118</v>
      </c>
      <c r="C17" s="79" t="s">
        <v>139</v>
      </c>
      <c r="D17" s="80" t="n">
        <f aca="false">'Divisão dos Circuitos'!K17</f>
        <v>15.4545454545455</v>
      </c>
      <c r="E17" s="51" t="n">
        <v>1</v>
      </c>
      <c r="F17" s="51" t="n">
        <v>1</v>
      </c>
      <c r="G17" s="51" t="n">
        <v>1</v>
      </c>
      <c r="H17" s="51" t="n">
        <f aca="false">D17/(E17*G17)</f>
        <v>15.4545454545455</v>
      </c>
      <c r="I17" s="50" t="s">
        <v>217</v>
      </c>
      <c r="J17" s="50" t="s">
        <v>218</v>
      </c>
      <c r="K17" s="50" t="n">
        <v>2</v>
      </c>
      <c r="L17" s="50" t="n">
        <v>2.5</v>
      </c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customFormat="false" ht="15" hidden="false" customHeight="true" outlineLevel="0" collapsed="false">
      <c r="A18" s="78" t="s">
        <v>140</v>
      </c>
      <c r="B18" s="78"/>
      <c r="C18" s="78"/>
      <c r="D18" s="77"/>
      <c r="E18" s="77"/>
      <c r="F18" s="77"/>
      <c r="G18" s="77"/>
      <c r="H18" s="77"/>
      <c r="I18" s="78"/>
      <c r="J18" s="78"/>
      <c r="K18" s="78"/>
      <c r="L18" s="78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customFormat="false" ht="15" hidden="false" customHeight="true" outlineLevel="0" collapsed="false">
      <c r="A19" s="79" t="s">
        <v>141</v>
      </c>
      <c r="B19" s="79" t="s">
        <v>142</v>
      </c>
      <c r="C19" s="79" t="s">
        <v>143</v>
      </c>
      <c r="D19" s="80" t="n">
        <f aca="false">'Divisão dos Circuitos'!K19</f>
        <v>8.87235996326905</v>
      </c>
      <c r="E19" s="51" t="n">
        <v>1</v>
      </c>
      <c r="F19" s="51" t="n">
        <v>3</v>
      </c>
      <c r="G19" s="51" t="n">
        <v>0.7</v>
      </c>
      <c r="H19" s="51" t="n">
        <f aca="false">D19/(E19*G19)</f>
        <v>12.6747999475272</v>
      </c>
      <c r="I19" s="50" t="s">
        <v>217</v>
      </c>
      <c r="J19" s="50" t="s">
        <v>218</v>
      </c>
      <c r="K19" s="50" t="n">
        <v>2</v>
      </c>
      <c r="L19" s="50" t="n">
        <v>1.5</v>
      </c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customFormat="false" ht="15.75" hidden="false" customHeight="true" outlineLevel="0" collapsed="false">
      <c r="A20" s="79" t="s">
        <v>144</v>
      </c>
      <c r="B20" s="79" t="s">
        <v>142</v>
      </c>
      <c r="C20" s="79" t="s">
        <v>53</v>
      </c>
      <c r="D20" s="80" t="n">
        <f aca="false">'Divisão dos Circuitos'!K20</f>
        <v>7.58815426997245</v>
      </c>
      <c r="E20" s="51" t="n">
        <v>1</v>
      </c>
      <c r="F20" s="51" t="n">
        <v>1</v>
      </c>
      <c r="G20" s="51" t="n">
        <v>1</v>
      </c>
      <c r="H20" s="51" t="n">
        <f aca="false">D20/(E20*G20)</f>
        <v>7.58815426997245</v>
      </c>
      <c r="I20" s="50" t="s">
        <v>217</v>
      </c>
      <c r="J20" s="50" t="s">
        <v>218</v>
      </c>
      <c r="K20" s="50" t="n">
        <v>2</v>
      </c>
      <c r="L20" s="50" t="n">
        <v>1.5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customFormat="false" ht="15" hidden="false" customHeight="true" outlineLevel="0" collapsed="false">
      <c r="A21" s="79" t="s">
        <v>145</v>
      </c>
      <c r="B21" s="79" t="s">
        <v>142</v>
      </c>
      <c r="C21" s="79" t="s">
        <v>146</v>
      </c>
      <c r="D21" s="80" t="n">
        <f aca="false">'Divisão dos Circuitos'!K21</f>
        <v>5.45454545454545</v>
      </c>
      <c r="E21" s="51" t="n">
        <v>1</v>
      </c>
      <c r="F21" s="51" t="n">
        <v>3</v>
      </c>
      <c r="G21" s="51" t="n">
        <v>0.7</v>
      </c>
      <c r="H21" s="51" t="n">
        <f aca="false">D21/(E21*G21)</f>
        <v>7.79220779220779</v>
      </c>
      <c r="I21" s="50" t="s">
        <v>219</v>
      </c>
      <c r="J21" s="50" t="s">
        <v>218</v>
      </c>
      <c r="K21" s="50" t="n">
        <v>2</v>
      </c>
      <c r="L21" s="50" t="n">
        <v>2.5</v>
      </c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customFormat="false" ht="15" hidden="false" customHeight="true" outlineLevel="0" collapsed="false">
      <c r="A22" s="79" t="s">
        <v>147</v>
      </c>
      <c r="B22" s="79" t="s">
        <v>142</v>
      </c>
      <c r="C22" s="79" t="s">
        <v>148</v>
      </c>
      <c r="D22" s="80" t="n">
        <f aca="false">'Divisão dos Circuitos'!K22</f>
        <v>10.9090909090909</v>
      </c>
      <c r="E22" s="51" t="n">
        <v>1</v>
      </c>
      <c r="F22" s="51" t="n">
        <v>1</v>
      </c>
      <c r="G22" s="51" t="n">
        <v>1</v>
      </c>
      <c r="H22" s="51" t="n">
        <f aca="false">D22/(E22*G22)</f>
        <v>10.9090909090909</v>
      </c>
      <c r="I22" s="50" t="s">
        <v>217</v>
      </c>
      <c r="J22" s="50" t="s">
        <v>218</v>
      </c>
      <c r="K22" s="50" t="n">
        <v>2</v>
      </c>
      <c r="L22" s="50" t="n">
        <v>2.5</v>
      </c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customFormat="false" ht="15" hidden="false" customHeight="true" outlineLevel="0" collapsed="false">
      <c r="A23" s="79" t="s">
        <v>149</v>
      </c>
      <c r="B23" s="79" t="s">
        <v>142</v>
      </c>
      <c r="C23" s="79" t="s">
        <v>150</v>
      </c>
      <c r="D23" s="80" t="n">
        <f aca="false">'Divisão dos Circuitos'!K23</f>
        <v>8.18181818181818</v>
      </c>
      <c r="E23" s="51" t="n">
        <v>1</v>
      </c>
      <c r="F23" s="51" t="n">
        <v>1</v>
      </c>
      <c r="G23" s="51" t="n">
        <v>1</v>
      </c>
      <c r="H23" s="51" t="n">
        <f aca="false">D23/(E23*G23)</f>
        <v>8.18181818181818</v>
      </c>
      <c r="I23" s="50" t="s">
        <v>217</v>
      </c>
      <c r="J23" s="50" t="s">
        <v>218</v>
      </c>
      <c r="K23" s="50" t="n">
        <v>2</v>
      </c>
      <c r="L23" s="50" t="n">
        <v>2.5</v>
      </c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customFormat="false" ht="15" hidden="false" customHeight="true" outlineLevel="0" collapsed="false">
      <c r="A24" s="79" t="s">
        <v>151</v>
      </c>
      <c r="B24" s="79" t="s">
        <v>142</v>
      </c>
      <c r="C24" s="79" t="s">
        <v>152</v>
      </c>
      <c r="D24" s="80" t="n">
        <f aca="false">'Divisão dos Circuitos'!K24</f>
        <v>10.9090909090909</v>
      </c>
      <c r="E24" s="51" t="n">
        <v>1</v>
      </c>
      <c r="F24" s="51" t="n">
        <v>1</v>
      </c>
      <c r="G24" s="51" t="n">
        <v>1</v>
      </c>
      <c r="H24" s="51" t="n">
        <f aca="false">D24/(E24*G24)</f>
        <v>10.9090909090909</v>
      </c>
      <c r="I24" s="50" t="s">
        <v>217</v>
      </c>
      <c r="J24" s="50" t="s">
        <v>218</v>
      </c>
      <c r="K24" s="50" t="n">
        <v>2</v>
      </c>
      <c r="L24" s="50" t="n">
        <v>2.5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customFormat="false" ht="15" hidden="false" customHeight="true" outlineLevel="0" collapsed="false">
      <c r="A25" s="79" t="s">
        <v>153</v>
      </c>
      <c r="B25" s="79" t="s">
        <v>142</v>
      </c>
      <c r="C25" s="79" t="s">
        <v>154</v>
      </c>
      <c r="D25" s="80" t="n">
        <f aca="false">'Divisão dos Circuitos'!K25</f>
        <v>8.18181818181818</v>
      </c>
      <c r="E25" s="51" t="n">
        <v>1</v>
      </c>
      <c r="F25" s="51" t="n">
        <v>1</v>
      </c>
      <c r="G25" s="51" t="n">
        <v>1</v>
      </c>
      <c r="H25" s="51" t="n">
        <f aca="false">D25/(E25*G25)</f>
        <v>8.18181818181818</v>
      </c>
      <c r="I25" s="50" t="s">
        <v>217</v>
      </c>
      <c r="J25" s="50" t="s">
        <v>218</v>
      </c>
      <c r="K25" s="50" t="n">
        <v>2</v>
      </c>
      <c r="L25" s="50" t="n">
        <v>2.5</v>
      </c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customFormat="false" ht="15.75" hidden="false" customHeight="true" outlineLevel="0" collapsed="false">
      <c r="A26" s="79" t="s">
        <v>155</v>
      </c>
      <c r="B26" s="79" t="s">
        <v>142</v>
      </c>
      <c r="C26" s="79" t="s">
        <v>156</v>
      </c>
      <c r="D26" s="80" t="n">
        <f aca="false">'Divisão dos Circuitos'!K26</f>
        <v>8.18181818181818</v>
      </c>
      <c r="E26" s="51" t="n">
        <v>1</v>
      </c>
      <c r="F26" s="51" t="n">
        <v>1</v>
      </c>
      <c r="G26" s="51" t="n">
        <v>1</v>
      </c>
      <c r="H26" s="51" t="n">
        <f aca="false">D26/(E26*G26)</f>
        <v>8.18181818181818</v>
      </c>
      <c r="I26" s="50" t="s">
        <v>217</v>
      </c>
      <c r="J26" s="50" t="s">
        <v>218</v>
      </c>
      <c r="K26" s="50" t="n">
        <v>2</v>
      </c>
      <c r="L26" s="50" t="n">
        <v>2.5</v>
      </c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customFormat="false" ht="15.75" hidden="false" customHeight="true" outlineLevel="0" collapsed="false">
      <c r="A27" s="79" t="s">
        <v>157</v>
      </c>
      <c r="B27" s="79" t="s">
        <v>142</v>
      </c>
      <c r="C27" s="79" t="s">
        <v>158</v>
      </c>
      <c r="D27" s="80" t="n">
        <f aca="false">'Divisão dos Circuitos'!K27</f>
        <v>8.18181818181818</v>
      </c>
      <c r="E27" s="51" t="n">
        <v>1</v>
      </c>
      <c r="F27" s="51" t="n">
        <v>1</v>
      </c>
      <c r="G27" s="51" t="n">
        <v>1</v>
      </c>
      <c r="H27" s="51" t="n">
        <f aca="false">D27/(E27*G27)</f>
        <v>8.18181818181818</v>
      </c>
      <c r="I27" s="50" t="s">
        <v>217</v>
      </c>
      <c r="J27" s="50" t="s">
        <v>218</v>
      </c>
      <c r="K27" s="50" t="n">
        <v>2</v>
      </c>
      <c r="L27" s="50" t="n">
        <v>2.5</v>
      </c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customFormat="false" ht="15" hidden="false" customHeight="true" outlineLevel="0" collapsed="false">
      <c r="A28" s="79" t="s">
        <v>159</v>
      </c>
      <c r="B28" s="79" t="s">
        <v>142</v>
      </c>
      <c r="C28" s="79" t="s">
        <v>148</v>
      </c>
      <c r="D28" s="80" t="n">
        <f aca="false">'Divisão dos Circuitos'!K28</f>
        <v>18.2321137638829</v>
      </c>
      <c r="E28" s="51" t="n">
        <v>1</v>
      </c>
      <c r="F28" s="51" t="n">
        <v>1</v>
      </c>
      <c r="G28" s="51" t="n">
        <v>1</v>
      </c>
      <c r="H28" s="51" t="n">
        <f aca="false">D28/(E28*G28)</f>
        <v>18.2321137638829</v>
      </c>
      <c r="I28" s="50" t="s">
        <v>217</v>
      </c>
      <c r="J28" s="50" t="s">
        <v>218</v>
      </c>
      <c r="K28" s="50" t="n">
        <v>3</v>
      </c>
      <c r="L28" s="50" t="n">
        <v>2.5</v>
      </c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customFormat="false" ht="15" hidden="false" customHeight="true" outlineLevel="0" collapsed="false">
      <c r="A29" s="79" t="s">
        <v>160</v>
      </c>
      <c r="B29" s="79" t="s">
        <v>142</v>
      </c>
      <c r="C29" s="79" t="s">
        <v>150</v>
      </c>
      <c r="D29" s="80" t="n">
        <f aca="false">'Divisão dos Circuitos'!K29</f>
        <v>18.2321137638829</v>
      </c>
      <c r="E29" s="51" t="n">
        <v>1</v>
      </c>
      <c r="F29" s="51" t="n">
        <v>1</v>
      </c>
      <c r="G29" s="51" t="n">
        <v>1</v>
      </c>
      <c r="H29" s="51" t="n">
        <f aca="false">D29/(E29*G29)</f>
        <v>18.2321137638829</v>
      </c>
      <c r="I29" s="50" t="s">
        <v>217</v>
      </c>
      <c r="J29" s="50" t="s">
        <v>218</v>
      </c>
      <c r="K29" s="50" t="n">
        <v>3</v>
      </c>
      <c r="L29" s="50" t="n">
        <v>2.5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customFormat="false" ht="15.75" hidden="false" customHeight="true" outlineLevel="0" collapsed="false">
      <c r="A30" s="79" t="s">
        <v>161</v>
      </c>
      <c r="B30" s="79" t="s">
        <v>142</v>
      </c>
      <c r="C30" s="79" t="s">
        <v>152</v>
      </c>
      <c r="D30" s="80" t="n">
        <f aca="false">'Divisão dos Circuitos'!K30</f>
        <v>18.2321137638829</v>
      </c>
      <c r="E30" s="51" t="n">
        <v>1</v>
      </c>
      <c r="F30" s="51" t="n">
        <v>1</v>
      </c>
      <c r="G30" s="51" t="n">
        <v>1</v>
      </c>
      <c r="H30" s="51" t="n">
        <f aca="false">D30/(E30*G30)</f>
        <v>18.2321137638829</v>
      </c>
      <c r="I30" s="50" t="s">
        <v>217</v>
      </c>
      <c r="J30" s="50" t="s">
        <v>218</v>
      </c>
      <c r="K30" s="50" t="n">
        <v>3</v>
      </c>
      <c r="L30" s="50" t="n">
        <v>2.5</v>
      </c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customFormat="false" ht="15.75" hidden="false" customHeight="true" outlineLevel="0" collapsed="false">
      <c r="A31" s="79" t="s">
        <v>162</v>
      </c>
      <c r="B31" s="79" t="s">
        <v>142</v>
      </c>
      <c r="C31" s="79" t="s">
        <v>53</v>
      </c>
      <c r="D31" s="80" t="n">
        <f aca="false">'Divisão dos Circuitos'!K31</f>
        <v>27.3481706458244</v>
      </c>
      <c r="E31" s="51" t="n">
        <v>1</v>
      </c>
      <c r="F31" s="51" t="n">
        <v>1</v>
      </c>
      <c r="G31" s="51" t="n">
        <v>1</v>
      </c>
      <c r="H31" s="51" t="n">
        <f aca="false">D31/(E31*G31)</f>
        <v>27.3481706458244</v>
      </c>
      <c r="I31" s="50" t="s">
        <v>217</v>
      </c>
      <c r="J31" s="50" t="s">
        <v>218</v>
      </c>
      <c r="K31" s="50" t="n">
        <v>3</v>
      </c>
      <c r="L31" s="50" t="n">
        <v>6</v>
      </c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customFormat="false" ht="15.75" hidden="false" customHeight="true" outlineLevel="0" collapsed="false">
      <c r="A32" s="79" t="s">
        <v>163</v>
      </c>
      <c r="B32" s="79" t="s">
        <v>142</v>
      </c>
      <c r="C32" s="79" t="s">
        <v>164</v>
      </c>
      <c r="D32" s="80" t="n">
        <f aca="false">'Divisão dos Circuitos'!K32</f>
        <v>13.9146567717996</v>
      </c>
      <c r="E32" s="51" t="n">
        <v>1</v>
      </c>
      <c r="F32" s="51" t="n">
        <v>3</v>
      </c>
      <c r="G32" s="51" t="n">
        <v>0.7</v>
      </c>
      <c r="H32" s="51" t="n">
        <f aca="false">D32/(E32*G32)</f>
        <v>19.8780811025709</v>
      </c>
      <c r="I32" s="50" t="s">
        <v>219</v>
      </c>
      <c r="J32" s="50" t="s">
        <v>218</v>
      </c>
      <c r="K32" s="50" t="n">
        <v>2</v>
      </c>
      <c r="L32" s="50" t="n">
        <v>2.5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customFormat="false" ht="15.75" hidden="false" customHeight="true" outlineLevel="0" collapsed="false">
      <c r="A33" s="79" t="s">
        <v>165</v>
      </c>
      <c r="B33" s="79" t="s">
        <v>142</v>
      </c>
      <c r="C33" s="79" t="s">
        <v>154</v>
      </c>
      <c r="D33" s="80" t="n">
        <f aca="false">'Divisão dos Circuitos'!K33</f>
        <v>18.2321137638829</v>
      </c>
      <c r="E33" s="51" t="n">
        <v>1</v>
      </c>
      <c r="F33" s="51" t="n">
        <v>1</v>
      </c>
      <c r="G33" s="51" t="n">
        <v>1</v>
      </c>
      <c r="H33" s="51" t="n">
        <f aca="false">D33/(E33*G33)</f>
        <v>18.2321137638829</v>
      </c>
      <c r="I33" s="50" t="s">
        <v>217</v>
      </c>
      <c r="J33" s="50" t="s">
        <v>218</v>
      </c>
      <c r="K33" s="50" t="n">
        <v>3</v>
      </c>
      <c r="L33" s="50" t="n">
        <v>2.5</v>
      </c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customFormat="false" ht="15.75" hidden="false" customHeight="true" outlineLevel="0" collapsed="false">
      <c r="A34" s="79" t="s">
        <v>166</v>
      </c>
      <c r="B34" s="79" t="s">
        <v>142</v>
      </c>
      <c r="C34" s="79" t="s">
        <v>90</v>
      </c>
      <c r="D34" s="80" t="n">
        <f aca="false">'Divisão dos Circuitos'!K34</f>
        <v>12.7272727272727</v>
      </c>
      <c r="E34" s="51" t="n">
        <v>1</v>
      </c>
      <c r="F34" s="51" t="n">
        <v>1</v>
      </c>
      <c r="G34" s="51" t="n">
        <v>1</v>
      </c>
      <c r="H34" s="51" t="n">
        <f aca="false">D34/(E34*G34)</f>
        <v>12.7272727272727</v>
      </c>
      <c r="I34" s="50" t="s">
        <v>217</v>
      </c>
      <c r="J34" s="50" t="s">
        <v>218</v>
      </c>
      <c r="K34" s="50" t="n">
        <v>2</v>
      </c>
      <c r="L34" s="50" t="n">
        <v>2.5</v>
      </c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customFormat="false" ht="15.75" hidden="false" customHeight="true" outlineLevel="0" collapsed="false">
      <c r="A35" s="79" t="s">
        <v>167</v>
      </c>
      <c r="B35" s="79" t="s">
        <v>142</v>
      </c>
      <c r="C35" s="79" t="s">
        <v>91</v>
      </c>
      <c r="D35" s="80" t="n">
        <f aca="false">'Divisão dos Circuitos'!K35</f>
        <v>17.8947368421053</v>
      </c>
      <c r="E35" s="51" t="n">
        <v>1</v>
      </c>
      <c r="F35" s="51" t="n">
        <v>1</v>
      </c>
      <c r="G35" s="51" t="n">
        <v>1</v>
      </c>
      <c r="H35" s="51" t="n">
        <f aca="false">D35/(E35*G35)</f>
        <v>17.8947368421053</v>
      </c>
      <c r="I35" s="50" t="s">
        <v>217</v>
      </c>
      <c r="J35" s="50" t="s">
        <v>218</v>
      </c>
      <c r="K35" s="50" t="n">
        <v>2</v>
      </c>
      <c r="L35" s="50" t="n">
        <v>2.5</v>
      </c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customFormat="false" ht="15.75" hidden="false" customHeight="true" outlineLevel="0" collapsed="false">
      <c r="A36" s="78" t="s">
        <v>168</v>
      </c>
      <c r="B36" s="78"/>
      <c r="C36" s="78"/>
      <c r="D36" s="77"/>
      <c r="E36" s="77"/>
      <c r="F36" s="77"/>
      <c r="G36" s="77"/>
      <c r="H36" s="77"/>
      <c r="I36" s="78"/>
      <c r="J36" s="78"/>
      <c r="K36" s="78"/>
      <c r="L36" s="78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customFormat="false" ht="15.75" hidden="false" customHeight="true" outlineLevel="0" collapsed="false">
      <c r="A37" s="79" t="s">
        <v>169</v>
      </c>
      <c r="B37" s="79" t="s">
        <v>170</v>
      </c>
      <c r="C37" s="79" t="s">
        <v>171</v>
      </c>
      <c r="D37" s="80" t="n">
        <f aca="false">'Divisão dos Circuitos'!K37</f>
        <v>8.90909090909091</v>
      </c>
      <c r="E37" s="51" t="n">
        <v>1</v>
      </c>
      <c r="F37" s="51" t="n">
        <v>3</v>
      </c>
      <c r="G37" s="51" t="n">
        <v>0.7</v>
      </c>
      <c r="H37" s="51" t="n">
        <f aca="false">D37/(E37*G37)</f>
        <v>12.7272727272727</v>
      </c>
      <c r="I37" s="50" t="s">
        <v>219</v>
      </c>
      <c r="J37" s="50" t="s">
        <v>218</v>
      </c>
      <c r="K37" s="50" t="n">
        <v>2</v>
      </c>
      <c r="L37" s="50" t="n">
        <v>1.5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customFormat="false" ht="15.75" hidden="false" customHeight="true" outlineLevel="0" collapsed="false">
      <c r="A38" s="79" t="s">
        <v>172</v>
      </c>
      <c r="B38" s="79" t="s">
        <v>170</v>
      </c>
      <c r="C38" s="79" t="s">
        <v>61</v>
      </c>
      <c r="D38" s="80" t="n">
        <f aca="false">'Divisão dos Circuitos'!K38</f>
        <v>9.09090909090909</v>
      </c>
      <c r="E38" s="51" t="n">
        <v>1</v>
      </c>
      <c r="F38" s="51" t="n">
        <v>2</v>
      </c>
      <c r="G38" s="51" t="n">
        <v>0.8</v>
      </c>
      <c r="H38" s="51" t="n">
        <f aca="false">D38/(E38*G38)</f>
        <v>11.3636363636364</v>
      </c>
      <c r="I38" s="50" t="s">
        <v>219</v>
      </c>
      <c r="J38" s="50" t="s">
        <v>218</v>
      </c>
      <c r="K38" s="50" t="n">
        <v>2</v>
      </c>
      <c r="L38" s="50" t="n">
        <v>2.5</v>
      </c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customFormat="false" ht="15.75" hidden="false" customHeight="true" outlineLevel="0" collapsed="false">
      <c r="A39" s="79" t="s">
        <v>173</v>
      </c>
      <c r="B39" s="79" t="s">
        <v>170</v>
      </c>
      <c r="C39" s="79" t="s">
        <v>174</v>
      </c>
      <c r="D39" s="80" t="n">
        <f aca="false">'Divisão dos Circuitos'!K39</f>
        <v>5.45454545454545</v>
      </c>
      <c r="E39" s="51" t="n">
        <v>1</v>
      </c>
      <c r="F39" s="51" t="n">
        <v>3</v>
      </c>
      <c r="G39" s="51" t="n">
        <v>0.7</v>
      </c>
      <c r="H39" s="51" t="n">
        <f aca="false">D39/(E39*G39)</f>
        <v>7.79220779220779</v>
      </c>
      <c r="I39" s="50" t="s">
        <v>219</v>
      </c>
      <c r="J39" s="50" t="s">
        <v>218</v>
      </c>
      <c r="K39" s="50" t="n">
        <v>2</v>
      </c>
      <c r="L39" s="50" t="n">
        <v>2.5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customFormat="false" ht="15.75" hidden="false" customHeight="true" outlineLevel="0" collapsed="false">
      <c r="A40" s="79" t="s">
        <v>175</v>
      </c>
      <c r="B40" s="79" t="s">
        <v>170</v>
      </c>
      <c r="C40" s="79" t="s">
        <v>176</v>
      </c>
      <c r="D40" s="80" t="n">
        <f aca="false">'Divisão dos Circuitos'!K40</f>
        <v>13.1818181818182</v>
      </c>
      <c r="E40" s="51" t="n">
        <v>1</v>
      </c>
      <c r="F40" s="51" t="n">
        <v>3</v>
      </c>
      <c r="G40" s="51" t="n">
        <v>0.7</v>
      </c>
      <c r="H40" s="51" t="n">
        <f aca="false">D40/(E40*G40)</f>
        <v>18.8311688311688</v>
      </c>
      <c r="I40" s="50" t="s">
        <v>219</v>
      </c>
      <c r="J40" s="50" t="s">
        <v>218</v>
      </c>
      <c r="K40" s="50" t="n">
        <v>2</v>
      </c>
      <c r="L40" s="50" t="n">
        <v>2.5</v>
      </c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customFormat="false" ht="15.75" hidden="false" customHeight="true" outlineLevel="0" collapsed="false">
      <c r="A41" s="79" t="s">
        <v>177</v>
      </c>
      <c r="B41" s="79" t="s">
        <v>170</v>
      </c>
      <c r="C41" s="79" t="s">
        <v>178</v>
      </c>
      <c r="D41" s="80" t="n">
        <f aca="false">'Divisão dos Circuitos'!K41</f>
        <v>6.36363636363636</v>
      </c>
      <c r="E41" s="51" t="n">
        <v>1</v>
      </c>
      <c r="F41" s="51" t="n">
        <v>3</v>
      </c>
      <c r="G41" s="51" t="n">
        <v>0.7</v>
      </c>
      <c r="H41" s="51" t="n">
        <f aca="false">D41/(E41*G41)</f>
        <v>9.09090909090909</v>
      </c>
      <c r="I41" s="50" t="s">
        <v>219</v>
      </c>
      <c r="J41" s="50" t="s">
        <v>218</v>
      </c>
      <c r="K41" s="50" t="n">
        <v>2</v>
      </c>
      <c r="L41" s="50" t="n">
        <v>2.5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customFormat="false" ht="15.75" hidden="false" customHeight="true" outlineLevel="0" collapsed="false">
      <c r="A42" s="79" t="s">
        <v>179</v>
      </c>
      <c r="B42" s="79" t="s">
        <v>170</v>
      </c>
      <c r="C42" s="79" t="s">
        <v>180</v>
      </c>
      <c r="D42" s="80" t="n">
        <f aca="false">'Divisão dos Circuitos'!K42</f>
        <v>13.9146567717996</v>
      </c>
      <c r="E42" s="51" t="n">
        <v>1</v>
      </c>
      <c r="F42" s="51" t="n">
        <v>3</v>
      </c>
      <c r="G42" s="51" t="n">
        <v>0.7</v>
      </c>
      <c r="H42" s="51" t="n">
        <f aca="false">D42/(E42*G42)</f>
        <v>19.8780811025709</v>
      </c>
      <c r="I42" s="50" t="s">
        <v>219</v>
      </c>
      <c r="J42" s="50" t="s">
        <v>218</v>
      </c>
      <c r="K42" s="50" t="n">
        <v>2</v>
      </c>
      <c r="L42" s="50" t="n">
        <v>2.5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customFormat="false" ht="15.75" hidden="false" customHeight="true" outlineLevel="0" collapsed="false">
      <c r="A43" s="79" t="s">
        <v>181</v>
      </c>
      <c r="B43" s="79" t="s">
        <v>170</v>
      </c>
      <c r="C43" s="79" t="s">
        <v>182</v>
      </c>
      <c r="D43" s="80" t="n">
        <f aca="false">'Divisão dos Circuitos'!K43</f>
        <v>9.38735177865613</v>
      </c>
      <c r="E43" s="51" t="n">
        <v>1</v>
      </c>
      <c r="F43" s="51" t="n">
        <v>3</v>
      </c>
      <c r="G43" s="51" t="n">
        <v>0.7</v>
      </c>
      <c r="H43" s="51" t="n">
        <f aca="false">D43/(E43*G43)</f>
        <v>13.4105025409373</v>
      </c>
      <c r="I43" s="50" t="s">
        <v>219</v>
      </c>
      <c r="J43" s="50" t="s">
        <v>218</v>
      </c>
      <c r="K43" s="50" t="n">
        <v>2</v>
      </c>
      <c r="L43" s="50" t="n">
        <v>2.5</v>
      </c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customFormat="false" ht="15.75" hidden="false" customHeight="true" outlineLevel="0" collapsed="false">
      <c r="A44" s="79" t="s">
        <v>183</v>
      </c>
      <c r="B44" s="79" t="s">
        <v>170</v>
      </c>
      <c r="C44" s="79" t="s">
        <v>184</v>
      </c>
      <c r="D44" s="80" t="n">
        <f aca="false">'Divisão dos Circuitos'!K44</f>
        <v>12.3517786561265</v>
      </c>
      <c r="E44" s="51" t="n">
        <v>1</v>
      </c>
      <c r="F44" s="51" t="n">
        <v>3</v>
      </c>
      <c r="G44" s="51" t="n">
        <v>0.7</v>
      </c>
      <c r="H44" s="51" t="n">
        <f aca="false">D44/(E44*G44)</f>
        <v>17.6453980801807</v>
      </c>
      <c r="I44" s="50" t="s">
        <v>219</v>
      </c>
      <c r="J44" s="50" t="s">
        <v>218</v>
      </c>
      <c r="K44" s="50" t="n">
        <v>2</v>
      </c>
      <c r="L44" s="50" t="n">
        <v>2.5</v>
      </c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customFormat="false" ht="15.75" hidden="false" customHeight="true" outlineLevel="0" collapsed="false">
      <c r="A45" s="79" t="s">
        <v>185</v>
      </c>
      <c r="B45" s="79" t="s">
        <v>170</v>
      </c>
      <c r="C45" s="79" t="s">
        <v>186</v>
      </c>
      <c r="D45" s="80" t="n">
        <f aca="false">'Divisão dos Circuitos'!K45</f>
        <v>6.91699604743083</v>
      </c>
      <c r="E45" s="51" t="n">
        <v>1</v>
      </c>
      <c r="F45" s="51" t="n">
        <v>3</v>
      </c>
      <c r="G45" s="51" t="n">
        <v>0.7</v>
      </c>
      <c r="H45" s="51" t="n">
        <f aca="false">D45/(E45*G45)</f>
        <v>9.88142292490119</v>
      </c>
      <c r="I45" s="50" t="s">
        <v>219</v>
      </c>
      <c r="J45" s="50" t="s">
        <v>218</v>
      </c>
      <c r="K45" s="50" t="n">
        <v>2</v>
      </c>
      <c r="L45" s="50" t="n">
        <v>2.5</v>
      </c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customFormat="false" ht="15.75" hidden="false" customHeight="true" outlineLevel="0" collapsed="false">
      <c r="A46" s="79" t="s">
        <v>187</v>
      </c>
      <c r="B46" s="79" t="s">
        <v>170</v>
      </c>
      <c r="C46" s="79" t="s">
        <v>188</v>
      </c>
      <c r="D46" s="80" t="n">
        <f aca="false">'Divisão dos Circuitos'!K46</f>
        <v>7.72727272727273</v>
      </c>
      <c r="E46" s="51" t="n">
        <v>1</v>
      </c>
      <c r="F46" s="51" t="n">
        <v>3</v>
      </c>
      <c r="G46" s="51" t="n">
        <v>0.7</v>
      </c>
      <c r="H46" s="51" t="n">
        <f aca="false">D46/(E46*G46)</f>
        <v>11.038961038961</v>
      </c>
      <c r="I46" s="50" t="s">
        <v>219</v>
      </c>
      <c r="J46" s="50" t="s">
        <v>218</v>
      </c>
      <c r="K46" s="50" t="n">
        <v>2</v>
      </c>
      <c r="L46" s="50" t="n">
        <v>2.5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customFormat="false" ht="15.75" hidden="false" customHeight="true" outlineLevel="0" collapsed="false">
      <c r="A47" s="79" t="s">
        <v>189</v>
      </c>
      <c r="B47" s="79" t="s">
        <v>170</v>
      </c>
      <c r="C47" s="79" t="s">
        <v>190</v>
      </c>
      <c r="D47" s="80" t="n">
        <f aca="false">'Divisão dos Circuitos'!K47</f>
        <v>6.63636363636364</v>
      </c>
      <c r="E47" s="51" t="n">
        <v>1</v>
      </c>
      <c r="F47" s="51" t="n">
        <v>3</v>
      </c>
      <c r="G47" s="51" t="n">
        <v>0.7</v>
      </c>
      <c r="H47" s="51" t="n">
        <f aca="false">D47/(E47*G47)</f>
        <v>9.48051948051948</v>
      </c>
      <c r="I47" s="50" t="s">
        <v>219</v>
      </c>
      <c r="J47" s="50" t="s">
        <v>218</v>
      </c>
      <c r="K47" s="50" t="n">
        <v>2</v>
      </c>
      <c r="L47" s="50" t="n">
        <v>1.5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customFormat="false" ht="15.75" hidden="false" customHeight="true" outlineLevel="0" collapsed="false">
      <c r="A48" s="78" t="s">
        <v>191</v>
      </c>
      <c r="B48" s="78"/>
      <c r="C48" s="78"/>
      <c r="D48" s="77"/>
      <c r="E48" s="77"/>
      <c r="F48" s="77"/>
      <c r="G48" s="77"/>
      <c r="H48" s="77"/>
      <c r="I48" s="78"/>
      <c r="J48" s="78"/>
      <c r="K48" s="78"/>
      <c r="L48" s="78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customFormat="false" ht="15.75" hidden="false" customHeight="true" outlineLevel="0" collapsed="false">
      <c r="A49" s="79" t="s">
        <v>192</v>
      </c>
      <c r="B49" s="79" t="s">
        <v>193</v>
      </c>
      <c r="C49" s="79" t="s">
        <v>194</v>
      </c>
      <c r="D49" s="80" t="n">
        <f aca="false">'Divisão dos Circuitos'!K49</f>
        <v>10.9090909090909</v>
      </c>
      <c r="E49" s="51" t="n">
        <v>1</v>
      </c>
      <c r="F49" s="51" t="n">
        <v>3</v>
      </c>
      <c r="G49" s="51" t="n">
        <v>0.7</v>
      </c>
      <c r="H49" s="51" t="n">
        <f aca="false">D49/(E49*G49)</f>
        <v>15.5844155844156</v>
      </c>
      <c r="I49" s="50" t="s">
        <v>219</v>
      </c>
      <c r="J49" s="50" t="s">
        <v>218</v>
      </c>
      <c r="K49" s="50" t="n">
        <v>2</v>
      </c>
      <c r="L49" s="50" t="n">
        <v>2.5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customFormat="false" ht="15.75" hidden="false" customHeight="true" outlineLevel="0" collapsed="false">
      <c r="A50" s="79" t="s">
        <v>195</v>
      </c>
      <c r="B50" s="79" t="s">
        <v>193</v>
      </c>
      <c r="C50" s="79" t="s">
        <v>196</v>
      </c>
      <c r="D50" s="80" t="n">
        <f aca="false">'Divisão dos Circuitos'!K50</f>
        <v>11.8181818181818</v>
      </c>
      <c r="E50" s="51" t="n">
        <v>1</v>
      </c>
      <c r="F50" s="51" t="n">
        <v>3</v>
      </c>
      <c r="G50" s="51" t="n">
        <v>0.7</v>
      </c>
      <c r="H50" s="51" t="n">
        <f aca="false">D50/(E50*G50)</f>
        <v>16.8831168831169</v>
      </c>
      <c r="I50" s="50" t="s">
        <v>219</v>
      </c>
      <c r="J50" s="50" t="s">
        <v>218</v>
      </c>
      <c r="K50" s="50" t="n">
        <v>2</v>
      </c>
      <c r="L50" s="50" t="n">
        <v>2.5</v>
      </c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customFormat="false" ht="15.75" hidden="false" customHeight="true" outlineLevel="0" collapsed="false">
      <c r="A51" s="79" t="s">
        <v>197</v>
      </c>
      <c r="B51" s="79" t="s">
        <v>193</v>
      </c>
      <c r="C51" s="79" t="s">
        <v>70</v>
      </c>
      <c r="D51" s="80" t="n">
        <f aca="false">'Divisão dos Circuitos'!K51</f>
        <v>27.2727272727273</v>
      </c>
      <c r="E51" s="51" t="n">
        <v>1</v>
      </c>
      <c r="F51" s="51" t="n">
        <v>3</v>
      </c>
      <c r="G51" s="51" t="n">
        <v>0.7</v>
      </c>
      <c r="H51" s="51" t="n">
        <f aca="false">D51/(E51*G51)</f>
        <v>38.961038961039</v>
      </c>
      <c r="I51" s="50" t="s">
        <v>219</v>
      </c>
      <c r="J51" s="50" t="s">
        <v>218</v>
      </c>
      <c r="K51" s="50" t="n">
        <v>2</v>
      </c>
      <c r="L51" s="50" t="n">
        <v>10</v>
      </c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customFormat="false" ht="15.75" hidden="false" customHeight="true" outlineLevel="0" collapsed="false">
      <c r="A52" s="79" t="s">
        <v>198</v>
      </c>
      <c r="B52" s="79" t="s">
        <v>193</v>
      </c>
      <c r="C52" s="79" t="s">
        <v>74</v>
      </c>
      <c r="D52" s="80" t="n">
        <f aca="false">'Divisão dos Circuitos'!K52</f>
        <v>9.11605688194146</v>
      </c>
      <c r="E52" s="51" t="n">
        <v>1</v>
      </c>
      <c r="F52" s="51" t="n">
        <v>3</v>
      </c>
      <c r="G52" s="51" t="n">
        <v>0.7</v>
      </c>
      <c r="H52" s="51" t="n">
        <f aca="false">D52/(E52*G52)</f>
        <v>13.0229384027735</v>
      </c>
      <c r="I52" s="50" t="s">
        <v>219</v>
      </c>
      <c r="J52" s="50" t="s">
        <v>218</v>
      </c>
      <c r="K52" s="50" t="n">
        <v>3</v>
      </c>
      <c r="L52" s="50" t="n">
        <v>2.5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customFormat="false" ht="15.75" hidden="false" customHeight="true" outlineLevel="0" collapsed="false">
      <c r="A53" s="79" t="s">
        <v>199</v>
      </c>
      <c r="B53" s="79" t="s">
        <v>193</v>
      </c>
      <c r="C53" s="79" t="s">
        <v>200</v>
      </c>
      <c r="D53" s="80" t="n">
        <f aca="false">'Divisão dos Circuitos'!K53</f>
        <v>9.38735177865613</v>
      </c>
      <c r="E53" s="51" t="n">
        <v>1</v>
      </c>
      <c r="F53" s="51" t="n">
        <v>3</v>
      </c>
      <c r="G53" s="51" t="n">
        <v>0.7</v>
      </c>
      <c r="H53" s="51" t="n">
        <f aca="false">D53/(E53*G53)</f>
        <v>13.4105025409373</v>
      </c>
      <c r="I53" s="50" t="s">
        <v>219</v>
      </c>
      <c r="J53" s="50" t="s">
        <v>218</v>
      </c>
      <c r="K53" s="50" t="n">
        <v>2</v>
      </c>
      <c r="L53" s="50" t="n">
        <v>2.5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customFormat="false" ht="15.75" hidden="false" customHeight="true" outlineLevel="0" collapsed="false">
      <c r="A54" s="79" t="s">
        <v>201</v>
      </c>
      <c r="B54" s="79" t="s">
        <v>193</v>
      </c>
      <c r="C54" s="79" t="s">
        <v>202</v>
      </c>
      <c r="D54" s="80" t="n">
        <f aca="false">'Divisão dos Circuitos'!K54</f>
        <v>6.91699604743083</v>
      </c>
      <c r="E54" s="51" t="n">
        <v>1</v>
      </c>
      <c r="F54" s="51" t="n">
        <v>2</v>
      </c>
      <c r="G54" s="51" t="n">
        <v>0.8</v>
      </c>
      <c r="H54" s="51" t="n">
        <f aca="false">D54/(E54*G54)</f>
        <v>8.64624505928854</v>
      </c>
      <c r="I54" s="50" t="s">
        <v>219</v>
      </c>
      <c r="J54" s="50" t="s">
        <v>218</v>
      </c>
      <c r="K54" s="50" t="n">
        <v>2</v>
      </c>
      <c r="L54" s="50" t="n">
        <v>2.5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customFormat="false" ht="15.75" hidden="false" customHeight="true" outlineLevel="0" collapsed="false">
      <c r="A55" s="79" t="s">
        <v>203</v>
      </c>
      <c r="B55" s="79" t="s">
        <v>193</v>
      </c>
      <c r="C55" s="79" t="s">
        <v>204</v>
      </c>
      <c r="D55" s="80" t="n">
        <f aca="false">'Divisão dos Circuitos'!K55</f>
        <v>6.91699604743083</v>
      </c>
      <c r="E55" s="51" t="n">
        <v>1</v>
      </c>
      <c r="F55" s="51" t="n">
        <v>3</v>
      </c>
      <c r="G55" s="51" t="n">
        <v>0.7</v>
      </c>
      <c r="H55" s="51" t="n">
        <f aca="false">D55/(E55*G55)</f>
        <v>9.88142292490119</v>
      </c>
      <c r="I55" s="50" t="s">
        <v>219</v>
      </c>
      <c r="J55" s="50" t="s">
        <v>218</v>
      </c>
      <c r="K55" s="50" t="n">
        <v>2</v>
      </c>
      <c r="L55" s="50" t="n">
        <v>2.5</v>
      </c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customFormat="false" ht="15.75" hidden="false" customHeight="true" outlineLevel="0" collapsed="false">
      <c r="A56" s="79" t="s">
        <v>205</v>
      </c>
      <c r="B56" s="79" t="s">
        <v>193</v>
      </c>
      <c r="C56" s="79" t="s">
        <v>206</v>
      </c>
      <c r="D56" s="80" t="n">
        <f aca="false">'Divisão dos Circuitos'!K56</f>
        <v>15</v>
      </c>
      <c r="E56" s="51" t="n">
        <v>1</v>
      </c>
      <c r="F56" s="51" t="n">
        <v>3</v>
      </c>
      <c r="G56" s="51" t="n">
        <v>0.7</v>
      </c>
      <c r="H56" s="51" t="n">
        <f aca="false">D56/(E56*G56)</f>
        <v>21.4285714285714</v>
      </c>
      <c r="I56" s="50" t="s">
        <v>219</v>
      </c>
      <c r="J56" s="50" t="s">
        <v>218</v>
      </c>
      <c r="K56" s="50" t="n">
        <v>2</v>
      </c>
      <c r="L56" s="50" t="n">
        <v>2.5</v>
      </c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customFormat="false" ht="15.75" hidden="false" customHeight="true" outlineLevel="0" collapsed="false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customFormat="false" ht="15.75" hidden="false" customHeight="true" outlineLevel="0" collapsed="false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customFormat="false" ht="15.75" hidden="false" customHeight="true" outlineLevel="0" collapsed="false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customFormat="false" ht="15.7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customFormat="false" ht="15.7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customFormat="false" ht="15.7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customFormat="false" ht="15.7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customFormat="false" ht="15.7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customFormat="false" ht="15.7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customFormat="false" ht="15.7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customFormat="false" ht="15.7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customFormat="false" ht="15.7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customFormat="false" ht="15.7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customFormat="false" ht="15.7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customFormat="false" ht="15.7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customFormat="false" ht="15.7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customFormat="false" ht="15.7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customFormat="false" ht="15.7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customFormat="false" ht="15.7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customFormat="false" ht="15.7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customFormat="false" ht="15.7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customFormat="false" ht="15.7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customFormat="false" ht="15.7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customFormat="false" ht="15.7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customFormat="false" ht="15.7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customFormat="false" ht="15.7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customFormat="false" ht="15.7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customFormat="false" ht="15.7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customFormat="false" ht="15.7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customFormat="false" ht="15.7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customFormat="false" ht="15.7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customFormat="false" ht="15.7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customFormat="false" ht="15.7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customFormat="false" ht="15.7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customFormat="false" ht="15.7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customFormat="false" ht="15.7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customFormat="false" ht="15.7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customFormat="false" ht="15.7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customFormat="false" ht="15.7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customFormat="false" ht="15.7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customFormat="false" ht="15.7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customFormat="false" ht="15.7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customFormat="false" ht="15.7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customFormat="false" ht="15.7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customFormat="false" ht="15.7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customFormat="false" ht="15.7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customFormat="false" ht="15.7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customFormat="false" ht="15.7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customFormat="false" ht="15.7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customFormat="false" ht="15.7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customFormat="false" ht="15.7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customFormat="false" ht="15.7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customFormat="false" ht="15.7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customFormat="false" ht="15.7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customFormat="false" ht="15.7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customFormat="false" ht="15.7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customFormat="false" ht="15.75" hidden="false" customHeight="true" outlineLevel="0" collapsed="false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customFormat="false" ht="15.75" hidden="false" customHeight="true" outlineLevel="0" collapsed="false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customFormat="false" ht="15.75" hidden="false" customHeight="true" outlineLevel="0" collapsed="false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customFormat="false" ht="15.75" hidden="false" customHeight="true" outlineLevel="0" collapsed="false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customFormat="false" ht="15.75" hidden="false" customHeight="true" outlineLevel="0" collapsed="false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customFormat="false" ht="15.75" hidden="false" customHeight="true" outlineLevel="0" collapsed="false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customFormat="false" ht="15.75" hidden="false" customHeight="true" outlineLevel="0" collapsed="false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customFormat="false" ht="15.75" hidden="false" customHeight="true" outlineLevel="0" collapsed="false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customFormat="false" ht="15.75" hidden="false" customHeight="true" outlineLevel="0" collapsed="false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customFormat="false" ht="15.75" hidden="false" customHeight="true" outlineLevel="0" collapsed="false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customFormat="false" ht="15.75" hidden="false" customHeight="true" outlineLevel="0" collapsed="false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customFormat="false" ht="15.75" hidden="false" customHeight="true" outlineLevel="0" collapsed="false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customFormat="false" ht="15.75" hidden="false" customHeight="true" outlineLevel="0" collapsed="false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customFormat="false" ht="15.75" hidden="false" customHeight="true" outlineLevel="0" collapsed="false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customFormat="false" ht="15.75" hidden="false" customHeight="true" outlineLevel="0" collapsed="false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customFormat="false" ht="15.75" hidden="false" customHeight="true" outlineLevel="0" collapsed="false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customFormat="false" ht="15.75" hidden="false" customHeight="true" outlineLevel="0" collapsed="false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customFormat="false" ht="15.75" hidden="false" customHeight="true" outlineLevel="0" collapsed="false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customFormat="false" ht="15.75" hidden="false" customHeight="true" outlineLevel="0" collapsed="false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customFormat="false" ht="15.75" hidden="false" customHeight="true" outlineLevel="0" collapsed="false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customFormat="false" ht="15.75" hidden="false" customHeight="true" outlineLevel="0" collapsed="false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customFormat="false" ht="15.75" hidden="false" customHeight="true" outlineLevel="0" collapsed="false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customFormat="false" ht="15.75" hidden="false" customHeight="true" outlineLevel="0" collapsed="false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customFormat="false" ht="15.75" hidden="false" customHeight="true" outlineLevel="0" collapsed="false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customFormat="false" ht="15.75" hidden="false" customHeight="true" outlineLevel="0" collapsed="false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customFormat="false" ht="15.75" hidden="false" customHeight="true" outlineLevel="0" collapsed="false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customFormat="false" ht="15.75" hidden="false" customHeight="true" outlineLevel="0" collapsed="false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customFormat="false" ht="15.75" hidden="false" customHeight="true" outlineLevel="0" collapsed="false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customFormat="false" ht="15.75" hidden="false" customHeight="true" outlineLevel="0" collapsed="false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customFormat="false" ht="15.75" hidden="false" customHeight="true" outlineLevel="0" collapsed="false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customFormat="false" ht="15.75" hidden="false" customHeight="true" outlineLevel="0" collapsed="false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customFormat="false" ht="15.75" hidden="false" customHeight="true" outlineLevel="0" collapsed="false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customFormat="false" ht="15.75" hidden="false" customHeight="true" outlineLevel="0" collapsed="false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customFormat="false" ht="15.75" hidden="false" customHeight="true" outlineLevel="0" collapsed="false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customFormat="false" ht="15.75" hidden="false" customHeight="true" outlineLevel="0" collapsed="false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customFormat="false" ht="15.75" hidden="false" customHeight="true" outlineLevel="0" collapsed="false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customFormat="false" ht="15.75" hidden="false" customHeight="true" outlineLevel="0" collapsed="false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customFormat="false" ht="15.75" hidden="false" customHeight="true" outlineLevel="0" collapsed="false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customFormat="false" ht="15.75" hidden="false" customHeight="true" outlineLevel="0" collapsed="false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customFormat="false" ht="15.75" hidden="false" customHeight="true" outlineLevel="0" collapsed="false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customFormat="false" ht="15.75" hidden="false" customHeight="true" outlineLevel="0" collapsed="false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customFormat="false" ht="15.75" hidden="false" customHeight="true" outlineLevel="0" collapsed="false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customFormat="false" ht="15.75" hidden="false" customHeight="true" outlineLevel="0" collapsed="false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customFormat="false" ht="15.75" hidden="false" customHeight="true" outlineLevel="0" collapsed="false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customFormat="false" ht="15.75" hidden="false" customHeight="true" outlineLevel="0" collapsed="false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customFormat="false" ht="15.75" hidden="false" customHeight="true" outlineLevel="0" collapsed="false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customFormat="false" ht="15.75" hidden="false" customHeight="true" outlineLevel="0" collapsed="false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customFormat="false" ht="15.75" hidden="false" customHeight="true" outlineLevel="0" collapsed="false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customFormat="false" ht="15.75" hidden="false" customHeight="true" outlineLevel="0" collapsed="false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customFormat="false" ht="15.75" hidden="false" customHeight="true" outlineLevel="0" collapsed="false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customFormat="false" ht="15.75" hidden="false" customHeight="true" outlineLevel="0" collapsed="false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customFormat="false" ht="15.75" hidden="false" customHeight="true" outlineLevel="0" collapsed="false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customFormat="false" ht="15.75" hidden="false" customHeight="true" outlineLevel="0" collapsed="false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customFormat="false" ht="15.75" hidden="false" customHeight="true" outlineLevel="0" collapsed="false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customFormat="false" ht="15.75" hidden="false" customHeight="true" outlineLevel="0" collapsed="false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customFormat="false" ht="15.75" hidden="false" customHeight="true" outlineLevel="0" collapsed="false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customFormat="false" ht="15.75" hidden="false" customHeight="true" outlineLevel="0" collapsed="false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customFormat="false" ht="15.75" hidden="false" customHeight="true" outlineLevel="0" collapsed="false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customFormat="false" ht="15.75" hidden="false" customHeight="true" outlineLevel="0" collapsed="false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customFormat="false" ht="15.75" hidden="false" customHeight="true" outlineLevel="0" collapsed="false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customFormat="false" ht="15.75" hidden="false" customHeight="true" outlineLevel="0" collapsed="false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customFormat="false" ht="15.75" hidden="false" customHeight="true" outlineLevel="0" collapsed="false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customFormat="false" ht="15.75" hidden="false" customHeight="true" outlineLevel="0" collapsed="false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customFormat="false" ht="15.75" hidden="false" customHeight="true" outlineLevel="0" collapsed="false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customFormat="false" ht="15.75" hidden="false" customHeight="true" outlineLevel="0" collapsed="false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customFormat="false" ht="15.75" hidden="false" customHeight="true" outlineLevel="0" collapsed="false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customFormat="false" ht="15.75" hidden="false" customHeight="true" outlineLevel="0" collapsed="false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customFormat="false" ht="15.75" hidden="false" customHeight="true" outlineLevel="0" collapsed="false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customFormat="false" ht="15.75" hidden="false" customHeight="true" outlineLevel="0" collapsed="false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customFormat="false" ht="15.75" hidden="false" customHeight="true" outlineLevel="0" collapsed="false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customFormat="false" ht="15.75" hidden="false" customHeight="true" outlineLevel="0" collapsed="false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customFormat="false" ht="15.75" hidden="false" customHeight="true" outlineLevel="0" collapsed="false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customFormat="false" ht="15.75" hidden="false" customHeight="true" outlineLevel="0" collapsed="false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customFormat="false" ht="15.75" hidden="false" customHeight="true" outlineLevel="0" collapsed="false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customFormat="false" ht="15.75" hidden="false" customHeight="true" outlineLevel="0" collapsed="false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customFormat="false" ht="15.75" hidden="false" customHeight="true" outlineLevel="0" collapsed="false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customFormat="false" ht="15.75" hidden="false" customHeight="true" outlineLevel="0" collapsed="false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customFormat="false" ht="15.75" hidden="false" customHeight="true" outlineLevel="0" collapsed="false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customFormat="false" ht="15.75" hidden="false" customHeight="true" outlineLevel="0" collapsed="false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customFormat="false" ht="15.75" hidden="false" customHeight="true" outlineLevel="0" collapsed="false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customFormat="false" ht="15.75" hidden="false" customHeight="true" outlineLevel="0" collapsed="false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customFormat="false" ht="15.75" hidden="false" customHeight="true" outlineLevel="0" collapsed="false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customFormat="false" ht="15.75" hidden="false" customHeight="true" outlineLevel="0" collapsed="false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customFormat="false" ht="15.75" hidden="false" customHeight="true" outlineLevel="0" collapsed="false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customFormat="false" ht="15.75" hidden="false" customHeight="true" outlineLevel="0" collapsed="false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customFormat="false" ht="15.75" hidden="false" customHeight="true" outlineLevel="0" collapsed="false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customFormat="false" ht="15.75" hidden="false" customHeight="true" outlineLevel="0" collapsed="false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customFormat="false" ht="15.75" hidden="false" customHeight="true" outlineLevel="0" collapsed="false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customFormat="false" ht="15.75" hidden="false" customHeight="true" outlineLevel="0" collapsed="false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customFormat="false" ht="15.75" hidden="false" customHeight="true" outlineLevel="0" collapsed="false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customFormat="false" ht="15.75" hidden="false" customHeight="true" outlineLevel="0" collapsed="false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customFormat="false" ht="15.75" hidden="false" customHeight="true" outlineLevel="0" collapsed="false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customFormat="false" ht="15.75" hidden="false" customHeight="true" outlineLevel="0" collapsed="false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customFormat="false" ht="15.75" hidden="false" customHeight="true" outlineLevel="0" collapsed="false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customFormat="false" ht="15.75" hidden="false" customHeight="true" outlineLevel="0" collapsed="false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customFormat="false" ht="15.75" hidden="false" customHeight="true" outlineLevel="0" collapsed="false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customFormat="false" ht="15.75" hidden="false" customHeight="true" outlineLevel="0" collapsed="false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customFormat="false" ht="15.75" hidden="false" customHeight="true" outlineLevel="0" collapsed="false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customFormat="false" ht="15.75" hidden="false" customHeight="true" outlineLevel="0" collapsed="false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customFormat="false" ht="15.75" hidden="false" customHeight="true" outlineLevel="0" collapsed="false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customFormat="false" ht="15.75" hidden="false" customHeight="true" outlineLevel="0" collapsed="false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customFormat="false" ht="15.75" hidden="false" customHeight="true" outlineLevel="0" collapsed="false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customFormat="false" ht="15.75" hidden="false" customHeight="true" outlineLevel="0" collapsed="false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customFormat="false" ht="15.75" hidden="false" customHeight="true" outlineLevel="0" collapsed="false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customFormat="false" ht="15.75" hidden="false" customHeight="true" outlineLevel="0" collapsed="false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customFormat="false" ht="15.75" hidden="false" customHeight="true" outlineLevel="0" collapsed="false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customFormat="false" ht="15.75" hidden="false" customHeight="true" outlineLevel="0" collapsed="false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customFormat="false" ht="15.75" hidden="false" customHeight="true" outlineLevel="0" collapsed="false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customFormat="false" ht="15.75" hidden="false" customHeight="true" outlineLevel="0" collapsed="false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customFormat="false" ht="15.75" hidden="false" customHeight="true" outlineLevel="0" collapsed="false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customFormat="false" ht="15.75" hidden="false" customHeight="true" outlineLevel="0" collapsed="false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customFormat="false" ht="15.75" hidden="false" customHeight="true" outlineLevel="0" collapsed="false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customFormat="false" ht="15.75" hidden="false" customHeight="true" outlineLevel="0" collapsed="false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customFormat="false" ht="15.75" hidden="false" customHeight="true" outlineLevel="0" collapsed="false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customFormat="false" ht="15.75" hidden="false" customHeight="true" outlineLevel="0" collapsed="false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customFormat="false" ht="15.75" hidden="false" customHeight="true" outlineLevel="0" collapsed="false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customFormat="false" ht="15.75" hidden="false" customHeight="true" outlineLevel="0" collapsed="false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customFormat="false" ht="15.75" hidden="false" customHeight="true" outlineLevel="0" collapsed="false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customFormat="false" ht="15.75" hidden="false" customHeight="true" outlineLevel="0" collapsed="false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A1:L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9.43"/>
    <col collapsed="false" customWidth="true" hidden="false" outlineLevel="0" max="3" min="3" style="0" width="40.14"/>
    <col collapsed="false" customWidth="true" hidden="false" outlineLevel="0" max="4" min="4" style="0" width="10.85"/>
    <col collapsed="false" customWidth="true" hidden="false" outlineLevel="0" max="5" min="5" style="0" width="9.43"/>
    <col collapsed="false" customWidth="true" hidden="false" outlineLevel="0" max="6" min="6" style="0" width="6.57"/>
    <col collapsed="false" customWidth="true" hidden="false" outlineLevel="0" max="7" min="7" style="0" width="12.29"/>
    <col collapsed="false" customWidth="true" hidden="false" outlineLevel="0" max="8" min="8" style="0" width="8.71"/>
    <col collapsed="false" customWidth="true" hidden="false" outlineLevel="0" max="9" min="9" style="0" width="13"/>
    <col collapsed="false" customWidth="true" hidden="false" outlineLevel="0" max="10" min="10" style="0" width="12.29"/>
    <col collapsed="false" customWidth="true" hidden="false" outlineLevel="0" max="11" min="11" style="0" width="13.71"/>
    <col collapsed="false" customWidth="true" hidden="false" outlineLevel="0" max="26" min="12" style="0" width="8.71"/>
  </cols>
  <sheetData>
    <row r="1" customFormat="false" ht="15" hidden="false" customHeight="true" outlineLevel="0" collapsed="false">
      <c r="A1" s="81" t="s">
        <v>220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customFormat="false" ht="15" hidden="false" customHeight="true" outlineLevel="0" collapsed="false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34.5" hidden="false" customHeight="true" outlineLevel="0" collapsed="false">
      <c r="A3" s="73" t="s">
        <v>99</v>
      </c>
      <c r="B3" s="74" t="s">
        <v>101</v>
      </c>
      <c r="C3" s="74" t="s">
        <v>102</v>
      </c>
      <c r="D3" s="73" t="s">
        <v>208</v>
      </c>
      <c r="E3" s="73" t="s">
        <v>221</v>
      </c>
      <c r="F3" s="73" t="s">
        <v>222</v>
      </c>
      <c r="G3" s="73" t="s">
        <v>223</v>
      </c>
      <c r="H3" s="73" t="s">
        <v>224</v>
      </c>
      <c r="I3" s="73" t="s">
        <v>225</v>
      </c>
      <c r="J3" s="73" t="s">
        <v>226</v>
      </c>
      <c r="K3" s="73" t="s">
        <v>227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5" hidden="false" customHeight="true" outlineLevel="0" collapsed="false">
      <c r="A4" s="76" t="s">
        <v>116</v>
      </c>
      <c r="B4" s="78"/>
      <c r="C4" s="76"/>
      <c r="D4" s="77"/>
      <c r="E4" s="82"/>
      <c r="F4" s="78"/>
      <c r="G4" s="83"/>
      <c r="H4" s="82"/>
      <c r="I4" s="82"/>
      <c r="J4" s="77"/>
      <c r="K4" s="7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5" hidden="false" customHeight="true" outlineLevel="0" collapsed="false">
      <c r="A5" s="79" t="s">
        <v>117</v>
      </c>
      <c r="B5" s="79" t="s">
        <v>118</v>
      </c>
      <c r="C5" s="79" t="s">
        <v>119</v>
      </c>
      <c r="D5" s="80" t="n">
        <f aca="false">'Divisão dos Circuitos'!K5</f>
        <v>10.8402203856749</v>
      </c>
      <c r="E5" s="84" t="n">
        <v>220</v>
      </c>
      <c r="F5" s="79" t="n">
        <v>2</v>
      </c>
      <c r="G5" s="85" t="n">
        <v>0.0178</v>
      </c>
      <c r="H5" s="84" t="n">
        <v>56.1</v>
      </c>
      <c r="I5" s="84" t="n">
        <v>2.5</v>
      </c>
      <c r="J5" s="80" t="n">
        <f aca="false">(F5*G5*H5*D5*100)/(I5*E5)</f>
        <v>3.93630082644628</v>
      </c>
      <c r="K5" s="80" t="n">
        <f aca="false">IF(J5&lt;=1.5, 1.5, IF(J5&lt;=2.5, 2.5, IF(J5&lt;=4, 4, IF(J5&lt;=6, 6, IF(J5&lt;=10, 10, 16)))))</f>
        <v>4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5" hidden="false" customHeight="true" outlineLevel="0" collapsed="false">
      <c r="A6" s="79" t="s">
        <v>120</v>
      </c>
      <c r="B6" s="79" t="s">
        <v>118</v>
      </c>
      <c r="C6" s="79" t="s">
        <v>121</v>
      </c>
      <c r="D6" s="80" t="n">
        <f aca="false">'Divisão dos Circuitos'!K6</f>
        <v>10.9090909090909</v>
      </c>
      <c r="E6" s="84" t="n">
        <v>220</v>
      </c>
      <c r="F6" s="79" t="n">
        <v>2</v>
      </c>
      <c r="G6" s="85" t="n">
        <v>0.0178</v>
      </c>
      <c r="H6" s="79" t="n">
        <v>27.8</v>
      </c>
      <c r="I6" s="84" t="n">
        <v>2.5</v>
      </c>
      <c r="J6" s="80" t="n">
        <f aca="false">(F6*G6*H6*D6*100)/(I6*E6)</f>
        <v>1.96300165289256</v>
      </c>
      <c r="K6" s="80" t="n">
        <f aca="false">IF(J6&lt;=1.5, 1.5, IF(J6&lt;=2.5, 2.5, IF(J6&lt;=4, 4, IF(J6&lt;=6, 6, IF(J6&lt;=10, 10, 16)))))</f>
        <v>2.5</v>
      </c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5" hidden="false" customHeight="true" outlineLevel="0" collapsed="false">
      <c r="A7" s="79" t="s">
        <v>122</v>
      </c>
      <c r="B7" s="79" t="s">
        <v>118</v>
      </c>
      <c r="C7" s="79" t="s">
        <v>123</v>
      </c>
      <c r="D7" s="80" t="n">
        <f aca="false">'Divisão dos Circuitos'!K7</f>
        <v>8.18181818181818</v>
      </c>
      <c r="E7" s="84" t="n">
        <v>220</v>
      </c>
      <c r="F7" s="79" t="n">
        <v>2</v>
      </c>
      <c r="G7" s="85" t="n">
        <v>0.0178</v>
      </c>
      <c r="H7" s="79" t="n">
        <v>15.4</v>
      </c>
      <c r="I7" s="84" t="n">
        <v>2.5</v>
      </c>
      <c r="J7" s="80" t="n">
        <f aca="false">(F7*G7*H7*D7*100)/(I7*E7)</f>
        <v>0.815563636363637</v>
      </c>
      <c r="K7" s="80" t="n">
        <f aca="false">IF(J7&lt;=1.5, 1.5, IF(J7&lt;=2.5, 2.5, IF(J7&lt;=4, 4, IF(J7&lt;=6, 6, IF(J7&lt;=10, 10, 16)))))</f>
        <v>1.5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5" hidden="false" customHeight="true" outlineLevel="0" collapsed="false">
      <c r="A8" s="79" t="s">
        <v>124</v>
      </c>
      <c r="B8" s="79" t="s">
        <v>118</v>
      </c>
      <c r="C8" s="79" t="s">
        <v>125</v>
      </c>
      <c r="D8" s="80" t="n">
        <f aca="false">'Divisão dos Circuitos'!K8</f>
        <v>10.9090909090909</v>
      </c>
      <c r="E8" s="84" t="n">
        <v>220</v>
      </c>
      <c r="F8" s="79" t="n">
        <v>2</v>
      </c>
      <c r="G8" s="85" t="n">
        <v>0.0178</v>
      </c>
      <c r="H8" s="84" t="n">
        <v>44.5</v>
      </c>
      <c r="I8" s="84" t="n">
        <v>2.5</v>
      </c>
      <c r="J8" s="80" t="n">
        <f aca="false">(F8*G8*H8*D8*100)/(I8*E8)</f>
        <v>3.14221487603306</v>
      </c>
      <c r="K8" s="80" t="n">
        <f aca="false">IF(J8&lt;=1.5, 1.5, IF(J8&lt;=2.5, 2.5, IF(J8&lt;=4, 4, IF(J8&lt;=6, 6, IF(J8&lt;=10, 10, 16)))))</f>
        <v>4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5" hidden="false" customHeight="true" outlineLevel="0" collapsed="false">
      <c r="A9" s="79" t="s">
        <v>126</v>
      </c>
      <c r="B9" s="79" t="s">
        <v>118</v>
      </c>
      <c r="C9" s="79" t="s">
        <v>127</v>
      </c>
      <c r="D9" s="80" t="n">
        <f aca="false">'Divisão dos Circuitos'!K9</f>
        <v>8.18181818181818</v>
      </c>
      <c r="E9" s="84" t="n">
        <v>220</v>
      </c>
      <c r="F9" s="79" t="n">
        <v>2</v>
      </c>
      <c r="G9" s="85" t="n">
        <v>0.0178</v>
      </c>
      <c r="H9" s="84" t="n">
        <v>54</v>
      </c>
      <c r="I9" s="84" t="n">
        <v>2.5</v>
      </c>
      <c r="J9" s="80" t="n">
        <f aca="false">(F9*G9*H9*D9*100)/(I9*E9)</f>
        <v>2.85976859504132</v>
      </c>
      <c r="K9" s="80" t="n">
        <f aca="false">IF(J9&lt;=1.5, 1.5, IF(J9&lt;=2.5, 2.5, IF(J9&lt;=4, 4, IF(J9&lt;=6, 6, IF(J9&lt;=10, 10, 16)))))</f>
        <v>4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5" hidden="false" customHeight="true" outlineLevel="0" collapsed="false">
      <c r="A10" s="79" t="s">
        <v>128</v>
      </c>
      <c r="B10" s="79" t="s">
        <v>118</v>
      </c>
      <c r="C10" s="79" t="s">
        <v>121</v>
      </c>
      <c r="D10" s="80" t="n">
        <f aca="false">'Divisão dos Circuitos'!K10</f>
        <v>18.2321137638829</v>
      </c>
      <c r="E10" s="84" t="n">
        <v>380</v>
      </c>
      <c r="F10" s="86" t="n">
        <v>1.732</v>
      </c>
      <c r="G10" s="85" t="n">
        <v>0.0178</v>
      </c>
      <c r="H10" s="79" t="n">
        <v>25.7</v>
      </c>
      <c r="I10" s="84" t="n">
        <v>2.5</v>
      </c>
      <c r="J10" s="80" t="n">
        <f aca="false">(F10*G10*H10*D10*100)/(I10*E10)</f>
        <v>1.52059805310754</v>
      </c>
      <c r="K10" s="80" t="n">
        <f aca="false">IF(J10&lt;=1.5, 1.5, IF(J10&lt;=2.5, 2.5, IF(J10&lt;=4, 4, IF(J10&lt;=6, 6, IF(J10&lt;=10, 10, 16)))))</f>
        <v>2.5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5" hidden="false" customHeight="true" outlineLevel="0" collapsed="false">
      <c r="A11" s="79" t="s">
        <v>129</v>
      </c>
      <c r="B11" s="79" t="s">
        <v>118</v>
      </c>
      <c r="C11" s="79" t="s">
        <v>125</v>
      </c>
      <c r="D11" s="80" t="n">
        <f aca="false">'Divisão dos Circuitos'!K11</f>
        <v>18.2321137638829</v>
      </c>
      <c r="E11" s="84" t="n">
        <v>380</v>
      </c>
      <c r="F11" s="86" t="n">
        <v>1.732</v>
      </c>
      <c r="G11" s="85" t="n">
        <v>0.0178</v>
      </c>
      <c r="H11" s="84" t="n">
        <v>42.2</v>
      </c>
      <c r="I11" s="84" t="n">
        <v>2.5</v>
      </c>
      <c r="J11" s="80" t="n">
        <f aca="false">(F11*G11*H11*D11*100)/(I11*E11)</f>
        <v>2.49685750354623</v>
      </c>
      <c r="K11" s="80" t="n">
        <f aca="false">IF(J11&lt;=1.5, 1.5, IF(J11&lt;=2.5, 2.5, IF(J11&lt;=4, 4, IF(J11&lt;=6, 6, IF(J11&lt;=10, 10, 16)))))</f>
        <v>2.5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5" hidden="false" customHeight="true" outlineLevel="0" collapsed="false">
      <c r="A12" s="79" t="s">
        <v>130</v>
      </c>
      <c r="B12" s="79" t="s">
        <v>118</v>
      </c>
      <c r="C12" s="79" t="s">
        <v>123</v>
      </c>
      <c r="D12" s="80" t="n">
        <f aca="false">'Divisão dos Circuitos'!K12</f>
        <v>18.2321137638829</v>
      </c>
      <c r="E12" s="84" t="n">
        <v>380</v>
      </c>
      <c r="F12" s="86" t="n">
        <v>1.732</v>
      </c>
      <c r="G12" s="85" t="n">
        <v>0.0178</v>
      </c>
      <c r="H12" s="84" t="n">
        <v>15</v>
      </c>
      <c r="I12" s="84" t="n">
        <v>2.5</v>
      </c>
      <c r="J12" s="80" t="n">
        <f aca="false">(F12*G12*H12*D12*100)/(I12*E12)</f>
        <v>0.887508591307903</v>
      </c>
      <c r="K12" s="80" t="n">
        <f aca="false">IF(J12&lt;=1.5, 1.5, IF(J12&lt;=2.5, 2.5, IF(J12&lt;=4, 4, IF(J12&lt;=6, 6, IF(J12&lt;=10, 10, 16)))))</f>
        <v>1.5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5" hidden="false" customHeight="true" outlineLevel="0" collapsed="false">
      <c r="A13" s="79" t="s">
        <v>131</v>
      </c>
      <c r="B13" s="79" t="s">
        <v>118</v>
      </c>
      <c r="C13" s="79" t="s">
        <v>127</v>
      </c>
      <c r="D13" s="80" t="n">
        <f aca="false">'Divisão dos Circuitos'!K13</f>
        <v>18.2321137638829</v>
      </c>
      <c r="E13" s="84" t="n">
        <v>380</v>
      </c>
      <c r="F13" s="86" t="n">
        <v>1.732</v>
      </c>
      <c r="G13" s="85" t="n">
        <v>0.0178</v>
      </c>
      <c r="H13" s="84" t="n">
        <v>52.5</v>
      </c>
      <c r="I13" s="84" t="n">
        <v>2.5</v>
      </c>
      <c r="J13" s="80" t="n">
        <f aca="false">(F13*G13*H13*D13*100)/(I13*E13)</f>
        <v>3.10628006957766</v>
      </c>
      <c r="K13" s="80" t="n">
        <f aca="false">IF(J13&lt;=1.5, 1.5, IF(J13&lt;=2.5, 2.5, IF(J13&lt;=4, 4, IF(J13&lt;=6, 6, IF(J13&lt;=10, 10, 16)))))</f>
        <v>4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5" hidden="false" customHeight="true" outlineLevel="0" collapsed="false">
      <c r="A14" s="79" t="s">
        <v>132</v>
      </c>
      <c r="B14" s="79" t="s">
        <v>118</v>
      </c>
      <c r="C14" s="79" t="s">
        <v>133</v>
      </c>
      <c r="D14" s="80" t="n">
        <f aca="false">'Divisão dos Circuitos'!K14</f>
        <v>13.6363636363636</v>
      </c>
      <c r="E14" s="84" t="n">
        <v>220</v>
      </c>
      <c r="F14" s="86" t="n">
        <v>2</v>
      </c>
      <c r="G14" s="85" t="n">
        <v>0.0178</v>
      </c>
      <c r="H14" s="79" t="n">
        <v>27.7</v>
      </c>
      <c r="I14" s="84" t="n">
        <v>2.5</v>
      </c>
      <c r="J14" s="80" t="n">
        <f aca="false">(F14*G14*H14*D14*100)/(I14*E14)</f>
        <v>2.44492561983471</v>
      </c>
      <c r="K14" s="80" t="n">
        <f aca="false">IF(J14&lt;=1.5, 1.5, IF(J14&lt;=2.5, 2.5, IF(J14&lt;=4, 4, IF(J14&lt;=6, 6, IF(J14&lt;=10, 10, 16)))))</f>
        <v>2.5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5" hidden="false" customHeight="true" outlineLevel="0" collapsed="false">
      <c r="A15" s="79" t="s">
        <v>134</v>
      </c>
      <c r="B15" s="79" t="s">
        <v>118</v>
      </c>
      <c r="C15" s="79" t="s">
        <v>135</v>
      </c>
      <c r="D15" s="80" t="n">
        <f aca="false">'Divisão dos Circuitos'!K15</f>
        <v>10</v>
      </c>
      <c r="E15" s="84" t="n">
        <v>220</v>
      </c>
      <c r="F15" s="86" t="n">
        <v>2</v>
      </c>
      <c r="G15" s="85" t="n">
        <v>0.0178</v>
      </c>
      <c r="H15" s="79" t="n">
        <v>30.1</v>
      </c>
      <c r="I15" s="84" t="n">
        <v>2.5</v>
      </c>
      <c r="J15" s="80" t="n">
        <f aca="false">(F15*G15*H15*D15*100)/(I15*E15)</f>
        <v>1.94829090909091</v>
      </c>
      <c r="K15" s="80" t="n">
        <f aca="false">IF(J15&lt;=1.5, 1.5, IF(J15&lt;=2.5, 2.5, IF(J15&lt;=4, 4, IF(J15&lt;=6, 6, IF(J15&lt;=10, 10, 16)))))</f>
        <v>2.5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5" hidden="false" customHeight="true" outlineLevel="0" collapsed="false">
      <c r="A16" s="79" t="s">
        <v>136</v>
      </c>
      <c r="B16" s="79" t="s">
        <v>118</v>
      </c>
      <c r="C16" s="79" t="s">
        <v>137</v>
      </c>
      <c r="D16" s="80" t="n">
        <f aca="false">'Divisão dos Circuitos'!K16</f>
        <v>9.09090909090909</v>
      </c>
      <c r="E16" s="84" t="n">
        <v>220</v>
      </c>
      <c r="F16" s="86" t="n">
        <v>2</v>
      </c>
      <c r="G16" s="85" t="n">
        <v>0.0178</v>
      </c>
      <c r="H16" s="84" t="n">
        <v>34</v>
      </c>
      <c r="I16" s="84" t="n">
        <v>2.5</v>
      </c>
      <c r="J16" s="80" t="n">
        <f aca="false">(F16*G16*H16*D16*100)/(I16*E16)</f>
        <v>2.00066115702479</v>
      </c>
      <c r="K16" s="80" t="n">
        <f aca="false">IF(J16&lt;=1.5, 1.5, IF(J16&lt;=2.5, 2.5, IF(J16&lt;=4, 4, IF(J16&lt;=6, 6, IF(J16&lt;=10, 10, 16)))))</f>
        <v>2.5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5" hidden="false" customHeight="true" outlineLevel="0" collapsed="false">
      <c r="A17" s="79" t="s">
        <v>138</v>
      </c>
      <c r="B17" s="79" t="s">
        <v>118</v>
      </c>
      <c r="C17" s="79" t="s">
        <v>139</v>
      </c>
      <c r="D17" s="80" t="n">
        <f aca="false">'Divisão dos Circuitos'!K17</f>
        <v>15.4545454545455</v>
      </c>
      <c r="E17" s="84" t="n">
        <v>220</v>
      </c>
      <c r="F17" s="86" t="n">
        <v>2</v>
      </c>
      <c r="G17" s="85" t="n">
        <v>0.0178</v>
      </c>
      <c r="H17" s="84" t="n">
        <v>35</v>
      </c>
      <c r="I17" s="84" t="n">
        <v>2.5</v>
      </c>
      <c r="J17" s="80" t="n">
        <f aca="false">(F17*G17*H17*D17*100)/(I17*E17)</f>
        <v>3.50115702479339</v>
      </c>
      <c r="K17" s="80" t="n">
        <f aca="false">IF(J17&lt;=1.5, 1.5, IF(J17&lt;=2.5, 2.5, IF(J17&lt;=4, 4, IF(J17&lt;=6, 6, IF(J17&lt;=10, 10, 16)))))</f>
        <v>4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5" hidden="false" customHeight="true" outlineLevel="0" collapsed="false">
      <c r="A18" s="78" t="s">
        <v>140</v>
      </c>
      <c r="B18" s="78"/>
      <c r="C18" s="78"/>
      <c r="D18" s="77"/>
      <c r="E18" s="82"/>
      <c r="F18" s="78"/>
      <c r="G18" s="83"/>
      <c r="H18" s="82"/>
      <c r="I18" s="82"/>
      <c r="J18" s="77"/>
      <c r="K18" s="77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5" hidden="false" customHeight="true" outlineLevel="0" collapsed="false">
      <c r="A19" s="79" t="s">
        <v>141</v>
      </c>
      <c r="B19" s="79" t="s">
        <v>142</v>
      </c>
      <c r="C19" s="79" t="s">
        <v>143</v>
      </c>
      <c r="D19" s="80" t="n">
        <f aca="false">'Divisão dos Circuitos'!K19</f>
        <v>8.87235996326905</v>
      </c>
      <c r="E19" s="84" t="n">
        <v>220</v>
      </c>
      <c r="F19" s="79" t="n">
        <v>2</v>
      </c>
      <c r="G19" s="85" t="n">
        <v>0.0178</v>
      </c>
      <c r="H19" s="84" t="n">
        <v>45.1</v>
      </c>
      <c r="I19" s="84" t="n">
        <v>2.5</v>
      </c>
      <c r="J19" s="80" t="n">
        <f aca="false">(F19*G19*H19*D19*100)/(I19*E19)</f>
        <v>2.5900193204775</v>
      </c>
      <c r="K19" s="80" t="n">
        <f aca="false">IF(J19&lt;=1.5, 1.5, IF(J19&lt;=2.5, 2.5, IF(J19&lt;=4, 4, IF(J19&lt;=6, 6, IF(J19&lt;=10, 10, 16)))))</f>
        <v>4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5.75" hidden="false" customHeight="true" outlineLevel="0" collapsed="false">
      <c r="A20" s="79" t="s">
        <v>144</v>
      </c>
      <c r="B20" s="79" t="s">
        <v>142</v>
      </c>
      <c r="C20" s="79" t="s">
        <v>53</v>
      </c>
      <c r="D20" s="80" t="n">
        <f aca="false">'Divisão dos Circuitos'!K20</f>
        <v>7.58815426997245</v>
      </c>
      <c r="E20" s="79" t="n">
        <v>220</v>
      </c>
      <c r="F20" s="79" t="n">
        <v>2</v>
      </c>
      <c r="G20" s="85" t="n">
        <v>0.0178</v>
      </c>
      <c r="H20" s="84" t="n">
        <v>42.9</v>
      </c>
      <c r="I20" s="84" t="n">
        <v>2.5</v>
      </c>
      <c r="J20" s="80" t="n">
        <f aca="false">(F20*G20*H20*D20*100)/(I20*E20)</f>
        <v>2.10707867768595</v>
      </c>
      <c r="K20" s="80" t="n">
        <f aca="false">IF(J20&lt;=1.5, 1.5, IF(J20&lt;=2.5, 2.5, IF(J20&lt;=4, 4, IF(J20&lt;=6, 6, IF(J20&lt;=10, 10, 16)))))</f>
        <v>2.5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5" hidden="false" customHeight="true" outlineLevel="0" collapsed="false">
      <c r="A21" s="79" t="s">
        <v>145</v>
      </c>
      <c r="B21" s="79" t="s">
        <v>142</v>
      </c>
      <c r="C21" s="79" t="s">
        <v>146</v>
      </c>
      <c r="D21" s="80" t="n">
        <f aca="false">'Divisão dos Circuitos'!K21</f>
        <v>5.45454545454545</v>
      </c>
      <c r="E21" s="84" t="n">
        <v>220</v>
      </c>
      <c r="F21" s="79" t="n">
        <v>2</v>
      </c>
      <c r="G21" s="85" t="n">
        <v>0.0178</v>
      </c>
      <c r="H21" s="79" t="n">
        <v>17.7</v>
      </c>
      <c r="I21" s="84" t="n">
        <v>2.5</v>
      </c>
      <c r="J21" s="80" t="n">
        <f aca="false">(F21*G21*H21*D21*100)/(I21*E21)</f>
        <v>0.624912396694215</v>
      </c>
      <c r="K21" s="80" t="n">
        <f aca="false">IF(J21&lt;=1.5, 1.5, IF(J21&lt;=2.5, 2.5, IF(J21&lt;=4, 4, IF(J21&lt;=6, 6, IF(J21&lt;=10, 10, 16)))))</f>
        <v>1.5</v>
      </c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5" hidden="false" customHeight="true" outlineLevel="0" collapsed="false">
      <c r="A22" s="79" t="s">
        <v>147</v>
      </c>
      <c r="B22" s="79" t="s">
        <v>142</v>
      </c>
      <c r="C22" s="79" t="s">
        <v>148</v>
      </c>
      <c r="D22" s="80" t="n">
        <f aca="false">'Divisão dos Circuitos'!K22</f>
        <v>10.9090909090909</v>
      </c>
      <c r="E22" s="84" t="n">
        <v>220</v>
      </c>
      <c r="F22" s="79" t="n">
        <v>2</v>
      </c>
      <c r="G22" s="85" t="n">
        <v>0.0178</v>
      </c>
      <c r="H22" s="79" t="n">
        <v>25.8</v>
      </c>
      <c r="I22" s="84" t="n">
        <v>2.5</v>
      </c>
      <c r="J22" s="80" t="n">
        <f aca="false">(F22*G22*H22*D22*100)/(I22*E22)</f>
        <v>1.82177851239669</v>
      </c>
      <c r="K22" s="80" t="n">
        <f aca="false">IF(J22&lt;=1.5, 1.5, IF(J22&lt;=2.5, 2.5, IF(J22&lt;=4, 4, IF(J22&lt;=6, 6, IF(J22&lt;=10, 10, 16)))))</f>
        <v>2.5</v>
      </c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5" hidden="false" customHeight="true" outlineLevel="0" collapsed="false">
      <c r="A23" s="79" t="s">
        <v>149</v>
      </c>
      <c r="B23" s="79" t="s">
        <v>142</v>
      </c>
      <c r="C23" s="79" t="s">
        <v>150</v>
      </c>
      <c r="D23" s="80" t="n">
        <f aca="false">'Divisão dos Circuitos'!K23</f>
        <v>8.18181818181818</v>
      </c>
      <c r="E23" s="84" t="n">
        <v>220</v>
      </c>
      <c r="F23" s="79" t="n">
        <v>2</v>
      </c>
      <c r="G23" s="85" t="n">
        <v>0.0178</v>
      </c>
      <c r="H23" s="79" t="n">
        <v>18.5</v>
      </c>
      <c r="I23" s="84" t="n">
        <v>2.5</v>
      </c>
      <c r="J23" s="80" t="n">
        <f aca="false">(F23*G23*H23*D23*100)/(I23*E23)</f>
        <v>0.979735537190083</v>
      </c>
      <c r="K23" s="80" t="n">
        <f aca="false">IF(J23&lt;=1.5, 1.5, IF(J23&lt;=2.5, 2.5, IF(J23&lt;=4, 4, IF(J23&lt;=6, 6, IF(J23&lt;=10, 10, 16)))))</f>
        <v>1.5</v>
      </c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5" hidden="false" customHeight="true" outlineLevel="0" collapsed="false">
      <c r="A24" s="79" t="s">
        <v>151</v>
      </c>
      <c r="B24" s="79" t="s">
        <v>142</v>
      </c>
      <c r="C24" s="79" t="s">
        <v>152</v>
      </c>
      <c r="D24" s="80" t="n">
        <f aca="false">'Divisão dos Circuitos'!K24</f>
        <v>10.9090909090909</v>
      </c>
      <c r="E24" s="84" t="n">
        <v>220</v>
      </c>
      <c r="F24" s="79" t="n">
        <v>2</v>
      </c>
      <c r="G24" s="85" t="n">
        <v>0.0178</v>
      </c>
      <c r="H24" s="84" t="n">
        <v>42.7</v>
      </c>
      <c r="I24" s="84" t="n">
        <v>2.5</v>
      </c>
      <c r="J24" s="80" t="n">
        <f aca="false">(F24*G24*H24*D24*100)/(I24*E24)</f>
        <v>3.01511404958678</v>
      </c>
      <c r="K24" s="80" t="n">
        <f aca="false">IF(J24&lt;=1.5, 1.5, IF(J24&lt;=2.5, 2.5, IF(J24&lt;=4, 4, IF(J24&lt;=6, 6, IF(J24&lt;=10, 10, 16)))))</f>
        <v>4</v>
      </c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5" hidden="false" customHeight="true" outlineLevel="0" collapsed="false">
      <c r="A25" s="79" t="s">
        <v>153</v>
      </c>
      <c r="B25" s="79" t="s">
        <v>142</v>
      </c>
      <c r="C25" s="79" t="s">
        <v>154</v>
      </c>
      <c r="D25" s="80" t="n">
        <f aca="false">'Divisão dos Circuitos'!K25</f>
        <v>8.18181818181818</v>
      </c>
      <c r="E25" s="84" t="n">
        <v>220</v>
      </c>
      <c r="F25" s="79" t="n">
        <v>2</v>
      </c>
      <c r="G25" s="85" t="n">
        <v>0.0178</v>
      </c>
      <c r="H25" s="84" t="n">
        <v>39.5</v>
      </c>
      <c r="I25" s="84" t="n">
        <v>2.5</v>
      </c>
      <c r="J25" s="80" t="n">
        <f aca="false">(F25*G25*H25*D25*100)/(I25*E25)</f>
        <v>2.09186776859504</v>
      </c>
      <c r="K25" s="80" t="n">
        <f aca="false">IF(J25&lt;=1.5, 1.5, IF(J25&lt;=2.5, 2.5, IF(J25&lt;=4, 4, IF(J25&lt;=6, 6, IF(J25&lt;=10, 10, 16)))))</f>
        <v>2.5</v>
      </c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5.75" hidden="false" customHeight="true" outlineLevel="0" collapsed="false">
      <c r="A26" s="79" t="s">
        <v>155</v>
      </c>
      <c r="B26" s="79" t="s">
        <v>142</v>
      </c>
      <c r="C26" s="79" t="s">
        <v>156</v>
      </c>
      <c r="D26" s="80" t="n">
        <f aca="false">'Divisão dos Circuitos'!K26</f>
        <v>8.18181818181818</v>
      </c>
      <c r="E26" s="79" t="n">
        <v>220</v>
      </c>
      <c r="F26" s="79" t="n">
        <v>2</v>
      </c>
      <c r="G26" s="85" t="n">
        <v>0.0178</v>
      </c>
      <c r="H26" s="79" t="n">
        <v>30.4</v>
      </c>
      <c r="I26" s="84" t="n">
        <v>2.5</v>
      </c>
      <c r="J26" s="80" t="n">
        <f aca="false">(F26*G26*H26*D26*100)/(I26*E26)</f>
        <v>1.60994380165289</v>
      </c>
      <c r="K26" s="80" t="n">
        <f aca="false">IF(J26&lt;=1.5, 1.5, IF(J26&lt;=2.5, 2.5, IF(J26&lt;=4, 4, IF(J26&lt;=6, 6, IF(J26&lt;=10, 10, 16)))))</f>
        <v>2.5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5.75" hidden="false" customHeight="true" outlineLevel="0" collapsed="false">
      <c r="A27" s="79" t="s">
        <v>157</v>
      </c>
      <c r="B27" s="79" t="s">
        <v>142</v>
      </c>
      <c r="C27" s="79" t="s">
        <v>158</v>
      </c>
      <c r="D27" s="80" t="n">
        <f aca="false">'Divisão dos Circuitos'!K27</f>
        <v>8.18181818181818</v>
      </c>
      <c r="E27" s="79" t="n">
        <v>220</v>
      </c>
      <c r="F27" s="79" t="n">
        <v>2</v>
      </c>
      <c r="G27" s="85" t="n">
        <v>0.0178</v>
      </c>
      <c r="H27" s="84" t="n">
        <v>34.4</v>
      </c>
      <c r="I27" s="84" t="n">
        <v>2.5</v>
      </c>
      <c r="J27" s="80" t="n">
        <f aca="false">(F27*G27*H27*D27*100)/(I27*E27)</f>
        <v>1.82177851239669</v>
      </c>
      <c r="K27" s="80" t="n">
        <f aca="false">IF(J27&lt;=1.5, 1.5, IF(J27&lt;=2.5, 2.5, IF(J27&lt;=4, 4, IF(J27&lt;=6, 6, IF(J27&lt;=10, 10, 16)))))</f>
        <v>2.5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5" hidden="false" customHeight="true" outlineLevel="0" collapsed="false">
      <c r="A28" s="79" t="s">
        <v>159</v>
      </c>
      <c r="B28" s="79" t="s">
        <v>142</v>
      </c>
      <c r="C28" s="79" t="s">
        <v>148</v>
      </c>
      <c r="D28" s="80" t="n">
        <f aca="false">'Divisão dos Circuitos'!K28</f>
        <v>18.2321137638829</v>
      </c>
      <c r="E28" s="84" t="n">
        <v>380</v>
      </c>
      <c r="F28" s="86" t="n">
        <v>1.732</v>
      </c>
      <c r="G28" s="85" t="n">
        <v>0.0178</v>
      </c>
      <c r="H28" s="79" t="n">
        <v>23.9</v>
      </c>
      <c r="I28" s="84" t="n">
        <v>2.5</v>
      </c>
      <c r="J28" s="80" t="n">
        <f aca="false">(F28*G28*H28*D28*100)/(I28*E28)</f>
        <v>1.41409702215059</v>
      </c>
      <c r="K28" s="80" t="n">
        <f aca="false">IF(J28&lt;=1.5, 1.5, IF(J28&lt;=2.5, 2.5, IF(J28&lt;=4, 4, IF(J28&lt;=6, 6, IF(J28&lt;=10, 10, 16)))))</f>
        <v>1.5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5" hidden="false" customHeight="true" outlineLevel="0" collapsed="false">
      <c r="A29" s="79" t="s">
        <v>160</v>
      </c>
      <c r="B29" s="79" t="s">
        <v>142</v>
      </c>
      <c r="C29" s="79" t="s">
        <v>150</v>
      </c>
      <c r="D29" s="80" t="n">
        <f aca="false">'Divisão dos Circuitos'!K29</f>
        <v>18.2321137638829</v>
      </c>
      <c r="E29" s="84" t="n">
        <v>380</v>
      </c>
      <c r="F29" s="86" t="n">
        <v>1.732</v>
      </c>
      <c r="G29" s="85" t="n">
        <v>0.0178</v>
      </c>
      <c r="H29" s="79" t="n">
        <v>16.6</v>
      </c>
      <c r="I29" s="84" t="n">
        <v>2.5</v>
      </c>
      <c r="J29" s="80" t="n">
        <f aca="false">(F29*G29*H29*D29*100)/(I29*E29)</f>
        <v>0.982176174380745</v>
      </c>
      <c r="K29" s="80" t="n">
        <f aca="false">IF(J29&lt;=1.5, 1.5, IF(J29&lt;=2.5, 2.5, IF(J29&lt;=4, 4, IF(J29&lt;=6, 6, IF(J29&lt;=10, 10, 16)))))</f>
        <v>1.5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5.75" hidden="false" customHeight="true" outlineLevel="0" collapsed="false">
      <c r="A30" s="79" t="s">
        <v>161</v>
      </c>
      <c r="B30" s="79" t="s">
        <v>142</v>
      </c>
      <c r="C30" s="79" t="s">
        <v>152</v>
      </c>
      <c r="D30" s="80" t="n">
        <f aca="false">'Divisão dos Circuitos'!K30</f>
        <v>18.2321137638829</v>
      </c>
      <c r="E30" s="79" t="n">
        <v>380</v>
      </c>
      <c r="F30" s="86" t="n">
        <v>1.732</v>
      </c>
      <c r="G30" s="85" t="n">
        <v>0.0178</v>
      </c>
      <c r="H30" s="84" t="n">
        <v>44.3</v>
      </c>
      <c r="I30" s="84" t="n">
        <v>2.5</v>
      </c>
      <c r="J30" s="80" t="n">
        <f aca="false">(F30*G30*H30*D30*100)/(I30*E30)</f>
        <v>2.62110870632934</v>
      </c>
      <c r="K30" s="80" t="n">
        <f aca="false">IF(J30&lt;=1.5, 1.5, IF(J30&lt;=2.5, 2.5, IF(J30&lt;=4, 4, IF(J30&lt;=6, 6, IF(J30&lt;=10, 10, 16)))))</f>
        <v>4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5.75" hidden="false" customHeight="true" outlineLevel="0" collapsed="false">
      <c r="A31" s="79" t="s">
        <v>162</v>
      </c>
      <c r="B31" s="79" t="s">
        <v>142</v>
      </c>
      <c r="C31" s="79" t="s">
        <v>53</v>
      </c>
      <c r="D31" s="80" t="n">
        <f aca="false">'Divisão dos Circuitos'!K31</f>
        <v>27.3481706458244</v>
      </c>
      <c r="E31" s="79" t="n">
        <v>380</v>
      </c>
      <c r="F31" s="86" t="n">
        <v>1.732</v>
      </c>
      <c r="G31" s="85" t="n">
        <v>0.0178</v>
      </c>
      <c r="H31" s="79" t="n">
        <v>28.4</v>
      </c>
      <c r="I31" s="84" t="n">
        <v>2.5</v>
      </c>
      <c r="J31" s="80" t="n">
        <f aca="false">(F31*G31*H31*D31*100)/(I31*E31)</f>
        <v>2.52052439931444</v>
      </c>
      <c r="K31" s="80" t="n">
        <f aca="false">IF(J31&lt;=1.5, 1.5, IF(J31&lt;=2.5, 2.5, IF(J31&lt;=4, 4, IF(J31&lt;=6, 6, IF(J31&lt;=10, 10, 16)))))</f>
        <v>4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5.75" hidden="false" customHeight="true" outlineLevel="0" collapsed="false">
      <c r="A32" s="79" t="s">
        <v>163</v>
      </c>
      <c r="B32" s="79" t="s">
        <v>142</v>
      </c>
      <c r="C32" s="79" t="s">
        <v>164</v>
      </c>
      <c r="D32" s="80" t="n">
        <f aca="false">'Divisão dos Circuitos'!K32</f>
        <v>13.9146567717996</v>
      </c>
      <c r="E32" s="79" t="n">
        <v>220</v>
      </c>
      <c r="F32" s="79" t="n">
        <v>2</v>
      </c>
      <c r="G32" s="85" t="n">
        <v>0.0178</v>
      </c>
      <c r="H32" s="84" t="n">
        <v>15</v>
      </c>
      <c r="I32" s="84" t="n">
        <v>2.5</v>
      </c>
      <c r="J32" s="80" t="n">
        <f aca="false">(F32*G32*H32*D32*100)/(I32*E32)</f>
        <v>1.350986675662</v>
      </c>
      <c r="K32" s="80" t="n">
        <f aca="false">IF(J32&lt;=1.5, 1.5, IF(J32&lt;=2.5, 2.5, IF(J32&lt;=4, 4, IF(J32&lt;=6, 6, IF(J32&lt;=10, 10, 16)))))</f>
        <v>1.5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5.75" hidden="false" customHeight="true" outlineLevel="0" collapsed="false">
      <c r="A33" s="79" t="s">
        <v>165</v>
      </c>
      <c r="B33" s="79" t="s">
        <v>142</v>
      </c>
      <c r="C33" s="79" t="s">
        <v>154</v>
      </c>
      <c r="D33" s="80" t="n">
        <f aca="false">'Divisão dos Circuitos'!K33</f>
        <v>18.2321137638829</v>
      </c>
      <c r="E33" s="79" t="n">
        <v>380</v>
      </c>
      <c r="F33" s="79" t="n">
        <v>1.732</v>
      </c>
      <c r="G33" s="85" t="n">
        <v>0.0178</v>
      </c>
      <c r="H33" s="84" t="n">
        <v>41.1</v>
      </c>
      <c r="I33" s="84" t="n">
        <v>2.5</v>
      </c>
      <c r="J33" s="80" t="n">
        <f aca="false">(F33*G33*H33*D33*100)/(I33*E33)</f>
        <v>2.43177354018365</v>
      </c>
      <c r="K33" s="80" t="n">
        <f aca="false">IF(J33&lt;=1.5, 1.5, IF(J33&lt;=2.5, 2.5, IF(J33&lt;=4, 4, IF(J33&lt;=6, 6, IF(J33&lt;=10, 10, 16)))))</f>
        <v>2.5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5.75" hidden="false" customHeight="true" outlineLevel="0" collapsed="false">
      <c r="A34" s="79" t="s">
        <v>166</v>
      </c>
      <c r="B34" s="79" t="s">
        <v>142</v>
      </c>
      <c r="C34" s="79" t="s">
        <v>90</v>
      </c>
      <c r="D34" s="80" t="n">
        <f aca="false">'Divisão dos Circuitos'!K34</f>
        <v>12.7272727272727</v>
      </c>
      <c r="E34" s="79" t="n">
        <v>220</v>
      </c>
      <c r="F34" s="79" t="n">
        <v>2</v>
      </c>
      <c r="G34" s="85" t="n">
        <v>0.0178</v>
      </c>
      <c r="H34" s="84" t="n">
        <v>31</v>
      </c>
      <c r="I34" s="84" t="n">
        <v>2.5</v>
      </c>
      <c r="J34" s="80" t="n">
        <f aca="false">(F34*G34*H34*D34*100)/(I34*E34)</f>
        <v>2.55378512396694</v>
      </c>
      <c r="K34" s="80" t="n">
        <f aca="false">IF(J34&lt;=1.5, 1.5, IF(J34&lt;=2.5, 2.5, IF(J34&lt;=4, 4, IF(J34&lt;=6, 6, IF(J34&lt;=10, 10, 16)))))</f>
        <v>4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5.75" hidden="false" customHeight="true" outlineLevel="0" collapsed="false">
      <c r="A35" s="79" t="s">
        <v>167</v>
      </c>
      <c r="B35" s="79" t="s">
        <v>142</v>
      </c>
      <c r="C35" s="79" t="s">
        <v>91</v>
      </c>
      <c r="D35" s="80" t="n">
        <f aca="false">'Divisão dos Circuitos'!K35</f>
        <v>17.8947368421053</v>
      </c>
      <c r="E35" s="79" t="n">
        <v>380</v>
      </c>
      <c r="F35" s="79" t="n">
        <v>2</v>
      </c>
      <c r="G35" s="85" t="n">
        <v>0.0178</v>
      </c>
      <c r="H35" s="84" t="n">
        <v>36</v>
      </c>
      <c r="I35" s="84" t="n">
        <v>2.5</v>
      </c>
      <c r="J35" s="80" t="n">
        <f aca="false">(F35*G35*H35*D35*100)/(I35*E35)</f>
        <v>2.41409418282549</v>
      </c>
      <c r="K35" s="80" t="n">
        <f aca="false">IF(J35&lt;=1.5, 1.5, IF(J35&lt;=2.5, 2.5, IF(J35&lt;=4, 4, IF(J35&lt;=6, 6, IF(J35&lt;=10, 10, 16)))))</f>
        <v>2.5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5.75" hidden="false" customHeight="true" outlineLevel="0" collapsed="false">
      <c r="A36" s="78" t="s">
        <v>168</v>
      </c>
      <c r="B36" s="78"/>
      <c r="C36" s="78"/>
      <c r="D36" s="77"/>
      <c r="E36" s="78"/>
      <c r="F36" s="78"/>
      <c r="G36" s="83"/>
      <c r="H36" s="82"/>
      <c r="I36" s="82"/>
      <c r="J36" s="77"/>
      <c r="K36" s="77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5.75" hidden="false" customHeight="true" outlineLevel="0" collapsed="false">
      <c r="A37" s="79" t="s">
        <v>169</v>
      </c>
      <c r="B37" s="79" t="s">
        <v>170</v>
      </c>
      <c r="C37" s="79" t="s">
        <v>171</v>
      </c>
      <c r="D37" s="80" t="n">
        <f aca="false">'Divisão dos Circuitos'!K37</f>
        <v>8.90909090909091</v>
      </c>
      <c r="E37" s="79" t="n">
        <v>220</v>
      </c>
      <c r="F37" s="79" t="n">
        <v>2</v>
      </c>
      <c r="G37" s="85" t="n">
        <v>0.0178</v>
      </c>
      <c r="H37" s="79" t="n">
        <v>20.1</v>
      </c>
      <c r="I37" s="84" t="n">
        <v>2.5</v>
      </c>
      <c r="J37" s="80" t="n">
        <f aca="false">(F37*G37*H37*D37*100)/(I37*E37)</f>
        <v>1.15908892561984</v>
      </c>
      <c r="K37" s="80" t="n">
        <f aca="false">IF(J37&lt;=1.5, 1.5, IF(J37&lt;=2.5, 2.5, IF(J37&lt;=4, 4, IF(J37&lt;=6, 6, IF(J37&lt;=10, 10, 16)))))</f>
        <v>1.5</v>
      </c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5.75" hidden="false" customHeight="true" outlineLevel="0" collapsed="false">
      <c r="A38" s="79" t="s">
        <v>172</v>
      </c>
      <c r="B38" s="79" t="s">
        <v>170</v>
      </c>
      <c r="C38" s="79" t="s">
        <v>61</v>
      </c>
      <c r="D38" s="80" t="n">
        <f aca="false">'Divisão dos Circuitos'!K38</f>
        <v>9.09090909090909</v>
      </c>
      <c r="E38" s="79" t="n">
        <v>220</v>
      </c>
      <c r="F38" s="79" t="n">
        <v>2</v>
      </c>
      <c r="G38" s="85" t="n">
        <v>0.0178</v>
      </c>
      <c r="H38" s="79" t="n">
        <v>13.1</v>
      </c>
      <c r="I38" s="84" t="n">
        <v>2.5</v>
      </c>
      <c r="J38" s="80" t="n">
        <f aca="false">(F38*G38*H38*D38*100)/(I38*E38)</f>
        <v>0.770842975206612</v>
      </c>
      <c r="K38" s="80" t="n">
        <f aca="false">IF(J38&lt;=1.5, 1.5, IF(J38&lt;=2.5, 2.5, IF(J38&lt;=4, 4, IF(J38&lt;=6, 6, IF(J38&lt;=10, 10, 16)))))</f>
        <v>1.5</v>
      </c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5.75" hidden="false" customHeight="true" outlineLevel="0" collapsed="false">
      <c r="A39" s="79" t="s">
        <v>173</v>
      </c>
      <c r="B39" s="79" t="s">
        <v>170</v>
      </c>
      <c r="C39" s="79" t="s">
        <v>174</v>
      </c>
      <c r="D39" s="80" t="n">
        <f aca="false">'Divisão dos Circuitos'!K39</f>
        <v>5.45454545454545</v>
      </c>
      <c r="E39" s="79" t="n">
        <v>220</v>
      </c>
      <c r="F39" s="79" t="n">
        <v>2</v>
      </c>
      <c r="G39" s="85" t="n">
        <v>0.0178</v>
      </c>
      <c r="H39" s="84" t="n">
        <v>28</v>
      </c>
      <c r="I39" s="84" t="n">
        <v>2.5</v>
      </c>
      <c r="J39" s="80" t="n">
        <f aca="false">(F39*G39*H39*D39*100)/(I39*E39)</f>
        <v>0.988561983471074</v>
      </c>
      <c r="K39" s="80" t="n">
        <f aca="false">IF(J39&lt;=1.5, 1.5, IF(J39&lt;=2.5, 2.5, IF(J39&lt;=4, 4, IF(J39&lt;=6, 6, IF(J39&lt;=10, 10, 16)))))</f>
        <v>1.5</v>
      </c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5.75" hidden="false" customHeight="true" outlineLevel="0" collapsed="false">
      <c r="A40" s="79" t="s">
        <v>175</v>
      </c>
      <c r="B40" s="79" t="s">
        <v>170</v>
      </c>
      <c r="C40" s="79" t="s">
        <v>176</v>
      </c>
      <c r="D40" s="80" t="n">
        <f aca="false">'Divisão dos Circuitos'!K40</f>
        <v>13.1818181818182</v>
      </c>
      <c r="E40" s="79" t="n">
        <v>220</v>
      </c>
      <c r="F40" s="79" t="n">
        <v>2</v>
      </c>
      <c r="G40" s="85" t="n">
        <v>0.0178</v>
      </c>
      <c r="H40" s="84" t="n">
        <v>33.2</v>
      </c>
      <c r="I40" s="84" t="n">
        <v>2.5</v>
      </c>
      <c r="J40" s="80" t="n">
        <f aca="false">(F40*G40*H40*D40*100)/(I40*E40)</f>
        <v>2.83270082644628</v>
      </c>
      <c r="K40" s="80" t="n">
        <f aca="false">IF(J40&lt;=1.5, 1.5, IF(J40&lt;=2.5, 2.5, IF(J40&lt;=4, 4, IF(J40&lt;=6, 6, IF(J40&lt;=10, 10, 16)))))</f>
        <v>4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5.75" hidden="false" customHeight="true" outlineLevel="0" collapsed="false">
      <c r="A41" s="79" t="s">
        <v>177</v>
      </c>
      <c r="B41" s="79" t="s">
        <v>170</v>
      </c>
      <c r="C41" s="79" t="s">
        <v>178</v>
      </c>
      <c r="D41" s="80" t="n">
        <f aca="false">'Divisão dos Circuitos'!K41</f>
        <v>6.36363636363636</v>
      </c>
      <c r="E41" s="79" t="n">
        <v>220</v>
      </c>
      <c r="F41" s="79" t="n">
        <v>2</v>
      </c>
      <c r="G41" s="85" t="n">
        <v>0.0178</v>
      </c>
      <c r="H41" s="84" t="n">
        <v>27</v>
      </c>
      <c r="I41" s="84" t="n">
        <v>2.5</v>
      </c>
      <c r="J41" s="80" t="n">
        <f aca="false">(F41*G41*H41*D41*100)/(I41*E41)</f>
        <v>1.11213223140496</v>
      </c>
      <c r="K41" s="80" t="n">
        <f aca="false">IF(J41&lt;=1.5, 1.5, IF(J41&lt;=2.5, 2.5, IF(J41&lt;=4, 4, IF(J41&lt;=6, 6, IF(J41&lt;=10, 10, 16)))))</f>
        <v>1.5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5.75" hidden="false" customHeight="true" outlineLevel="0" collapsed="false">
      <c r="A42" s="79" t="s">
        <v>179</v>
      </c>
      <c r="B42" s="79" t="s">
        <v>170</v>
      </c>
      <c r="C42" s="79" t="s">
        <v>180</v>
      </c>
      <c r="D42" s="80" t="n">
        <f aca="false">'Divisão dos Circuitos'!K42</f>
        <v>13.9146567717996</v>
      </c>
      <c r="E42" s="79" t="n">
        <v>220</v>
      </c>
      <c r="F42" s="79" t="n">
        <v>2</v>
      </c>
      <c r="G42" s="85" t="n">
        <v>0.0178</v>
      </c>
      <c r="H42" s="79" t="n">
        <v>31.3</v>
      </c>
      <c r="I42" s="84" t="n">
        <v>2.5</v>
      </c>
      <c r="J42" s="80" t="n">
        <f aca="false">(F42*G42*H42*D42*100)/(I42*E42)</f>
        <v>2.81905886321471</v>
      </c>
      <c r="K42" s="80" t="n">
        <f aca="false">IF(J42&lt;=1.5, 1.5, IF(J42&lt;=2.5, 2.5, IF(J42&lt;=4, 4, IF(J42&lt;=6, 6, IF(J42&lt;=10, 10, 16)))))</f>
        <v>4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5.75" hidden="false" customHeight="true" outlineLevel="0" collapsed="false">
      <c r="A43" s="79" t="s">
        <v>181</v>
      </c>
      <c r="B43" s="79" t="s">
        <v>170</v>
      </c>
      <c r="C43" s="79" t="s">
        <v>182</v>
      </c>
      <c r="D43" s="80" t="n">
        <f aca="false">'Divisão dos Circuitos'!K43</f>
        <v>9.38735177865613</v>
      </c>
      <c r="E43" s="79" t="n">
        <v>220</v>
      </c>
      <c r="F43" s="79" t="n">
        <v>2</v>
      </c>
      <c r="G43" s="85" t="n">
        <v>0.0178</v>
      </c>
      <c r="H43" s="79" t="n">
        <v>18.6</v>
      </c>
      <c r="I43" s="84" t="n">
        <v>2.5</v>
      </c>
      <c r="J43" s="80" t="n">
        <f aca="false">(F43*G43*H43*D43*100)/(I43*E43)</f>
        <v>1.1301688825009</v>
      </c>
      <c r="K43" s="80" t="n">
        <f aca="false">IF(J43&lt;=1.5, 1.5, IF(J43&lt;=2.5, 2.5, IF(J43&lt;=4, 4, IF(J43&lt;=6, 6, IF(J43&lt;=10, 10, 16)))))</f>
        <v>1.5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5.75" hidden="false" customHeight="true" outlineLevel="0" collapsed="false">
      <c r="A44" s="79" t="s">
        <v>183</v>
      </c>
      <c r="B44" s="79" t="s">
        <v>170</v>
      </c>
      <c r="C44" s="79" t="s">
        <v>184</v>
      </c>
      <c r="D44" s="80" t="n">
        <f aca="false">'Divisão dos Circuitos'!K44</f>
        <v>12.3517786561265</v>
      </c>
      <c r="E44" s="79" t="n">
        <v>220</v>
      </c>
      <c r="F44" s="79" t="n">
        <v>2</v>
      </c>
      <c r="G44" s="85" t="n">
        <v>0.0178</v>
      </c>
      <c r="H44" s="79" t="n">
        <v>22.5</v>
      </c>
      <c r="I44" s="84" t="n">
        <v>2.5</v>
      </c>
      <c r="J44" s="80" t="n">
        <f aca="false">(F44*G44*H44*D44*100)/(I44*E44)</f>
        <v>1.79886812791951</v>
      </c>
      <c r="K44" s="80" t="n">
        <f aca="false">IF(J44&lt;=1.5, 1.5, IF(J44&lt;=2.5, 2.5, IF(J44&lt;=4, 4, IF(J44&lt;=6, 6, IF(J44&lt;=10, 10, 16)))))</f>
        <v>2.5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5.75" hidden="false" customHeight="true" outlineLevel="0" collapsed="false">
      <c r="A45" s="79" t="s">
        <v>185</v>
      </c>
      <c r="B45" s="79" t="s">
        <v>170</v>
      </c>
      <c r="C45" s="79" t="s">
        <v>186</v>
      </c>
      <c r="D45" s="80" t="n">
        <f aca="false">'Divisão dos Circuitos'!K45</f>
        <v>6.91699604743083</v>
      </c>
      <c r="E45" s="79" t="n">
        <v>220</v>
      </c>
      <c r="F45" s="79" t="n">
        <v>2</v>
      </c>
      <c r="G45" s="85" t="n">
        <v>0.0178</v>
      </c>
      <c r="H45" s="79" t="n">
        <v>15.8</v>
      </c>
      <c r="I45" s="84" t="n">
        <v>2.5</v>
      </c>
      <c r="J45" s="80" t="n">
        <f aca="false">(F45*G45*H45*D45*100)/(I45*E45)</f>
        <v>0.707394897592526</v>
      </c>
      <c r="K45" s="80" t="n">
        <f aca="false">IF(J45&lt;=1.5, 1.5, IF(J45&lt;=2.5, 2.5, IF(J45&lt;=4, 4, IF(J45&lt;=6, 6, IF(J45&lt;=10, 10, 16)))))</f>
        <v>1.5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5.75" hidden="false" customHeight="true" outlineLevel="0" collapsed="false">
      <c r="A46" s="79" t="s">
        <v>187</v>
      </c>
      <c r="B46" s="79" t="s">
        <v>170</v>
      </c>
      <c r="C46" s="79" t="s">
        <v>188</v>
      </c>
      <c r="D46" s="80" t="n">
        <f aca="false">'Divisão dos Circuitos'!K46</f>
        <v>7.72727272727273</v>
      </c>
      <c r="E46" s="79" t="n">
        <v>220</v>
      </c>
      <c r="F46" s="79" t="n">
        <v>2</v>
      </c>
      <c r="G46" s="85" t="n">
        <v>0.0178</v>
      </c>
      <c r="H46" s="79" t="n">
        <v>28.8</v>
      </c>
      <c r="I46" s="84" t="n">
        <v>2.5</v>
      </c>
      <c r="J46" s="80" t="n">
        <f aca="false">(F46*G46*H46*D46*100)/(I46*E46)</f>
        <v>1.44047603305785</v>
      </c>
      <c r="K46" s="80" t="n">
        <f aca="false">IF(J46&lt;=1.5, 1.5, IF(J46&lt;=2.5, 2.5, IF(J46&lt;=4, 4, IF(J46&lt;=6, 6, IF(J46&lt;=10, 10, 16)))))</f>
        <v>1.5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5.75" hidden="false" customHeight="true" outlineLevel="0" collapsed="false">
      <c r="A47" s="79" t="s">
        <v>189</v>
      </c>
      <c r="B47" s="79" t="s">
        <v>170</v>
      </c>
      <c r="C47" s="79" t="s">
        <v>190</v>
      </c>
      <c r="D47" s="80" t="n">
        <f aca="false">'Divisão dos Circuitos'!K47</f>
        <v>6.63636363636364</v>
      </c>
      <c r="E47" s="79" t="n">
        <v>220</v>
      </c>
      <c r="F47" s="79" t="n">
        <v>2</v>
      </c>
      <c r="G47" s="85" t="n">
        <v>0.0178</v>
      </c>
      <c r="H47" s="84" t="n">
        <v>29.2</v>
      </c>
      <c r="I47" s="84" t="n">
        <v>2.5</v>
      </c>
      <c r="J47" s="80" t="n">
        <f aca="false">(F47*G47*H47*D47*100)/(I47*E47)</f>
        <v>1.25429685950413</v>
      </c>
      <c r="K47" s="80" t="n">
        <f aca="false">IF(J47&lt;=1.5, 1.5, IF(J47&lt;=2.5, 2.5, IF(J47&lt;=4, 4, IF(J47&lt;=6, 6, IF(J47&lt;=10, 10, 16)))))</f>
        <v>1.5</v>
      </c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5.75" hidden="false" customHeight="true" outlineLevel="0" collapsed="false">
      <c r="A48" s="78" t="s">
        <v>191</v>
      </c>
      <c r="B48" s="78"/>
      <c r="C48" s="78"/>
      <c r="D48" s="77"/>
      <c r="E48" s="78"/>
      <c r="F48" s="78"/>
      <c r="G48" s="83"/>
      <c r="H48" s="82"/>
      <c r="I48" s="82"/>
      <c r="J48" s="77"/>
      <c r="K48" s="77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5.75" hidden="false" customHeight="true" outlineLevel="0" collapsed="false">
      <c r="A49" s="79" t="s">
        <v>192</v>
      </c>
      <c r="B49" s="79" t="s">
        <v>193</v>
      </c>
      <c r="C49" s="79" t="s">
        <v>194</v>
      </c>
      <c r="D49" s="80" t="n">
        <f aca="false">'Divisão dos Circuitos'!K49</f>
        <v>10.9090909090909</v>
      </c>
      <c r="E49" s="79" t="n">
        <v>220</v>
      </c>
      <c r="F49" s="79" t="n">
        <v>2</v>
      </c>
      <c r="G49" s="85" t="n">
        <v>0.0178</v>
      </c>
      <c r="H49" s="79" t="n">
        <v>19.4</v>
      </c>
      <c r="I49" s="84" t="n">
        <v>2.5</v>
      </c>
      <c r="J49" s="80" t="n">
        <f aca="false">(F49*G49*H49*D49*100)/(I49*E49)</f>
        <v>1.36986446280992</v>
      </c>
      <c r="K49" s="80" t="n">
        <f aca="false">IF(J49&lt;=1.5, 1.5, IF(J49&lt;=2.5, 2.5, IF(J49&lt;=4, 4, IF(J49&lt;=6, 6, IF(J49&lt;=10, 10, 16)))))</f>
        <v>1.5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5.75" hidden="false" customHeight="true" outlineLevel="0" collapsed="false">
      <c r="A50" s="79" t="s">
        <v>195</v>
      </c>
      <c r="B50" s="79" t="s">
        <v>193</v>
      </c>
      <c r="C50" s="79" t="s">
        <v>196</v>
      </c>
      <c r="D50" s="80" t="n">
        <f aca="false">'Divisão dos Circuitos'!K50</f>
        <v>11.8181818181818</v>
      </c>
      <c r="E50" s="79" t="n">
        <v>220</v>
      </c>
      <c r="F50" s="79" t="n">
        <v>2</v>
      </c>
      <c r="G50" s="85" t="n">
        <v>0.0178</v>
      </c>
      <c r="H50" s="79" t="n">
        <v>27.2</v>
      </c>
      <c r="I50" s="84" t="n">
        <v>2.5</v>
      </c>
      <c r="J50" s="80" t="n">
        <f aca="false">(F50*G50*H50*D50*100)/(I50*E50)</f>
        <v>2.08068760330579</v>
      </c>
      <c r="K50" s="80" t="n">
        <f aca="false">IF(J50&lt;=1.5, 1.5, IF(J50&lt;=2.5, 2.5, IF(J50&lt;=4, 4, IF(J50&lt;=6, 6, IF(J50&lt;=10, 10, 16)))))</f>
        <v>2.5</v>
      </c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5.75" hidden="false" customHeight="true" outlineLevel="0" collapsed="false">
      <c r="A51" s="79" t="s">
        <v>197</v>
      </c>
      <c r="B51" s="79" t="s">
        <v>193</v>
      </c>
      <c r="C51" s="79" t="s">
        <v>70</v>
      </c>
      <c r="D51" s="80" t="n">
        <f aca="false">'Divisão dos Circuitos'!K51</f>
        <v>27.2727272727273</v>
      </c>
      <c r="E51" s="79" t="n">
        <v>220</v>
      </c>
      <c r="F51" s="79" t="n">
        <v>2</v>
      </c>
      <c r="G51" s="85" t="n">
        <v>0.0178</v>
      </c>
      <c r="H51" s="79" t="n">
        <v>8.8</v>
      </c>
      <c r="I51" s="84" t="n">
        <v>2.5</v>
      </c>
      <c r="J51" s="80" t="n">
        <f aca="false">(F51*G51*H51*D51*100)/(I51*E51)</f>
        <v>1.55345454545455</v>
      </c>
      <c r="K51" s="80" t="n">
        <f aca="false">IF(J51&lt;=1.5, 1.5, IF(J51&lt;=2.5, 2.5, IF(J51&lt;=4, 4, IF(J51&lt;=6, 6, IF(J51&lt;=10, 10, 16)))))</f>
        <v>2.5</v>
      </c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5.75" hidden="false" customHeight="true" outlineLevel="0" collapsed="false">
      <c r="A52" s="79" t="s">
        <v>198</v>
      </c>
      <c r="B52" s="79" t="s">
        <v>193</v>
      </c>
      <c r="C52" s="79" t="s">
        <v>74</v>
      </c>
      <c r="D52" s="80" t="n">
        <f aca="false">'Divisão dos Circuitos'!K52</f>
        <v>9.11605688194146</v>
      </c>
      <c r="E52" s="79" t="n">
        <v>380</v>
      </c>
      <c r="F52" s="79" t="n">
        <v>1.732</v>
      </c>
      <c r="G52" s="85" t="n">
        <v>0.0178</v>
      </c>
      <c r="H52" s="79" t="n">
        <v>15.8</v>
      </c>
      <c r="I52" s="84" t="n">
        <v>2.5</v>
      </c>
      <c r="J52" s="80" t="n">
        <f aca="false">(F52*G52*H52*D52*100)/(I52*E52)</f>
        <v>0.467421191422162</v>
      </c>
      <c r="K52" s="80" t="n">
        <f aca="false">IF(J52&lt;=1.5, 1.5, IF(J52&lt;=2.5, 2.5, IF(J52&lt;=4, 4, IF(J52&lt;=6, 6, IF(J52&lt;=10, 10, 16)))))</f>
        <v>1.5</v>
      </c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5.75" hidden="false" customHeight="true" outlineLevel="0" collapsed="false">
      <c r="A53" s="79" t="s">
        <v>199</v>
      </c>
      <c r="B53" s="79" t="s">
        <v>193</v>
      </c>
      <c r="C53" s="79" t="s">
        <v>200</v>
      </c>
      <c r="D53" s="80" t="n">
        <f aca="false">'Divisão dos Circuitos'!K53</f>
        <v>9.38735177865613</v>
      </c>
      <c r="E53" s="79" t="n">
        <v>220</v>
      </c>
      <c r="F53" s="79" t="n">
        <v>2</v>
      </c>
      <c r="G53" s="85" t="n">
        <v>0.0178</v>
      </c>
      <c r="H53" s="79" t="n">
        <v>15.5</v>
      </c>
      <c r="I53" s="84" t="n">
        <v>2.5</v>
      </c>
      <c r="J53" s="80" t="n">
        <f aca="false">(F53*G53*H53*D53*100)/(I53*E53)</f>
        <v>0.941807402084082</v>
      </c>
      <c r="K53" s="80" t="n">
        <f aca="false">IF(J53&lt;=1.5, 1.5, IF(J53&lt;=2.5, 2.5, IF(J53&lt;=4, 4, IF(J53&lt;=6, 6, IF(J53&lt;=10, 10, 16)))))</f>
        <v>1.5</v>
      </c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5.75" hidden="false" customHeight="true" outlineLevel="0" collapsed="false">
      <c r="A54" s="79" t="s">
        <v>201</v>
      </c>
      <c r="B54" s="79" t="s">
        <v>193</v>
      </c>
      <c r="C54" s="79" t="s">
        <v>202</v>
      </c>
      <c r="D54" s="80" t="n">
        <f aca="false">'Divisão dos Circuitos'!K54</f>
        <v>6.91699604743083</v>
      </c>
      <c r="E54" s="79" t="n">
        <v>220</v>
      </c>
      <c r="F54" s="79" t="n">
        <v>2</v>
      </c>
      <c r="G54" s="85" t="n">
        <v>0.0178</v>
      </c>
      <c r="H54" s="79" t="n">
        <v>16.8</v>
      </c>
      <c r="I54" s="84" t="n">
        <v>2.5</v>
      </c>
      <c r="J54" s="80" t="n">
        <f aca="false">(F54*G54*H54*D54*100)/(I54*E54)</f>
        <v>0.752166726554078</v>
      </c>
      <c r="K54" s="80" t="n">
        <f aca="false">IF(J54&lt;=1.5, 1.5, IF(J54&lt;=2.5, 2.5, IF(J54&lt;=4, 4, IF(J54&lt;=6, 6, IF(J54&lt;=10, 10, 16)))))</f>
        <v>1.5</v>
      </c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5.75" hidden="false" customHeight="true" outlineLevel="0" collapsed="false">
      <c r="A55" s="79" t="s">
        <v>203</v>
      </c>
      <c r="B55" s="79" t="s">
        <v>193</v>
      </c>
      <c r="C55" s="79" t="s">
        <v>204</v>
      </c>
      <c r="D55" s="80" t="n">
        <f aca="false">'Divisão dos Circuitos'!K55</f>
        <v>6.91699604743083</v>
      </c>
      <c r="E55" s="79" t="n">
        <v>220</v>
      </c>
      <c r="F55" s="79" t="n">
        <v>2</v>
      </c>
      <c r="G55" s="85" t="n">
        <v>0.0178</v>
      </c>
      <c r="H55" s="84" t="n">
        <v>7</v>
      </c>
      <c r="I55" s="84" t="n">
        <v>2.5</v>
      </c>
      <c r="J55" s="80" t="n">
        <f aca="false">(F55*G55*H55*D55*100)/(I55*E55)</f>
        <v>0.313402802730866</v>
      </c>
      <c r="K55" s="80" t="n">
        <f aca="false">IF(J55&lt;=1.5, 1.5, IF(J55&lt;=2.5, 2.5, IF(J55&lt;=4, 4, IF(J55&lt;=6, 6, IF(J55&lt;=10, 10, 16)))))</f>
        <v>1.5</v>
      </c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5.75" hidden="false" customHeight="true" outlineLevel="0" collapsed="false">
      <c r="A56" s="79" t="s">
        <v>205</v>
      </c>
      <c r="B56" s="79" t="s">
        <v>193</v>
      </c>
      <c r="C56" s="79" t="s">
        <v>206</v>
      </c>
      <c r="D56" s="80" t="n">
        <f aca="false">'Divisão dos Circuitos'!K56</f>
        <v>15</v>
      </c>
      <c r="E56" s="79" t="n">
        <v>220</v>
      </c>
      <c r="F56" s="79" t="n">
        <v>2</v>
      </c>
      <c r="G56" s="85" t="n">
        <v>0.0178</v>
      </c>
      <c r="H56" s="79" t="n">
        <v>24.8</v>
      </c>
      <c r="I56" s="84" t="n">
        <v>2.5</v>
      </c>
      <c r="J56" s="80" t="n">
        <f aca="false">(F56*G56*H56*D56*100)/(I56*E56)</f>
        <v>2.40785454545455</v>
      </c>
      <c r="K56" s="80" t="n">
        <f aca="false">IF(J56&lt;=1.5, 1.5, IF(J56&lt;=2.5, 2.5, IF(J56&lt;=4, 4, IF(J56&lt;=6, 6, IF(J56&lt;=10, 10, 16)))))</f>
        <v>2.5</v>
      </c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5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5.75" hidden="false" customHeight="true" outlineLevel="0" collapsed="false">
      <c r="A58" s="87" t="s">
        <v>228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48" hidden="false" customHeight="true" outlineLevel="0" collapsed="false">
      <c r="A59" s="88" t="s">
        <v>229</v>
      </c>
      <c r="B59" s="88" t="s">
        <v>101</v>
      </c>
      <c r="C59" s="88" t="s">
        <v>102</v>
      </c>
      <c r="D59" s="88" t="s">
        <v>230</v>
      </c>
      <c r="E59" s="88" t="s">
        <v>231</v>
      </c>
      <c r="F59" s="88" t="s">
        <v>222</v>
      </c>
      <c r="G59" s="88" t="s">
        <v>232</v>
      </c>
      <c r="H59" s="88" t="s">
        <v>233</v>
      </c>
      <c r="I59" s="88" t="s">
        <v>234</v>
      </c>
      <c r="J59" s="88" t="s">
        <v>235</v>
      </c>
      <c r="K59" s="88" t="s">
        <v>236</v>
      </c>
      <c r="L59" s="88" t="s">
        <v>237</v>
      </c>
      <c r="M59" s="88" t="s">
        <v>238</v>
      </c>
      <c r="N59" s="88" t="s">
        <v>239</v>
      </c>
      <c r="O59" s="88" t="s">
        <v>240</v>
      </c>
      <c r="P59" s="88" t="s">
        <v>241</v>
      </c>
      <c r="Q59" s="88" t="s">
        <v>242</v>
      </c>
      <c r="R59" s="88" t="s">
        <v>243</v>
      </c>
      <c r="S59" s="88" t="s">
        <v>244</v>
      </c>
      <c r="T59" s="88" t="s">
        <v>245</v>
      </c>
      <c r="U59" s="88" t="s">
        <v>246</v>
      </c>
      <c r="V59" s="53"/>
      <c r="W59" s="53"/>
      <c r="X59" s="53"/>
      <c r="Y59" s="53"/>
      <c r="Z59" s="53"/>
    </row>
    <row r="60" customFormat="false" ht="15.75" hidden="false" customHeight="true" outlineLevel="0" collapsed="false">
      <c r="A60" s="89" t="s">
        <v>247</v>
      </c>
      <c r="B60" s="89" t="s">
        <v>248</v>
      </c>
      <c r="C60" s="89" t="s">
        <v>118</v>
      </c>
      <c r="D60" s="90" t="n">
        <f aca="false">U60+T60</f>
        <v>120.965390062164</v>
      </c>
      <c r="E60" s="89" t="n">
        <v>380</v>
      </c>
      <c r="F60" s="89" t="n">
        <f aca="false">SQRT(3)</f>
        <v>1.73205080756888</v>
      </c>
      <c r="G60" s="89" t="n">
        <v>0.0178</v>
      </c>
      <c r="H60" s="89" t="n">
        <v>61.3</v>
      </c>
      <c r="I60" s="89" t="n">
        <v>2</v>
      </c>
      <c r="J60" s="90" t="n">
        <f aca="false">F60*G60*H60*D60*100/(I60*E60)</f>
        <v>30.0807487412988</v>
      </c>
      <c r="K60" s="89" t="n">
        <v>50</v>
      </c>
      <c r="L60" s="90" t="n">
        <f aca="false">F60*G60*H60*D60*100/(K60*E60)</f>
        <v>1.20322994965195</v>
      </c>
      <c r="M60" s="89" t="n">
        <v>125</v>
      </c>
      <c r="N60" s="89" t="n">
        <v>153</v>
      </c>
      <c r="O60" s="89" t="n">
        <v>25</v>
      </c>
      <c r="P60" s="89" t="s">
        <v>249</v>
      </c>
      <c r="Q60" s="91" t="n">
        <f aca="false">COUNTA('Quadro de Cargas'!A6:A18)</f>
        <v>13</v>
      </c>
      <c r="R60" s="91" t="n">
        <f aca="false">IF(Q60&lt;=6,2,IF(Q60&lt;=12,3,IF(Q60&lt;=30,4,ROUNDUP(0.15*Q60,0))))</f>
        <v>4</v>
      </c>
      <c r="S60" s="51" t="n">
        <f aca="false">AVERAGEIFS('Quadro de Cargas'!I6:I18,'Quadro de Cargas'!H6:H18,"Monofásico")</f>
        <v>10.8004285277013</v>
      </c>
      <c r="T60" s="51" t="n">
        <f aca="false">R60*S60/3</f>
        <v>14.4005713702683</v>
      </c>
      <c r="U60" s="51" t="n">
        <f aca="false">MAX('Quadro de Cargas'!S19:U19)</f>
        <v>106.564818691895</v>
      </c>
      <c r="V60" s="53"/>
      <c r="W60" s="53"/>
      <c r="X60" s="53"/>
      <c r="Y60" s="53"/>
      <c r="Z60" s="53"/>
    </row>
    <row r="61" customFormat="false" ht="15.75" hidden="false" customHeight="true" outlineLevel="0" collapsed="false">
      <c r="A61" s="89" t="s">
        <v>250</v>
      </c>
      <c r="B61" s="89" t="s">
        <v>248</v>
      </c>
      <c r="C61" s="89" t="s">
        <v>142</v>
      </c>
      <c r="D61" s="90" t="n">
        <f aca="false">U61+T61</f>
        <v>161.924544707008</v>
      </c>
      <c r="E61" s="89" t="n">
        <v>380</v>
      </c>
      <c r="F61" s="89" t="n">
        <f aca="false">SQRT(3)</f>
        <v>1.73205080756888</v>
      </c>
      <c r="G61" s="89" t="n">
        <v>0.0178</v>
      </c>
      <c r="H61" s="89" t="n">
        <v>36.3</v>
      </c>
      <c r="I61" s="89" t="n">
        <v>2</v>
      </c>
      <c r="J61" s="90" t="n">
        <f aca="false">F61*G61*H61*D61*100/(I61*E61)</f>
        <v>23.8443971628852</v>
      </c>
      <c r="K61" s="89" t="n">
        <v>95</v>
      </c>
      <c r="L61" s="90" t="n">
        <f aca="false">F61*G61*H61*D61*100/(K61*E61)</f>
        <v>0.501987308692319</v>
      </c>
      <c r="M61" s="89" t="n">
        <v>200</v>
      </c>
      <c r="N61" s="89" t="n">
        <v>238</v>
      </c>
      <c r="O61" s="89" t="n">
        <v>50</v>
      </c>
      <c r="P61" s="89" t="s">
        <v>249</v>
      </c>
      <c r="Q61" s="91" t="n">
        <f aca="false">COUNTA('Quadro de Cargas'!A21:A37)</f>
        <v>17</v>
      </c>
      <c r="R61" s="91" t="n">
        <f aca="false">IF(Q61&lt;=6,2,IF(Q61&lt;=12,3,IF(Q61&lt;=30,4,ROUNDUP(0.15*Q61,0))))</f>
        <v>4</v>
      </c>
      <c r="S61" s="51" t="n">
        <f aca="false">AVERAGEIFS('Quadro de Cargas'!I21:I37,'Quadro de Cargas'!H21:H37,"Monofásico")</f>
        <v>9.37294943021035</v>
      </c>
      <c r="T61" s="51" t="n">
        <f aca="false">R61*S61/3</f>
        <v>12.4972659069471</v>
      </c>
      <c r="U61" s="51" t="n">
        <f aca="false">MAX('Quadro de Cargas'!S38:U38)</f>
        <v>149.427278800061</v>
      </c>
      <c r="V61" s="53"/>
      <c r="W61" s="53"/>
      <c r="X61" s="53"/>
      <c r="Y61" s="53"/>
      <c r="Z61" s="53"/>
    </row>
    <row r="62" customFormat="false" ht="15.75" hidden="false" customHeight="true" outlineLevel="0" collapsed="false">
      <c r="A62" s="89" t="s">
        <v>251</v>
      </c>
      <c r="B62" s="89" t="s">
        <v>248</v>
      </c>
      <c r="C62" s="89" t="s">
        <v>170</v>
      </c>
      <c r="D62" s="90" t="n">
        <f aca="false">U62+T62</f>
        <v>42.5450585552223</v>
      </c>
      <c r="E62" s="89" t="n">
        <v>380</v>
      </c>
      <c r="F62" s="89" t="n">
        <f aca="false">SQRT(3)</f>
        <v>1.73205080756888</v>
      </c>
      <c r="G62" s="89" t="n">
        <v>0.0178</v>
      </c>
      <c r="H62" s="89" t="n">
        <v>25.1</v>
      </c>
      <c r="I62" s="89" t="n">
        <v>2</v>
      </c>
      <c r="J62" s="90" t="n">
        <f aca="false">F62*G62*H62*D62*100/(I62*E62)</f>
        <v>4.33201433014933</v>
      </c>
      <c r="K62" s="89" t="n">
        <v>10</v>
      </c>
      <c r="L62" s="90" t="n">
        <f aca="false">F62*G62*H62*D62*100/(K62*E62)</f>
        <v>0.866402866029865</v>
      </c>
      <c r="M62" s="89" t="n">
        <v>50</v>
      </c>
      <c r="N62" s="89" t="n">
        <v>60</v>
      </c>
      <c r="O62" s="89" t="n">
        <v>10</v>
      </c>
      <c r="P62" s="89" t="s">
        <v>252</v>
      </c>
      <c r="Q62" s="91" t="n">
        <f aca="false">COUNTA('Quadro de Cargas'!A40:A50)</f>
        <v>11</v>
      </c>
      <c r="R62" s="91" t="n">
        <f aca="false">IF(Q62&lt;=6,2,IF(Q62&lt;=12,3,IF(Q62&lt;=30,4,ROUNDUP(0.15*Q62,0))))</f>
        <v>3</v>
      </c>
      <c r="S62" s="51" t="n">
        <f aca="false">AVERAGEIFS('Quadro de Cargas'!I40:I50,'Quadro de Cargas'!H40:H50,"Monofásico")</f>
        <v>9.08494723796813</v>
      </c>
      <c r="T62" s="51" t="n">
        <f aca="false">R62*S62/3</f>
        <v>9.08494723796813</v>
      </c>
      <c r="U62" s="51" t="n">
        <f aca="false">MAX('Quadro de Cargas'!S51:U51)</f>
        <v>33.4601113172542</v>
      </c>
      <c r="V62" s="53"/>
      <c r="W62" s="53"/>
      <c r="X62" s="53"/>
      <c r="Y62" s="53"/>
      <c r="Z62" s="53"/>
    </row>
    <row r="63" customFormat="false" ht="15.75" hidden="false" customHeight="true" outlineLevel="0" collapsed="false">
      <c r="A63" s="89" t="s">
        <v>253</v>
      </c>
      <c r="B63" s="89" t="s">
        <v>248</v>
      </c>
      <c r="C63" s="89" t="s">
        <v>193</v>
      </c>
      <c r="D63" s="90" t="n">
        <f aca="false">U63+T63</f>
        <v>53.0234538328167</v>
      </c>
      <c r="E63" s="89" t="n">
        <v>380</v>
      </c>
      <c r="F63" s="89" t="n">
        <f aca="false">SQRT(3)</f>
        <v>1.73205080756888</v>
      </c>
      <c r="G63" s="89" t="n">
        <v>0.0178</v>
      </c>
      <c r="H63" s="89" t="n">
        <v>15.9</v>
      </c>
      <c r="I63" s="89" t="n">
        <v>2</v>
      </c>
      <c r="J63" s="90" t="n">
        <f aca="false">F63*G63*H63*D63*100/(I63*E63)</f>
        <v>3.42004779252056</v>
      </c>
      <c r="K63" s="89" t="n">
        <v>16</v>
      </c>
      <c r="L63" s="90" t="n">
        <f aca="false">F63*G63*H63*D63*100/(K63*E63)</f>
        <v>0.427505974065069</v>
      </c>
      <c r="M63" s="89" t="n">
        <v>63</v>
      </c>
      <c r="N63" s="89" t="n">
        <v>80</v>
      </c>
      <c r="O63" s="89" t="n">
        <v>16</v>
      </c>
      <c r="P63" s="89" t="s">
        <v>254</v>
      </c>
      <c r="Q63" s="91" t="n">
        <f aca="false">COUNTA('Quadro de Cargas'!A53:A60)</f>
        <v>8</v>
      </c>
      <c r="R63" s="91" t="n">
        <f aca="false">IF(Q63&lt;=6,2,IF(Q63&lt;=12,3,IF(Q63&lt;=30,4,ROUNDUP(0.15*Q63,0))))</f>
        <v>3</v>
      </c>
      <c r="S63" s="51" t="n">
        <f aca="false">AVERAGEIFS('Quadro de Cargas'!I53:I60,'Quadro de Cargas'!H53:H60,"Monofásico")</f>
        <v>12.6030491247883</v>
      </c>
      <c r="T63" s="51" t="n">
        <f aca="false">R63*S63/3</f>
        <v>12.6030491247883</v>
      </c>
      <c r="U63" s="51" t="n">
        <f aca="false">MAX('Quadro de Cargas'!S61:U61)</f>
        <v>40.4204047080284</v>
      </c>
      <c r="V63" s="53"/>
      <c r="W63" s="53"/>
      <c r="X63" s="53"/>
      <c r="Y63" s="53"/>
      <c r="Z63" s="53"/>
    </row>
    <row r="64" customFormat="false" ht="15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60" hidden="false" customHeight="true" outlineLevel="0" collapsed="false">
      <c r="A65" s="92" t="s">
        <v>255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5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5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5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5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5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5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5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5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5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5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5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5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5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5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5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5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5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5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5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5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5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5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5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5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5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5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5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5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5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5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5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5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5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5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5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5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5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5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5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5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5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5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5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5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5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5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5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5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5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5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5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5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5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5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5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5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5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5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5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5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5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5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5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5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5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5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5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5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5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5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5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5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5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5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5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5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5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5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5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5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5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5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5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5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5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5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5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5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5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customFormat="false" ht="15.75" hidden="false" customHeight="true" outlineLevel="0" collapsed="false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customFormat="false" ht="15.75" hidden="false" customHeight="true" outlineLevel="0" collapsed="false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customFormat="false" ht="15.75" hidden="false" customHeight="true" outlineLevel="0" collapsed="false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customFormat="false" ht="15.75" hidden="false" customHeight="true" outlineLevel="0" collapsed="false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customFormat="false" ht="15.75" hidden="false" customHeight="true" outlineLevel="0" collapsed="false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customFormat="false" ht="15.75" hidden="false" customHeight="true" outlineLevel="0" collapsed="false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customFormat="false" ht="15.75" hidden="false" customHeight="true" outlineLevel="0" collapsed="false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customFormat="false" ht="15.75" hidden="false" customHeight="true" outlineLevel="0" collapsed="false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2">
    <mergeCell ref="A1:K2"/>
    <mergeCell ref="A65:P6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B4B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9.43"/>
    <col collapsed="false" customWidth="true" hidden="false" outlineLevel="0" max="3" min="3" style="0" width="40.14"/>
    <col collapsed="false" customWidth="true" hidden="false" outlineLevel="0" max="4" min="4" style="0" width="10.85"/>
    <col collapsed="false" customWidth="true" hidden="false" outlineLevel="0" max="5" min="5" style="0" width="9.43"/>
    <col collapsed="false" customWidth="true" hidden="false" outlineLevel="0" max="7" min="6" style="0" width="10.85"/>
    <col collapsed="false" customWidth="true" hidden="false" outlineLevel="0" max="8" min="8" style="0" width="12.29"/>
    <col collapsed="false" customWidth="true" hidden="false" outlineLevel="0" max="9" min="9" style="0" width="10.14"/>
    <col collapsed="false" customWidth="true" hidden="false" outlineLevel="0" max="11" min="10" style="0" width="10.85"/>
    <col collapsed="false" customWidth="true" hidden="false" outlineLevel="0" max="14" min="12" style="0" width="9.43"/>
    <col collapsed="false" customWidth="true" hidden="false" outlineLevel="0" max="15" min="15" style="0" width="10.85"/>
    <col collapsed="false" customWidth="true" hidden="false" outlineLevel="0" max="17" min="16" style="0" width="13.71"/>
    <col collapsed="false" customWidth="true" hidden="false" outlineLevel="0" max="26" min="18" style="0" width="8.71"/>
  </cols>
  <sheetData>
    <row r="1" customFormat="false" ht="15" hidden="false" customHeight="true" outlineLevel="0" collapsed="false">
      <c r="A1" s="93" t="s">
        <v>256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  <c r="S1" s="53"/>
      <c r="T1" s="53"/>
      <c r="U1" s="53"/>
      <c r="V1" s="53"/>
      <c r="W1" s="53"/>
      <c r="X1" s="53"/>
      <c r="Y1" s="53"/>
      <c r="Z1" s="53"/>
    </row>
    <row r="2" customFormat="false" ht="15" hidden="false" customHeight="true" outlineLevel="0" collapsed="false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34.5" hidden="false" customHeight="true" outlineLevel="0" collapsed="false">
      <c r="A3" s="73" t="s">
        <v>99</v>
      </c>
      <c r="B3" s="74" t="s">
        <v>101</v>
      </c>
      <c r="C3" s="74" t="s">
        <v>102</v>
      </c>
      <c r="D3" s="73" t="s">
        <v>208</v>
      </c>
      <c r="E3" s="73" t="s">
        <v>257</v>
      </c>
      <c r="F3" s="73" t="s">
        <v>258</v>
      </c>
      <c r="G3" s="73" t="s">
        <v>259</v>
      </c>
      <c r="H3" s="73" t="s">
        <v>260</v>
      </c>
      <c r="I3" s="73" t="s">
        <v>213</v>
      </c>
      <c r="J3" s="73" t="s">
        <v>214</v>
      </c>
      <c r="K3" s="73" t="s">
        <v>215</v>
      </c>
      <c r="L3" s="73" t="s">
        <v>261</v>
      </c>
      <c r="M3" s="73" t="s">
        <v>209</v>
      </c>
      <c r="N3" s="73" t="s">
        <v>211</v>
      </c>
      <c r="O3" s="73" t="s">
        <v>262</v>
      </c>
      <c r="P3" s="73" t="s">
        <v>263</v>
      </c>
      <c r="Q3" s="73" t="s">
        <v>264</v>
      </c>
      <c r="R3" s="53"/>
      <c r="S3" s="53"/>
      <c r="T3" s="53"/>
      <c r="U3" s="53"/>
      <c r="V3" s="53"/>
      <c r="W3" s="53"/>
      <c r="X3" s="53"/>
      <c r="Y3" s="53"/>
      <c r="Z3" s="53"/>
    </row>
    <row r="4" customFormat="false" ht="15" hidden="false" customHeight="true" outlineLevel="0" collapsed="false">
      <c r="A4" s="78" t="s">
        <v>116</v>
      </c>
      <c r="B4" s="78"/>
      <c r="C4" s="78"/>
      <c r="D4" s="77"/>
      <c r="E4" s="77"/>
      <c r="F4" s="78"/>
      <c r="G4" s="94"/>
      <c r="H4" s="77"/>
      <c r="I4" s="78"/>
      <c r="J4" s="78"/>
      <c r="K4" s="78"/>
      <c r="L4" s="77"/>
      <c r="M4" s="77"/>
      <c r="N4" s="77"/>
      <c r="O4" s="77"/>
      <c r="P4" s="77"/>
      <c r="Q4" s="77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5" hidden="false" customHeight="true" outlineLevel="0" collapsed="false">
      <c r="A5" s="79" t="s">
        <v>117</v>
      </c>
      <c r="B5" s="79" t="s">
        <v>118</v>
      </c>
      <c r="C5" s="79" t="s">
        <v>119</v>
      </c>
      <c r="D5" s="80" t="n">
        <f aca="false">'Divisão dos Circuitos'!K5</f>
        <v>10.8402203856749</v>
      </c>
      <c r="E5" s="80" t="n">
        <f aca="false">'Divisão dos Circuitos'!M5</f>
        <v>16</v>
      </c>
      <c r="F5" s="79" t="n">
        <v>30</v>
      </c>
      <c r="G5" s="95" t="n">
        <f aca="false">E5</f>
        <v>16</v>
      </c>
      <c r="H5" s="80" t="n">
        <f aca="false">MAX('Divisão dos Circuitos'!E5, 'Capac.Cond.Corre.'!L5, 'Queda de Tensão'!K5)</f>
        <v>4</v>
      </c>
      <c r="I5" s="79" t="str">
        <f aca="false">'Capac.Cond.Corre.'!I5</f>
        <v>B2</v>
      </c>
      <c r="J5" s="79" t="str">
        <f aca="false">'Capac.Cond.Corre.'!J5</f>
        <v>PVC</v>
      </c>
      <c r="K5" s="79" t="n">
        <f aca="false">'Capac.Cond.Corre.'!K5</f>
        <v>2</v>
      </c>
      <c r="L5" s="80" t="n">
        <v>30</v>
      </c>
      <c r="M5" s="80" t="n">
        <v>1</v>
      </c>
      <c r="N5" s="80" t="n">
        <f aca="false">'Capac.Cond.Corre.'!G5</f>
        <v>1</v>
      </c>
      <c r="O5" s="80" t="n">
        <f aca="false">L5*M5*N5</f>
        <v>30</v>
      </c>
      <c r="P5" s="80" t="str">
        <f aca="false">IF(O5&gt;=E5, "SIM", "NÃO")</f>
        <v>SIM</v>
      </c>
      <c r="Q5" s="80" t="n">
        <f aca="false">IF(P5="SIM", H5, IF(H5=1.5, 2.5, IF(H5=2.5, 4, 6)))</f>
        <v>4</v>
      </c>
      <c r="R5" s="53"/>
      <c r="S5" s="53"/>
      <c r="T5" s="53"/>
      <c r="U5" s="53"/>
      <c r="V5" s="53"/>
      <c r="W5" s="53"/>
      <c r="X5" s="53"/>
      <c r="Y5" s="53"/>
      <c r="Z5" s="53"/>
    </row>
    <row r="6" customFormat="false" ht="15" hidden="false" customHeight="true" outlineLevel="0" collapsed="false">
      <c r="A6" s="79" t="s">
        <v>120</v>
      </c>
      <c r="B6" s="79" t="s">
        <v>118</v>
      </c>
      <c r="C6" s="79" t="s">
        <v>121</v>
      </c>
      <c r="D6" s="80" t="n">
        <f aca="false">'Divisão dos Circuitos'!K6</f>
        <v>10.9090909090909</v>
      </c>
      <c r="E6" s="80" t="n">
        <f aca="false">'Divisão dos Circuitos'!M6</f>
        <v>16</v>
      </c>
      <c r="F6" s="79" t="n">
        <v>30</v>
      </c>
      <c r="G6" s="95" t="n">
        <f aca="false">E6</f>
        <v>16</v>
      </c>
      <c r="H6" s="80" t="n">
        <f aca="false">MAX('Divisão dos Circuitos'!E6, 'Capac.Cond.Corre.'!L6, 'Queda de Tensão'!K6)</f>
        <v>2.5</v>
      </c>
      <c r="I6" s="79" t="str">
        <f aca="false">'Capac.Cond.Corre.'!I6</f>
        <v>B2</v>
      </c>
      <c r="J6" s="79" t="str">
        <f aca="false">'Capac.Cond.Corre.'!J6</f>
        <v>PVC</v>
      </c>
      <c r="K6" s="79" t="n">
        <f aca="false">'Capac.Cond.Corre.'!K6</f>
        <v>2</v>
      </c>
      <c r="L6" s="80" t="n">
        <v>23</v>
      </c>
      <c r="M6" s="80" t="n">
        <v>1</v>
      </c>
      <c r="N6" s="80" t="n">
        <f aca="false">'Capac.Cond.Corre.'!G6</f>
        <v>1</v>
      </c>
      <c r="O6" s="80" t="n">
        <f aca="false">L6*M6*N6</f>
        <v>23</v>
      </c>
      <c r="P6" s="80" t="str">
        <f aca="false">IF(O6&gt;=E6, "SIM", "NÃO")</f>
        <v>SIM</v>
      </c>
      <c r="Q6" s="80" t="n">
        <f aca="false">IF(P6="SIM", H6, IF(H6=1.5, 2.5, IF(H6=2.5, 4, 6)))</f>
        <v>2.5</v>
      </c>
      <c r="R6" s="53"/>
      <c r="S6" s="53"/>
      <c r="T6" s="53"/>
      <c r="U6" s="53"/>
      <c r="V6" s="53"/>
      <c r="W6" s="53"/>
      <c r="X6" s="53"/>
      <c r="Y6" s="53"/>
      <c r="Z6" s="53"/>
    </row>
    <row r="7" customFormat="false" ht="15" hidden="false" customHeight="true" outlineLevel="0" collapsed="false">
      <c r="A7" s="79" t="s">
        <v>122</v>
      </c>
      <c r="B7" s="79" t="s">
        <v>118</v>
      </c>
      <c r="C7" s="79" t="s">
        <v>123</v>
      </c>
      <c r="D7" s="80" t="n">
        <f aca="false">'Divisão dos Circuitos'!K7</f>
        <v>8.18181818181818</v>
      </c>
      <c r="E7" s="80" t="n">
        <f aca="false">'Divisão dos Circuitos'!M7</f>
        <v>10</v>
      </c>
      <c r="F7" s="79" t="n">
        <v>30</v>
      </c>
      <c r="G7" s="95" t="n">
        <f aca="false">E7</f>
        <v>10</v>
      </c>
      <c r="H7" s="80" t="n">
        <f aca="false">MAX('Divisão dos Circuitos'!E7, 'Capac.Cond.Corre.'!L7, 'Queda de Tensão'!K7)</f>
        <v>2.5</v>
      </c>
      <c r="I7" s="79" t="str">
        <f aca="false">'Capac.Cond.Corre.'!I7</f>
        <v>B2</v>
      </c>
      <c r="J7" s="79" t="str">
        <f aca="false">'Capac.Cond.Corre.'!J7</f>
        <v>PVC</v>
      </c>
      <c r="K7" s="79" t="n">
        <f aca="false">'Capac.Cond.Corre.'!K7</f>
        <v>2</v>
      </c>
      <c r="L7" s="80" t="n">
        <v>23</v>
      </c>
      <c r="M7" s="80" t="n">
        <v>1</v>
      </c>
      <c r="N7" s="80" t="n">
        <f aca="false">'Capac.Cond.Corre.'!G7</f>
        <v>1</v>
      </c>
      <c r="O7" s="80" t="n">
        <f aca="false">L7*M7*N7</f>
        <v>23</v>
      </c>
      <c r="P7" s="80" t="str">
        <f aca="false">IF(O7&gt;=E7, "SIM", "NÃO")</f>
        <v>SIM</v>
      </c>
      <c r="Q7" s="80" t="n">
        <f aca="false">IF(P7="SIM", H7, IF(H7=1.5, 2.5, IF(H7=2.5, 4, 6)))</f>
        <v>2.5</v>
      </c>
      <c r="R7" s="53"/>
      <c r="S7" s="53"/>
      <c r="T7" s="53"/>
      <c r="U7" s="53"/>
      <c r="V7" s="53"/>
      <c r="W7" s="53"/>
      <c r="X7" s="53"/>
      <c r="Y7" s="53"/>
      <c r="Z7" s="53"/>
    </row>
    <row r="8" customFormat="false" ht="15" hidden="false" customHeight="true" outlineLevel="0" collapsed="false">
      <c r="A8" s="79" t="s">
        <v>124</v>
      </c>
      <c r="B8" s="79" t="s">
        <v>118</v>
      </c>
      <c r="C8" s="79" t="s">
        <v>125</v>
      </c>
      <c r="D8" s="80" t="n">
        <f aca="false">'Divisão dos Circuitos'!K8</f>
        <v>10.9090909090909</v>
      </c>
      <c r="E8" s="80" t="n">
        <f aca="false">'Divisão dos Circuitos'!M8</f>
        <v>16</v>
      </c>
      <c r="F8" s="79" t="n">
        <v>30</v>
      </c>
      <c r="G8" s="95" t="n">
        <f aca="false">E8</f>
        <v>16</v>
      </c>
      <c r="H8" s="80" t="n">
        <f aca="false">MAX('Divisão dos Circuitos'!E8, 'Capac.Cond.Corre.'!L8, 'Queda de Tensão'!K8)</f>
        <v>4</v>
      </c>
      <c r="I8" s="79" t="str">
        <f aca="false">'Capac.Cond.Corre.'!I8</f>
        <v>B2</v>
      </c>
      <c r="J8" s="79" t="str">
        <f aca="false">'Capac.Cond.Corre.'!J8</f>
        <v>PVC</v>
      </c>
      <c r="K8" s="79" t="n">
        <f aca="false">'Capac.Cond.Corre.'!K8</f>
        <v>2</v>
      </c>
      <c r="L8" s="80" t="n">
        <v>30</v>
      </c>
      <c r="M8" s="80" t="n">
        <v>1</v>
      </c>
      <c r="N8" s="80" t="n">
        <f aca="false">'Capac.Cond.Corre.'!G8</f>
        <v>1</v>
      </c>
      <c r="O8" s="80" t="n">
        <f aca="false">L8*M8*N8</f>
        <v>30</v>
      </c>
      <c r="P8" s="80" t="str">
        <f aca="false">IF(O8&gt;=E8, "SIM", "NÃO")</f>
        <v>SIM</v>
      </c>
      <c r="Q8" s="80" t="n">
        <f aca="false">IF(P8="SIM", H8, IF(H8=1.5, 2.5, IF(H8=2.5, 4, 6)))</f>
        <v>4</v>
      </c>
      <c r="R8" s="53"/>
      <c r="S8" s="53"/>
      <c r="T8" s="53"/>
      <c r="U8" s="53"/>
      <c r="V8" s="53"/>
      <c r="W8" s="53"/>
      <c r="X8" s="53"/>
      <c r="Y8" s="53"/>
      <c r="Z8" s="53"/>
    </row>
    <row r="9" customFormat="false" ht="15" hidden="false" customHeight="true" outlineLevel="0" collapsed="false">
      <c r="A9" s="79" t="s">
        <v>126</v>
      </c>
      <c r="B9" s="79" t="s">
        <v>118</v>
      </c>
      <c r="C9" s="79" t="s">
        <v>127</v>
      </c>
      <c r="D9" s="80" t="n">
        <f aca="false">'Divisão dos Circuitos'!K9</f>
        <v>8.18181818181818</v>
      </c>
      <c r="E9" s="80" t="n">
        <f aca="false">'Divisão dos Circuitos'!M9</f>
        <v>10</v>
      </c>
      <c r="F9" s="79" t="n">
        <v>30</v>
      </c>
      <c r="G9" s="95" t="n">
        <f aca="false">E9</f>
        <v>10</v>
      </c>
      <c r="H9" s="80" t="n">
        <f aca="false">MAX('Divisão dos Circuitos'!E9, 'Capac.Cond.Corre.'!L9, 'Queda de Tensão'!K9)</f>
        <v>4</v>
      </c>
      <c r="I9" s="79" t="str">
        <f aca="false">'Capac.Cond.Corre.'!I9</f>
        <v>B2</v>
      </c>
      <c r="J9" s="79" t="str">
        <f aca="false">'Capac.Cond.Corre.'!J9</f>
        <v>PVC</v>
      </c>
      <c r="K9" s="79" t="n">
        <f aca="false">'Capac.Cond.Corre.'!K9</f>
        <v>2</v>
      </c>
      <c r="L9" s="80" t="n">
        <v>30</v>
      </c>
      <c r="M9" s="80" t="n">
        <v>1</v>
      </c>
      <c r="N9" s="80" t="n">
        <f aca="false">'Capac.Cond.Corre.'!G9</f>
        <v>1</v>
      </c>
      <c r="O9" s="80" t="n">
        <f aca="false">L9*M9*N9</f>
        <v>30</v>
      </c>
      <c r="P9" s="80" t="str">
        <f aca="false">IF(O9&gt;=E9, "SIM", "NÃO")</f>
        <v>SIM</v>
      </c>
      <c r="Q9" s="80" t="n">
        <f aca="false">IF(P9="SIM", H9, IF(H9=1.5, 2.5, IF(H9=2.5, 4, 6)))</f>
        <v>4</v>
      </c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5" hidden="false" customHeight="true" outlineLevel="0" collapsed="false">
      <c r="A10" s="79" t="s">
        <v>128</v>
      </c>
      <c r="B10" s="79" t="s">
        <v>118</v>
      </c>
      <c r="C10" s="79" t="s">
        <v>121</v>
      </c>
      <c r="D10" s="80" t="n">
        <f aca="false">'Divisão dos Circuitos'!K10</f>
        <v>18.2321137638829</v>
      </c>
      <c r="E10" s="80" t="n">
        <f aca="false">'Divisão dos Circuitos'!M10</f>
        <v>20</v>
      </c>
      <c r="F10" s="79" t="n">
        <v>30</v>
      </c>
      <c r="G10" s="95" t="n">
        <f aca="false">E10</f>
        <v>20</v>
      </c>
      <c r="H10" s="80" t="n">
        <f aca="false">MAX('Divisão dos Circuitos'!E10, 'Capac.Cond.Corre.'!L10, 'Queda de Tensão'!K10)</f>
        <v>2.5</v>
      </c>
      <c r="I10" s="79" t="str">
        <f aca="false">'Capac.Cond.Corre.'!I10</f>
        <v>B2</v>
      </c>
      <c r="J10" s="79" t="str">
        <f aca="false">'Capac.Cond.Corre.'!J10</f>
        <v>PVC</v>
      </c>
      <c r="K10" s="79" t="n">
        <f aca="false">'Capac.Cond.Corre.'!K10</f>
        <v>3</v>
      </c>
      <c r="L10" s="80" t="n">
        <v>20</v>
      </c>
      <c r="M10" s="80" t="n">
        <v>1</v>
      </c>
      <c r="N10" s="80" t="n">
        <f aca="false">'Capac.Cond.Corre.'!G10</f>
        <v>1</v>
      </c>
      <c r="O10" s="80" t="n">
        <f aca="false">L10*M10*N10</f>
        <v>20</v>
      </c>
      <c r="P10" s="80" t="str">
        <f aca="false">IF(O10&gt;=E10, "SIM", "NÃO")</f>
        <v>SIM</v>
      </c>
      <c r="Q10" s="80" t="n">
        <f aca="false">IF(P10="SIM", H10, IF(H10=1.5, 2.5, IF(H10=2.5, 4, 6)))</f>
        <v>2.5</v>
      </c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5" hidden="false" customHeight="true" outlineLevel="0" collapsed="false">
      <c r="A11" s="79" t="s">
        <v>129</v>
      </c>
      <c r="B11" s="79" t="s">
        <v>118</v>
      </c>
      <c r="C11" s="79" t="s">
        <v>125</v>
      </c>
      <c r="D11" s="80" t="n">
        <f aca="false">'Divisão dos Circuitos'!K11</f>
        <v>18.2321137638829</v>
      </c>
      <c r="E11" s="80" t="n">
        <f aca="false">'Divisão dos Circuitos'!M11</f>
        <v>20</v>
      </c>
      <c r="F11" s="79" t="n">
        <v>30</v>
      </c>
      <c r="G11" s="95" t="n">
        <f aca="false">E11</f>
        <v>20</v>
      </c>
      <c r="H11" s="80" t="n">
        <f aca="false">MAX('Divisão dos Circuitos'!E11, 'Capac.Cond.Corre.'!L11, 'Queda de Tensão'!K11)</f>
        <v>2.5</v>
      </c>
      <c r="I11" s="79" t="str">
        <f aca="false">'Capac.Cond.Corre.'!I11</f>
        <v>B2</v>
      </c>
      <c r="J11" s="79" t="str">
        <f aca="false">'Capac.Cond.Corre.'!J11</f>
        <v>PVC</v>
      </c>
      <c r="K11" s="79" t="n">
        <f aca="false">'Capac.Cond.Corre.'!K11</f>
        <v>3</v>
      </c>
      <c r="L11" s="80" t="n">
        <v>20</v>
      </c>
      <c r="M11" s="80" t="n">
        <v>1</v>
      </c>
      <c r="N11" s="80" t="n">
        <f aca="false">'Capac.Cond.Corre.'!G11</f>
        <v>1</v>
      </c>
      <c r="O11" s="80" t="n">
        <f aca="false">L11*M11*N11</f>
        <v>20</v>
      </c>
      <c r="P11" s="80" t="str">
        <f aca="false">IF(O11&gt;=E11, "SIM", "NÃO")</f>
        <v>SIM</v>
      </c>
      <c r="Q11" s="80" t="n">
        <f aca="false">IF(P11="SIM", H11, IF(H11=1.5, 2.5, IF(H11=2.5, 4, 6)))</f>
        <v>2.5</v>
      </c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5" hidden="false" customHeight="true" outlineLevel="0" collapsed="false">
      <c r="A12" s="79" t="s">
        <v>130</v>
      </c>
      <c r="B12" s="79" t="s">
        <v>118</v>
      </c>
      <c r="C12" s="79" t="s">
        <v>123</v>
      </c>
      <c r="D12" s="80" t="n">
        <f aca="false">'Divisão dos Circuitos'!K12</f>
        <v>18.2321137638829</v>
      </c>
      <c r="E12" s="80" t="n">
        <f aca="false">'Divisão dos Circuitos'!M12</f>
        <v>20</v>
      </c>
      <c r="F12" s="79" t="n">
        <v>30</v>
      </c>
      <c r="G12" s="95" t="n">
        <f aca="false">E12</f>
        <v>20</v>
      </c>
      <c r="H12" s="80" t="n">
        <f aca="false">MAX('Divisão dos Circuitos'!E12, 'Capac.Cond.Corre.'!L12, 'Queda de Tensão'!K12)</f>
        <v>2.5</v>
      </c>
      <c r="I12" s="79" t="str">
        <f aca="false">'Capac.Cond.Corre.'!I12</f>
        <v>B2</v>
      </c>
      <c r="J12" s="79" t="str">
        <f aca="false">'Capac.Cond.Corre.'!J12</f>
        <v>PVC</v>
      </c>
      <c r="K12" s="79" t="n">
        <f aca="false">'Capac.Cond.Corre.'!K12</f>
        <v>3</v>
      </c>
      <c r="L12" s="80" t="n">
        <v>20</v>
      </c>
      <c r="M12" s="80" t="n">
        <v>1</v>
      </c>
      <c r="N12" s="80" t="n">
        <f aca="false">'Capac.Cond.Corre.'!G12</f>
        <v>1</v>
      </c>
      <c r="O12" s="80" t="n">
        <f aca="false">L12*M12*N12</f>
        <v>20</v>
      </c>
      <c r="P12" s="80" t="str">
        <f aca="false">IF(O12&gt;=E12, "SIM", "NÃO")</f>
        <v>SIM</v>
      </c>
      <c r="Q12" s="80" t="n">
        <f aca="false">IF(P12="SIM", H12, IF(H12=1.5, 2.5, IF(H12=2.5, 4, 6)))</f>
        <v>2.5</v>
      </c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5" hidden="false" customHeight="true" outlineLevel="0" collapsed="false">
      <c r="A13" s="79" t="s">
        <v>131</v>
      </c>
      <c r="B13" s="79" t="s">
        <v>118</v>
      </c>
      <c r="C13" s="79" t="s">
        <v>127</v>
      </c>
      <c r="D13" s="80" t="n">
        <f aca="false">'Divisão dos Circuitos'!K13</f>
        <v>18.2321137638829</v>
      </c>
      <c r="E13" s="80" t="n">
        <f aca="false">'Divisão dos Circuitos'!M13</f>
        <v>20</v>
      </c>
      <c r="F13" s="79" t="n">
        <v>30</v>
      </c>
      <c r="G13" s="95" t="n">
        <f aca="false">E13</f>
        <v>20</v>
      </c>
      <c r="H13" s="80" t="n">
        <f aca="false">MAX('Divisão dos Circuitos'!E13, 'Capac.Cond.Corre.'!L13, 'Queda de Tensão'!K13)</f>
        <v>4</v>
      </c>
      <c r="I13" s="79" t="str">
        <f aca="false">'Capac.Cond.Corre.'!I13</f>
        <v>B2</v>
      </c>
      <c r="J13" s="79" t="str">
        <f aca="false">'Capac.Cond.Corre.'!J13</f>
        <v>PVC</v>
      </c>
      <c r="K13" s="79" t="n">
        <f aca="false">'Capac.Cond.Corre.'!K13</f>
        <v>3</v>
      </c>
      <c r="L13" s="80" t="n">
        <v>27</v>
      </c>
      <c r="M13" s="80" t="n">
        <v>1</v>
      </c>
      <c r="N13" s="80" t="n">
        <f aca="false">'Capac.Cond.Corre.'!G13</f>
        <v>1</v>
      </c>
      <c r="O13" s="80" t="n">
        <f aca="false">L13*M13*N13</f>
        <v>27</v>
      </c>
      <c r="P13" s="80" t="str">
        <f aca="false">IF(O13&gt;=E13, "SIM", "NÃO")</f>
        <v>SIM</v>
      </c>
      <c r="Q13" s="80" t="n">
        <f aca="false">IF(P13="SIM", H13, IF(H13=1.5, 2.5, IF(H13=2.5, 4, 6)))</f>
        <v>4</v>
      </c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5" hidden="false" customHeight="true" outlineLevel="0" collapsed="false">
      <c r="A14" s="79" t="s">
        <v>132</v>
      </c>
      <c r="B14" s="79" t="s">
        <v>118</v>
      </c>
      <c r="C14" s="79" t="s">
        <v>133</v>
      </c>
      <c r="D14" s="80" t="n">
        <f aca="false">'Divisão dos Circuitos'!K14</f>
        <v>13.6363636363636</v>
      </c>
      <c r="E14" s="80" t="n">
        <f aca="false">'Divisão dos Circuitos'!M14</f>
        <v>16</v>
      </c>
      <c r="F14" s="79" t="n">
        <v>30</v>
      </c>
      <c r="G14" s="95" t="n">
        <f aca="false">E14</f>
        <v>16</v>
      </c>
      <c r="H14" s="80" t="n">
        <f aca="false">MAX('Divisão dos Circuitos'!E14, 'Capac.Cond.Corre.'!L14, 'Queda de Tensão'!K14)</f>
        <v>2.5</v>
      </c>
      <c r="I14" s="79" t="str">
        <f aca="false">'Capac.Cond.Corre.'!I14</f>
        <v>B2</v>
      </c>
      <c r="J14" s="79" t="str">
        <f aca="false">'Capac.Cond.Corre.'!J14</f>
        <v>PVC</v>
      </c>
      <c r="K14" s="79" t="n">
        <f aca="false">'Capac.Cond.Corre.'!K14</f>
        <v>2</v>
      </c>
      <c r="L14" s="80" t="n">
        <v>23</v>
      </c>
      <c r="M14" s="80" t="n">
        <v>1</v>
      </c>
      <c r="N14" s="80" t="n">
        <f aca="false">'Capac.Cond.Corre.'!G14</f>
        <v>1</v>
      </c>
      <c r="O14" s="80" t="n">
        <f aca="false">L14*M14*N14</f>
        <v>23</v>
      </c>
      <c r="P14" s="80" t="str">
        <f aca="false">IF(O14&gt;=E14, "SIM", "NÃO")</f>
        <v>SIM</v>
      </c>
      <c r="Q14" s="80" t="n">
        <f aca="false">IF(P14="SIM", H14, IF(H14=1.5, 2.5, IF(H14=2.5, 4, 6)))</f>
        <v>2.5</v>
      </c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5" hidden="false" customHeight="true" outlineLevel="0" collapsed="false">
      <c r="A15" s="79" t="s">
        <v>134</v>
      </c>
      <c r="B15" s="79" t="s">
        <v>118</v>
      </c>
      <c r="C15" s="79" t="s">
        <v>135</v>
      </c>
      <c r="D15" s="80" t="n">
        <f aca="false">'Divisão dos Circuitos'!K15</f>
        <v>10</v>
      </c>
      <c r="E15" s="80" t="n">
        <f aca="false">'Divisão dos Circuitos'!M15</f>
        <v>16</v>
      </c>
      <c r="F15" s="79" t="n">
        <v>30</v>
      </c>
      <c r="G15" s="95" t="n">
        <f aca="false">E15</f>
        <v>16</v>
      </c>
      <c r="H15" s="80" t="n">
        <f aca="false">MAX('Divisão dos Circuitos'!E15, 'Capac.Cond.Corre.'!L15, 'Queda de Tensão'!K15)</f>
        <v>2.5</v>
      </c>
      <c r="I15" s="79" t="str">
        <f aca="false">'Capac.Cond.Corre.'!I15</f>
        <v>B2</v>
      </c>
      <c r="J15" s="79" t="str">
        <f aca="false">'Capac.Cond.Corre.'!J15</f>
        <v>PVC</v>
      </c>
      <c r="K15" s="79" t="n">
        <f aca="false">'Capac.Cond.Corre.'!K15</f>
        <v>2</v>
      </c>
      <c r="L15" s="80" t="n">
        <v>23</v>
      </c>
      <c r="M15" s="80" t="n">
        <v>1</v>
      </c>
      <c r="N15" s="80" t="n">
        <f aca="false">'Capac.Cond.Corre.'!G15</f>
        <v>1</v>
      </c>
      <c r="O15" s="80" t="n">
        <f aca="false">L15*M15*N15</f>
        <v>23</v>
      </c>
      <c r="P15" s="80" t="str">
        <f aca="false">IF(O15&gt;=E15, "SIM", "NÃO")</f>
        <v>SIM</v>
      </c>
      <c r="Q15" s="80" t="n">
        <f aca="false">IF(P15="SIM", H15, IF(H15=1.5, 2.5, IF(H15=2.5, 4, 6)))</f>
        <v>2.5</v>
      </c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5" hidden="false" customHeight="true" outlineLevel="0" collapsed="false">
      <c r="A16" s="79" t="s">
        <v>136</v>
      </c>
      <c r="B16" s="79" t="s">
        <v>118</v>
      </c>
      <c r="C16" s="79" t="s">
        <v>137</v>
      </c>
      <c r="D16" s="80" t="n">
        <f aca="false">'Divisão dos Circuitos'!K16</f>
        <v>9.09090909090909</v>
      </c>
      <c r="E16" s="80" t="n">
        <f aca="false">'Divisão dos Circuitos'!M16</f>
        <v>10</v>
      </c>
      <c r="F16" s="79" t="n">
        <v>30</v>
      </c>
      <c r="G16" s="95" t="n">
        <f aca="false">E16</f>
        <v>10</v>
      </c>
      <c r="H16" s="80" t="n">
        <f aca="false">MAX('Divisão dos Circuitos'!E16, 'Capac.Cond.Corre.'!L16, 'Queda de Tensão'!K16)</f>
        <v>2.5</v>
      </c>
      <c r="I16" s="79" t="str">
        <f aca="false">'Capac.Cond.Corre.'!I16</f>
        <v>B2</v>
      </c>
      <c r="J16" s="79" t="str">
        <f aca="false">'Capac.Cond.Corre.'!J16</f>
        <v>PVC</v>
      </c>
      <c r="K16" s="79" t="n">
        <f aca="false">'Capac.Cond.Corre.'!K16</f>
        <v>2</v>
      </c>
      <c r="L16" s="80" t="n">
        <v>23</v>
      </c>
      <c r="M16" s="80" t="n">
        <v>1</v>
      </c>
      <c r="N16" s="80" t="n">
        <f aca="false">'Capac.Cond.Corre.'!G16</f>
        <v>1</v>
      </c>
      <c r="O16" s="80" t="n">
        <f aca="false">L16*M16*N16</f>
        <v>23</v>
      </c>
      <c r="P16" s="80" t="str">
        <f aca="false">IF(O16&gt;=E16, "SIM", "NÃO")</f>
        <v>SIM</v>
      </c>
      <c r="Q16" s="80" t="n">
        <f aca="false">IF(P16="SIM", H16, IF(H16=1.5, 2.5, IF(H16=2.5, 4, 6)))</f>
        <v>2.5</v>
      </c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5" hidden="false" customHeight="true" outlineLevel="0" collapsed="false">
      <c r="A17" s="79" t="s">
        <v>138</v>
      </c>
      <c r="B17" s="79" t="s">
        <v>118</v>
      </c>
      <c r="C17" s="79" t="s">
        <v>139</v>
      </c>
      <c r="D17" s="80" t="n">
        <f aca="false">'Divisão dos Circuitos'!K17</f>
        <v>15.4545454545455</v>
      </c>
      <c r="E17" s="80" t="n">
        <f aca="false">'Divisão dos Circuitos'!M17</f>
        <v>16</v>
      </c>
      <c r="F17" s="79" t="n">
        <v>30</v>
      </c>
      <c r="G17" s="95" t="n">
        <f aca="false">E17</f>
        <v>16</v>
      </c>
      <c r="H17" s="80" t="n">
        <f aca="false">MAX('Divisão dos Circuitos'!E17, 'Capac.Cond.Corre.'!L17, 'Queda de Tensão'!K17)</f>
        <v>4</v>
      </c>
      <c r="I17" s="79" t="str">
        <f aca="false">'Capac.Cond.Corre.'!I17</f>
        <v>B2</v>
      </c>
      <c r="J17" s="79" t="str">
        <f aca="false">'Capac.Cond.Corre.'!J17</f>
        <v>PVC</v>
      </c>
      <c r="K17" s="79" t="n">
        <f aca="false">'Capac.Cond.Corre.'!K17</f>
        <v>2</v>
      </c>
      <c r="L17" s="80" t="n">
        <v>30</v>
      </c>
      <c r="M17" s="80" t="n">
        <v>1</v>
      </c>
      <c r="N17" s="80" t="n">
        <f aca="false">'Capac.Cond.Corre.'!G17</f>
        <v>1</v>
      </c>
      <c r="O17" s="80" t="n">
        <f aca="false">L17*M17*N17</f>
        <v>30</v>
      </c>
      <c r="P17" s="80" t="str">
        <f aca="false">IF(O17&gt;=E17, "SIM", "NÃO")</f>
        <v>SIM</v>
      </c>
      <c r="Q17" s="80" t="n">
        <f aca="false">IF(P17="SIM", H17, IF(H17=1.5, 2.5, IF(H17=2.5, 4, 6)))</f>
        <v>4</v>
      </c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5" hidden="false" customHeight="true" outlineLevel="0" collapsed="false">
      <c r="A18" s="78" t="s">
        <v>140</v>
      </c>
      <c r="B18" s="78"/>
      <c r="C18" s="78"/>
      <c r="D18" s="77"/>
      <c r="E18" s="77"/>
      <c r="F18" s="78"/>
      <c r="G18" s="94"/>
      <c r="H18" s="77"/>
      <c r="I18" s="78"/>
      <c r="J18" s="78"/>
      <c r="K18" s="78"/>
      <c r="L18" s="77"/>
      <c r="M18" s="77"/>
      <c r="N18" s="77"/>
      <c r="O18" s="77"/>
      <c r="P18" s="77"/>
      <c r="Q18" s="77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5" hidden="false" customHeight="true" outlineLevel="0" collapsed="false">
      <c r="A19" s="79" t="s">
        <v>141</v>
      </c>
      <c r="B19" s="79" t="s">
        <v>142</v>
      </c>
      <c r="C19" s="79" t="s">
        <v>143</v>
      </c>
      <c r="D19" s="80" t="n">
        <f aca="false">'Divisão dos Circuitos'!K19</f>
        <v>8.87235996326905</v>
      </c>
      <c r="E19" s="80" t="n">
        <f aca="false">'Divisão dos Circuitos'!M19</f>
        <v>10</v>
      </c>
      <c r="F19" s="79" t="n">
        <v>30</v>
      </c>
      <c r="G19" s="80" t="n">
        <f aca="false">E19</f>
        <v>10</v>
      </c>
      <c r="H19" s="80" t="n">
        <f aca="false">MAX('Divisão dos Circuitos'!E19, 'Capac.Cond.Corre.'!L19, 'Queda de Tensão'!K19)</f>
        <v>4</v>
      </c>
      <c r="I19" s="79" t="str">
        <f aca="false">'Capac.Cond.Corre.'!I19</f>
        <v>B2</v>
      </c>
      <c r="J19" s="79" t="str">
        <f aca="false">'Capac.Cond.Corre.'!J19</f>
        <v>PVC</v>
      </c>
      <c r="K19" s="79" t="n">
        <f aca="false">'Capac.Cond.Corre.'!K19</f>
        <v>2</v>
      </c>
      <c r="L19" s="80" t="n">
        <v>30</v>
      </c>
      <c r="M19" s="80" t="n">
        <v>1</v>
      </c>
      <c r="N19" s="80" t="n">
        <f aca="false">'Capac.Cond.Corre.'!G19</f>
        <v>0.7</v>
      </c>
      <c r="O19" s="80" t="n">
        <f aca="false">L19*M19*N19</f>
        <v>21</v>
      </c>
      <c r="P19" s="80" t="str">
        <f aca="false">IF(O19&gt;=E19, "SIM", "NÃO")</f>
        <v>SIM</v>
      </c>
      <c r="Q19" s="80" t="n">
        <f aca="false">IF(P19="SIM", H19, IF(H19=1.5, 2.5, IF(H19=2.5, 4, 6)))</f>
        <v>4</v>
      </c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5.75" hidden="false" customHeight="true" outlineLevel="0" collapsed="false">
      <c r="A20" s="79" t="s">
        <v>144</v>
      </c>
      <c r="B20" s="79" t="s">
        <v>142</v>
      </c>
      <c r="C20" s="79" t="s">
        <v>53</v>
      </c>
      <c r="D20" s="80" t="n">
        <f aca="false">'Divisão dos Circuitos'!K20</f>
        <v>7.58815426997245</v>
      </c>
      <c r="E20" s="80" t="n">
        <f aca="false">'Divisão dos Circuitos'!M20</f>
        <v>10</v>
      </c>
      <c r="F20" s="79" t="n">
        <v>30</v>
      </c>
      <c r="G20" s="80" t="n">
        <f aca="false">E20</f>
        <v>10</v>
      </c>
      <c r="H20" s="80" t="n">
        <f aca="false">MAX('Divisão dos Circuitos'!E20, 'Capac.Cond.Corre.'!L20, 'Queda de Tensão'!K20)</f>
        <v>2.5</v>
      </c>
      <c r="I20" s="79" t="str">
        <f aca="false">'Capac.Cond.Corre.'!I20</f>
        <v>B2</v>
      </c>
      <c r="J20" s="79" t="str">
        <f aca="false">'Capac.Cond.Corre.'!J20</f>
        <v>PVC</v>
      </c>
      <c r="K20" s="79" t="n">
        <f aca="false">'Capac.Cond.Corre.'!K20</f>
        <v>2</v>
      </c>
      <c r="L20" s="80" t="n">
        <v>23</v>
      </c>
      <c r="M20" s="80" t="n">
        <v>1</v>
      </c>
      <c r="N20" s="80" t="n">
        <f aca="false">'Capac.Cond.Corre.'!G20</f>
        <v>1</v>
      </c>
      <c r="O20" s="80" t="n">
        <f aca="false">L20*M20*N20</f>
        <v>23</v>
      </c>
      <c r="P20" s="79" t="str">
        <f aca="false">IF(O20&gt;=E20, "SIM", "NÃO")</f>
        <v>SIM</v>
      </c>
      <c r="Q20" s="80" t="n">
        <f aca="false">IF(P20="SIM", H20, IF(H20=1.5, 2.5, IF(H20=2.5, 4, 6)))</f>
        <v>2.5</v>
      </c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5" hidden="false" customHeight="true" outlineLevel="0" collapsed="false">
      <c r="A21" s="79" t="s">
        <v>145</v>
      </c>
      <c r="B21" s="79" t="s">
        <v>142</v>
      </c>
      <c r="C21" s="79" t="s">
        <v>146</v>
      </c>
      <c r="D21" s="80" t="n">
        <f aca="false">'Divisão dos Circuitos'!K21</f>
        <v>5.45454545454545</v>
      </c>
      <c r="E21" s="80" t="n">
        <f aca="false">'Divisão dos Circuitos'!M21</f>
        <v>10</v>
      </c>
      <c r="F21" s="79" t="n">
        <v>30</v>
      </c>
      <c r="G21" s="80" t="n">
        <f aca="false">E21</f>
        <v>10</v>
      </c>
      <c r="H21" s="80" t="n">
        <f aca="false">MAX('Divisão dos Circuitos'!E21, 'Capac.Cond.Corre.'!L21, 'Queda de Tensão'!K21)</f>
        <v>2.5</v>
      </c>
      <c r="I21" s="79" t="str">
        <f aca="false">'Capac.Cond.Corre.'!I21</f>
        <v>B1</v>
      </c>
      <c r="J21" s="79" t="str">
        <f aca="false">'Capac.Cond.Corre.'!J21</f>
        <v>PVC</v>
      </c>
      <c r="K21" s="79" t="n">
        <f aca="false">'Capac.Cond.Corre.'!K21</f>
        <v>2</v>
      </c>
      <c r="L21" s="80" t="n">
        <v>24</v>
      </c>
      <c r="M21" s="80" t="n">
        <v>1</v>
      </c>
      <c r="N21" s="80" t="n">
        <f aca="false">'Capac.Cond.Corre.'!G21</f>
        <v>0.7</v>
      </c>
      <c r="O21" s="80" t="n">
        <f aca="false">L21*M21*N21</f>
        <v>16.8</v>
      </c>
      <c r="P21" s="80" t="str">
        <f aca="false">IF(O21&gt;=E21, "SIM", "NÃO")</f>
        <v>SIM</v>
      </c>
      <c r="Q21" s="80" t="n">
        <f aca="false">IF(P21="SIM", H21, IF(H21=1.5, 2.5, IF(H21=2.5, 4, 6)))</f>
        <v>2.5</v>
      </c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5" hidden="false" customHeight="true" outlineLevel="0" collapsed="false">
      <c r="A22" s="79" t="s">
        <v>147</v>
      </c>
      <c r="B22" s="79" t="s">
        <v>142</v>
      </c>
      <c r="C22" s="79" t="s">
        <v>148</v>
      </c>
      <c r="D22" s="80" t="n">
        <f aca="false">'Divisão dos Circuitos'!K22</f>
        <v>10.9090909090909</v>
      </c>
      <c r="E22" s="80" t="n">
        <f aca="false">'Divisão dos Circuitos'!M22</f>
        <v>16</v>
      </c>
      <c r="F22" s="79" t="n">
        <v>30</v>
      </c>
      <c r="G22" s="80" t="n">
        <f aca="false">E22</f>
        <v>16</v>
      </c>
      <c r="H22" s="80" t="n">
        <f aca="false">MAX('Divisão dos Circuitos'!E22, 'Capac.Cond.Corre.'!L22, 'Queda de Tensão'!K22)</f>
        <v>2.5</v>
      </c>
      <c r="I22" s="79" t="str">
        <f aca="false">'Capac.Cond.Corre.'!I22</f>
        <v>B2</v>
      </c>
      <c r="J22" s="79" t="str">
        <f aca="false">'Capac.Cond.Corre.'!J22</f>
        <v>PVC</v>
      </c>
      <c r="K22" s="79" t="n">
        <f aca="false">'Capac.Cond.Corre.'!K22</f>
        <v>2</v>
      </c>
      <c r="L22" s="80" t="n">
        <v>23</v>
      </c>
      <c r="M22" s="80" t="n">
        <v>1</v>
      </c>
      <c r="N22" s="80" t="n">
        <f aca="false">'Capac.Cond.Corre.'!G22</f>
        <v>1</v>
      </c>
      <c r="O22" s="80" t="n">
        <f aca="false">L22*M22*N22</f>
        <v>23</v>
      </c>
      <c r="P22" s="80" t="str">
        <f aca="false">IF(O22&gt;=E22, "SIM", "NÃO")</f>
        <v>SIM</v>
      </c>
      <c r="Q22" s="80" t="n">
        <f aca="false">IF(P22="SIM", H22, IF(H22=1.5, 2.5, IF(H22=2.5, 4, 6)))</f>
        <v>2.5</v>
      </c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5" hidden="false" customHeight="true" outlineLevel="0" collapsed="false">
      <c r="A23" s="79" t="s">
        <v>149</v>
      </c>
      <c r="B23" s="79" t="s">
        <v>142</v>
      </c>
      <c r="C23" s="79" t="s">
        <v>150</v>
      </c>
      <c r="D23" s="80" t="n">
        <f aca="false">'Divisão dos Circuitos'!K23</f>
        <v>8.18181818181818</v>
      </c>
      <c r="E23" s="80" t="n">
        <f aca="false">'Divisão dos Circuitos'!M23</f>
        <v>10</v>
      </c>
      <c r="F23" s="79" t="n">
        <v>30</v>
      </c>
      <c r="G23" s="80" t="n">
        <f aca="false">E23</f>
        <v>10</v>
      </c>
      <c r="H23" s="80" t="n">
        <f aca="false">MAX('Divisão dos Circuitos'!E23, 'Capac.Cond.Corre.'!L23, 'Queda de Tensão'!K23)</f>
        <v>2.5</v>
      </c>
      <c r="I23" s="79" t="str">
        <f aca="false">'Capac.Cond.Corre.'!I23</f>
        <v>B2</v>
      </c>
      <c r="J23" s="79" t="str">
        <f aca="false">'Capac.Cond.Corre.'!J23</f>
        <v>PVC</v>
      </c>
      <c r="K23" s="79" t="n">
        <f aca="false">'Capac.Cond.Corre.'!K23</f>
        <v>2</v>
      </c>
      <c r="L23" s="80" t="n">
        <v>23</v>
      </c>
      <c r="M23" s="80" t="n">
        <v>1</v>
      </c>
      <c r="N23" s="80" t="n">
        <f aca="false">'Capac.Cond.Corre.'!G23</f>
        <v>1</v>
      </c>
      <c r="O23" s="80" t="n">
        <f aca="false">L23*M23*N23</f>
        <v>23</v>
      </c>
      <c r="P23" s="80" t="str">
        <f aca="false">IF(O23&gt;=E23, "SIM", "NÃO")</f>
        <v>SIM</v>
      </c>
      <c r="Q23" s="80" t="n">
        <f aca="false">IF(P23="SIM", H23, IF(H23=1.5, 2.5, IF(H23=2.5, 4, 6)))</f>
        <v>2.5</v>
      </c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5" hidden="false" customHeight="true" outlineLevel="0" collapsed="false">
      <c r="A24" s="79" t="s">
        <v>151</v>
      </c>
      <c r="B24" s="79" t="s">
        <v>142</v>
      </c>
      <c r="C24" s="79" t="s">
        <v>152</v>
      </c>
      <c r="D24" s="80" t="n">
        <f aca="false">'Divisão dos Circuitos'!K24</f>
        <v>10.9090909090909</v>
      </c>
      <c r="E24" s="80" t="n">
        <f aca="false">'Divisão dos Circuitos'!M24</f>
        <v>16</v>
      </c>
      <c r="F24" s="79" t="n">
        <v>30</v>
      </c>
      <c r="G24" s="80" t="n">
        <f aca="false">E24</f>
        <v>16</v>
      </c>
      <c r="H24" s="80" t="n">
        <f aca="false">MAX('Divisão dos Circuitos'!E24, 'Capac.Cond.Corre.'!L24, 'Queda de Tensão'!K24)</f>
        <v>4</v>
      </c>
      <c r="I24" s="79" t="str">
        <f aca="false">'Capac.Cond.Corre.'!I24</f>
        <v>B2</v>
      </c>
      <c r="J24" s="79" t="str">
        <f aca="false">'Capac.Cond.Corre.'!J24</f>
        <v>PVC</v>
      </c>
      <c r="K24" s="79" t="n">
        <f aca="false">'Capac.Cond.Corre.'!K24</f>
        <v>2</v>
      </c>
      <c r="L24" s="80" t="n">
        <v>30</v>
      </c>
      <c r="M24" s="80" t="n">
        <v>1</v>
      </c>
      <c r="N24" s="80" t="n">
        <f aca="false">'Capac.Cond.Corre.'!G24</f>
        <v>1</v>
      </c>
      <c r="O24" s="80" t="n">
        <f aca="false">L24*M24*N24</f>
        <v>30</v>
      </c>
      <c r="P24" s="80" t="str">
        <f aca="false">IF(O24&gt;=E24, "SIM", "NÃO")</f>
        <v>SIM</v>
      </c>
      <c r="Q24" s="80" t="n">
        <f aca="false">IF(P24="SIM", H24, IF(H24=1.5, 2.5, IF(H24=2.5, 4, 6)))</f>
        <v>4</v>
      </c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5" hidden="false" customHeight="true" outlineLevel="0" collapsed="false">
      <c r="A25" s="79" t="s">
        <v>153</v>
      </c>
      <c r="B25" s="79" t="s">
        <v>142</v>
      </c>
      <c r="C25" s="79" t="s">
        <v>154</v>
      </c>
      <c r="D25" s="80" t="n">
        <f aca="false">'Divisão dos Circuitos'!K25</f>
        <v>8.18181818181818</v>
      </c>
      <c r="E25" s="80" t="n">
        <f aca="false">'Divisão dos Circuitos'!M25</f>
        <v>10</v>
      </c>
      <c r="F25" s="79" t="n">
        <v>30</v>
      </c>
      <c r="G25" s="80" t="n">
        <f aca="false">E25</f>
        <v>10</v>
      </c>
      <c r="H25" s="80" t="n">
        <f aca="false">MAX('Divisão dos Circuitos'!E25, 'Capac.Cond.Corre.'!L25, 'Queda de Tensão'!K25)</f>
        <v>2.5</v>
      </c>
      <c r="I25" s="79" t="str">
        <f aca="false">'Capac.Cond.Corre.'!I25</f>
        <v>B2</v>
      </c>
      <c r="J25" s="79" t="str">
        <f aca="false">'Capac.Cond.Corre.'!J25</f>
        <v>PVC</v>
      </c>
      <c r="K25" s="79" t="n">
        <f aca="false">'Capac.Cond.Corre.'!K25</f>
        <v>2</v>
      </c>
      <c r="L25" s="80" t="n">
        <v>23</v>
      </c>
      <c r="M25" s="80" t="n">
        <v>1</v>
      </c>
      <c r="N25" s="80" t="n">
        <f aca="false">'Capac.Cond.Corre.'!G25</f>
        <v>1</v>
      </c>
      <c r="O25" s="80" t="n">
        <f aca="false">L25*M25*N25</f>
        <v>23</v>
      </c>
      <c r="P25" s="80" t="str">
        <f aca="false">IF(O25&gt;=E25, "SIM", "NÃO")</f>
        <v>SIM</v>
      </c>
      <c r="Q25" s="80" t="n">
        <f aca="false">IF(P25="SIM", H25, IF(H25=1.5, 2.5, IF(H25=2.5, 4, 6)))</f>
        <v>2.5</v>
      </c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5.75" hidden="false" customHeight="true" outlineLevel="0" collapsed="false">
      <c r="A26" s="79" t="s">
        <v>155</v>
      </c>
      <c r="B26" s="79" t="s">
        <v>142</v>
      </c>
      <c r="C26" s="79" t="s">
        <v>156</v>
      </c>
      <c r="D26" s="80" t="n">
        <f aca="false">'Divisão dos Circuitos'!K26</f>
        <v>8.18181818181818</v>
      </c>
      <c r="E26" s="80" t="n">
        <f aca="false">'Divisão dos Circuitos'!M26</f>
        <v>10</v>
      </c>
      <c r="F26" s="79" t="n">
        <v>30</v>
      </c>
      <c r="G26" s="80" t="n">
        <f aca="false">E26</f>
        <v>10</v>
      </c>
      <c r="H26" s="80" t="n">
        <f aca="false">MAX('Divisão dos Circuitos'!E26, 'Capac.Cond.Corre.'!L26, 'Queda de Tensão'!K26)</f>
        <v>2.5</v>
      </c>
      <c r="I26" s="79" t="str">
        <f aca="false">'Capac.Cond.Corre.'!I26</f>
        <v>B2</v>
      </c>
      <c r="J26" s="79" t="str">
        <f aca="false">'Capac.Cond.Corre.'!J26</f>
        <v>PVC</v>
      </c>
      <c r="K26" s="79" t="n">
        <f aca="false">'Capac.Cond.Corre.'!K26</f>
        <v>2</v>
      </c>
      <c r="L26" s="80" t="n">
        <v>23</v>
      </c>
      <c r="M26" s="80" t="n">
        <v>1</v>
      </c>
      <c r="N26" s="80" t="n">
        <f aca="false">'Capac.Cond.Corre.'!G26</f>
        <v>1</v>
      </c>
      <c r="O26" s="80" t="n">
        <f aca="false">L26*M26*N26</f>
        <v>23</v>
      </c>
      <c r="P26" s="79" t="str">
        <f aca="false">IF(O26&gt;=E26, "SIM", "NÃO")</f>
        <v>SIM</v>
      </c>
      <c r="Q26" s="80" t="n">
        <f aca="false">IF(P26="SIM", H26, IF(H26=1.5, 2.5, IF(H26=2.5, 4, 6)))</f>
        <v>2.5</v>
      </c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5.75" hidden="false" customHeight="true" outlineLevel="0" collapsed="false">
      <c r="A27" s="79" t="s">
        <v>157</v>
      </c>
      <c r="B27" s="79" t="s">
        <v>142</v>
      </c>
      <c r="C27" s="79" t="s">
        <v>158</v>
      </c>
      <c r="D27" s="80" t="n">
        <f aca="false">'Divisão dos Circuitos'!K27</f>
        <v>8.18181818181818</v>
      </c>
      <c r="E27" s="80" t="n">
        <f aca="false">'Divisão dos Circuitos'!M27</f>
        <v>10</v>
      </c>
      <c r="F27" s="79" t="n">
        <v>30</v>
      </c>
      <c r="G27" s="80" t="n">
        <f aca="false">E27</f>
        <v>10</v>
      </c>
      <c r="H27" s="80" t="n">
        <f aca="false">MAX('Divisão dos Circuitos'!E27, 'Capac.Cond.Corre.'!L27, 'Queda de Tensão'!K27)</f>
        <v>2.5</v>
      </c>
      <c r="I27" s="79" t="str">
        <f aca="false">'Capac.Cond.Corre.'!I27</f>
        <v>B2</v>
      </c>
      <c r="J27" s="79" t="str">
        <f aca="false">'Capac.Cond.Corre.'!J27</f>
        <v>PVC</v>
      </c>
      <c r="K27" s="79" t="n">
        <f aca="false">'Capac.Cond.Corre.'!K27</f>
        <v>2</v>
      </c>
      <c r="L27" s="80" t="n">
        <v>23</v>
      </c>
      <c r="M27" s="80" t="n">
        <v>1</v>
      </c>
      <c r="N27" s="80" t="n">
        <f aca="false">'Capac.Cond.Corre.'!G27</f>
        <v>1</v>
      </c>
      <c r="O27" s="80" t="n">
        <f aca="false">L27*M27*N27</f>
        <v>23</v>
      </c>
      <c r="P27" s="79" t="str">
        <f aca="false">IF(O27&gt;=E27, "SIM", "NÃO")</f>
        <v>SIM</v>
      </c>
      <c r="Q27" s="80" t="n">
        <f aca="false">IF(P27="SIM", H27, IF(H27=1.5, 2.5, IF(H27=2.5, 4, 6)))</f>
        <v>2.5</v>
      </c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5" hidden="false" customHeight="true" outlineLevel="0" collapsed="false">
      <c r="A28" s="79" t="s">
        <v>159</v>
      </c>
      <c r="B28" s="79" t="s">
        <v>142</v>
      </c>
      <c r="C28" s="79" t="s">
        <v>148</v>
      </c>
      <c r="D28" s="80" t="n">
        <f aca="false">'Divisão dos Circuitos'!K28</f>
        <v>18.2321137638829</v>
      </c>
      <c r="E28" s="80" t="n">
        <f aca="false">'Divisão dos Circuitos'!M28</f>
        <v>20</v>
      </c>
      <c r="F28" s="79" t="n">
        <v>30</v>
      </c>
      <c r="G28" s="80" t="n">
        <f aca="false">E28</f>
        <v>20</v>
      </c>
      <c r="H28" s="80" t="n">
        <f aca="false">MAX('Divisão dos Circuitos'!E28, 'Capac.Cond.Corre.'!L28, 'Queda de Tensão'!K28)</f>
        <v>2.5</v>
      </c>
      <c r="I28" s="79" t="str">
        <f aca="false">'Capac.Cond.Corre.'!I28</f>
        <v>B2</v>
      </c>
      <c r="J28" s="79" t="str">
        <f aca="false">'Capac.Cond.Corre.'!J28</f>
        <v>PVC</v>
      </c>
      <c r="K28" s="79" t="n">
        <f aca="false">'Capac.Cond.Corre.'!K28</f>
        <v>3</v>
      </c>
      <c r="L28" s="80" t="n">
        <v>20</v>
      </c>
      <c r="M28" s="80" t="n">
        <v>1</v>
      </c>
      <c r="N28" s="80" t="n">
        <f aca="false">'Capac.Cond.Corre.'!G28</f>
        <v>1</v>
      </c>
      <c r="O28" s="80" t="n">
        <f aca="false">L28*M28*N28</f>
        <v>20</v>
      </c>
      <c r="P28" s="80" t="str">
        <f aca="false">IF(O28&gt;=E28, "SIM", "NÃO")</f>
        <v>SIM</v>
      </c>
      <c r="Q28" s="80" t="n">
        <f aca="false">IF(P28="SIM", H28, IF(H28=1.5, 2.5, IF(H28=2.5, 4, 6)))</f>
        <v>2.5</v>
      </c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5" hidden="false" customHeight="true" outlineLevel="0" collapsed="false">
      <c r="A29" s="79" t="s">
        <v>160</v>
      </c>
      <c r="B29" s="79" t="s">
        <v>142</v>
      </c>
      <c r="C29" s="79" t="s">
        <v>150</v>
      </c>
      <c r="D29" s="80" t="n">
        <f aca="false">'Divisão dos Circuitos'!K29</f>
        <v>18.2321137638829</v>
      </c>
      <c r="E29" s="80" t="n">
        <f aca="false">'Divisão dos Circuitos'!M29</f>
        <v>20</v>
      </c>
      <c r="F29" s="79" t="n">
        <v>30</v>
      </c>
      <c r="G29" s="80" t="n">
        <f aca="false">E29</f>
        <v>20</v>
      </c>
      <c r="H29" s="80" t="n">
        <f aca="false">MAX('Divisão dos Circuitos'!E29, 'Capac.Cond.Corre.'!L29, 'Queda de Tensão'!K29)</f>
        <v>2.5</v>
      </c>
      <c r="I29" s="79" t="str">
        <f aca="false">'Capac.Cond.Corre.'!I29</f>
        <v>B2</v>
      </c>
      <c r="J29" s="79" t="str">
        <f aca="false">'Capac.Cond.Corre.'!J29</f>
        <v>PVC</v>
      </c>
      <c r="K29" s="79" t="n">
        <f aca="false">'Capac.Cond.Corre.'!K29</f>
        <v>3</v>
      </c>
      <c r="L29" s="80" t="n">
        <v>20</v>
      </c>
      <c r="M29" s="80" t="n">
        <v>1</v>
      </c>
      <c r="N29" s="80" t="n">
        <f aca="false">'Capac.Cond.Corre.'!G29</f>
        <v>1</v>
      </c>
      <c r="O29" s="80" t="n">
        <f aca="false">L29*M29*N29</f>
        <v>20</v>
      </c>
      <c r="P29" s="80" t="str">
        <f aca="false">IF(O29&gt;=E29, "SIM", "NÃO")</f>
        <v>SIM</v>
      </c>
      <c r="Q29" s="80" t="n">
        <f aca="false">IF(P29="SIM", H29, IF(H29=1.5, 2.5, IF(H29=2.5, 4, 6)))</f>
        <v>2.5</v>
      </c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5.75" hidden="false" customHeight="true" outlineLevel="0" collapsed="false">
      <c r="A30" s="79" t="s">
        <v>161</v>
      </c>
      <c r="B30" s="79" t="s">
        <v>142</v>
      </c>
      <c r="C30" s="79" t="s">
        <v>152</v>
      </c>
      <c r="D30" s="80" t="n">
        <f aca="false">'Divisão dos Circuitos'!K30</f>
        <v>18.2321137638829</v>
      </c>
      <c r="E30" s="80" t="n">
        <f aca="false">'Divisão dos Circuitos'!M30</f>
        <v>20</v>
      </c>
      <c r="F30" s="79" t="n">
        <v>30</v>
      </c>
      <c r="G30" s="80" t="n">
        <f aca="false">E30</f>
        <v>20</v>
      </c>
      <c r="H30" s="80" t="n">
        <f aca="false">MAX('Divisão dos Circuitos'!E30, 'Capac.Cond.Corre.'!L30, 'Queda de Tensão'!K30)</f>
        <v>4</v>
      </c>
      <c r="I30" s="79" t="str">
        <f aca="false">'Capac.Cond.Corre.'!I30</f>
        <v>B2</v>
      </c>
      <c r="J30" s="79" t="str">
        <f aca="false">'Capac.Cond.Corre.'!J30</f>
        <v>PVC</v>
      </c>
      <c r="K30" s="79" t="n">
        <f aca="false">'Capac.Cond.Corre.'!K30</f>
        <v>3</v>
      </c>
      <c r="L30" s="80" t="n">
        <v>27</v>
      </c>
      <c r="M30" s="80" t="n">
        <v>1</v>
      </c>
      <c r="N30" s="80" t="n">
        <f aca="false">'Capac.Cond.Corre.'!G30</f>
        <v>1</v>
      </c>
      <c r="O30" s="80" t="n">
        <f aca="false">L30*M30*N30</f>
        <v>27</v>
      </c>
      <c r="P30" s="79" t="str">
        <f aca="false">IF(O30&gt;=E30, "SIM", "NÃO")</f>
        <v>SIM</v>
      </c>
      <c r="Q30" s="80" t="n">
        <f aca="false">IF(P30="SIM", H30, IF(H30=1.5, 2.5, IF(H30=2.5, 4, 6)))</f>
        <v>4</v>
      </c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5.75" hidden="false" customHeight="true" outlineLevel="0" collapsed="false">
      <c r="A31" s="79" t="s">
        <v>162</v>
      </c>
      <c r="B31" s="79" t="s">
        <v>142</v>
      </c>
      <c r="C31" s="79" t="s">
        <v>53</v>
      </c>
      <c r="D31" s="80" t="n">
        <f aca="false">'Divisão dos Circuitos'!K31</f>
        <v>27.3481706458244</v>
      </c>
      <c r="E31" s="80" t="n">
        <f aca="false">'Divisão dos Circuitos'!M31</f>
        <v>32</v>
      </c>
      <c r="F31" s="79" t="n">
        <v>30</v>
      </c>
      <c r="G31" s="80" t="n">
        <f aca="false">E31</f>
        <v>32</v>
      </c>
      <c r="H31" s="80" t="n">
        <f aca="false">MAX('Divisão dos Circuitos'!E31, 'Capac.Cond.Corre.'!L31, 'Queda de Tensão'!K31)</f>
        <v>6</v>
      </c>
      <c r="I31" s="79" t="str">
        <f aca="false">'Capac.Cond.Corre.'!I31</f>
        <v>B2</v>
      </c>
      <c r="J31" s="79" t="str">
        <f aca="false">'Capac.Cond.Corre.'!J31</f>
        <v>PVC</v>
      </c>
      <c r="K31" s="79" t="n">
        <f aca="false">'Capac.Cond.Corre.'!K31</f>
        <v>3</v>
      </c>
      <c r="L31" s="80" t="n">
        <v>34</v>
      </c>
      <c r="M31" s="80" t="n">
        <v>1</v>
      </c>
      <c r="N31" s="80" t="n">
        <f aca="false">'Capac.Cond.Corre.'!G31</f>
        <v>1</v>
      </c>
      <c r="O31" s="80" t="n">
        <f aca="false">L31*M31*N31</f>
        <v>34</v>
      </c>
      <c r="P31" s="79" t="str">
        <f aca="false">IF(O31&gt;=E31, "SIM", "NÃO")</f>
        <v>SIM</v>
      </c>
      <c r="Q31" s="80" t="n">
        <f aca="false">IF(P31="SIM", H31, IF(H31=1.5, 2.5, IF(H31=2.5, 4, 6)))</f>
        <v>6</v>
      </c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5.75" hidden="false" customHeight="true" outlineLevel="0" collapsed="false">
      <c r="A32" s="79" t="s">
        <v>163</v>
      </c>
      <c r="B32" s="79" t="s">
        <v>142</v>
      </c>
      <c r="C32" s="79" t="s">
        <v>164</v>
      </c>
      <c r="D32" s="80" t="n">
        <f aca="false">'Divisão dos Circuitos'!K32</f>
        <v>13.9146567717996</v>
      </c>
      <c r="E32" s="80" t="n">
        <f aca="false">'Divisão dos Circuitos'!M32</f>
        <v>16</v>
      </c>
      <c r="F32" s="79" t="n">
        <v>30</v>
      </c>
      <c r="G32" s="80" t="n">
        <f aca="false">E32</f>
        <v>16</v>
      </c>
      <c r="H32" s="80" t="n">
        <f aca="false">MAX('Divisão dos Circuitos'!E32, 'Capac.Cond.Corre.'!L32, 'Queda de Tensão'!K32)</f>
        <v>2.5</v>
      </c>
      <c r="I32" s="79" t="str">
        <f aca="false">'Capac.Cond.Corre.'!I32</f>
        <v>B1</v>
      </c>
      <c r="J32" s="79" t="str">
        <f aca="false">'Capac.Cond.Corre.'!J32</f>
        <v>PVC</v>
      </c>
      <c r="K32" s="79" t="n">
        <f aca="false">'Capac.Cond.Corre.'!K32</f>
        <v>2</v>
      </c>
      <c r="L32" s="80" t="n">
        <v>24</v>
      </c>
      <c r="M32" s="80" t="n">
        <v>1</v>
      </c>
      <c r="N32" s="80" t="n">
        <f aca="false">'Capac.Cond.Corre.'!G32</f>
        <v>0.7</v>
      </c>
      <c r="O32" s="80" t="n">
        <f aca="false">L32*M32*N32</f>
        <v>16.8</v>
      </c>
      <c r="P32" s="79" t="str">
        <f aca="false">IF(O32&gt;=E32, "SIM", "NÃO")</f>
        <v>SIM</v>
      </c>
      <c r="Q32" s="80" t="n">
        <f aca="false">IF(P32="SIM", H32, IF(H32=1.5, 2.5, IF(H32=2.5, 4, 6)))</f>
        <v>2.5</v>
      </c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5.75" hidden="false" customHeight="true" outlineLevel="0" collapsed="false">
      <c r="A33" s="79" t="s">
        <v>165</v>
      </c>
      <c r="B33" s="79" t="s">
        <v>142</v>
      </c>
      <c r="C33" s="79" t="s">
        <v>154</v>
      </c>
      <c r="D33" s="80" t="n">
        <f aca="false">'Divisão dos Circuitos'!K33</f>
        <v>18.2321137638829</v>
      </c>
      <c r="E33" s="80" t="n">
        <f aca="false">'Divisão dos Circuitos'!M33</f>
        <v>20</v>
      </c>
      <c r="F33" s="79" t="n">
        <v>30</v>
      </c>
      <c r="G33" s="80" t="n">
        <f aca="false">E33</f>
        <v>20</v>
      </c>
      <c r="H33" s="80" t="n">
        <f aca="false">MAX('Divisão dos Circuitos'!E33, 'Capac.Cond.Corre.'!L33, 'Queda de Tensão'!K33)</f>
        <v>2.5</v>
      </c>
      <c r="I33" s="79" t="str">
        <f aca="false">'Capac.Cond.Corre.'!I33</f>
        <v>B2</v>
      </c>
      <c r="J33" s="79" t="str">
        <f aca="false">'Capac.Cond.Corre.'!J33</f>
        <v>PVC</v>
      </c>
      <c r="K33" s="79" t="n">
        <f aca="false">'Capac.Cond.Corre.'!K33</f>
        <v>3</v>
      </c>
      <c r="L33" s="80" t="n">
        <v>20</v>
      </c>
      <c r="M33" s="80" t="n">
        <v>1</v>
      </c>
      <c r="N33" s="80" t="n">
        <f aca="false">'Capac.Cond.Corre.'!G33</f>
        <v>1</v>
      </c>
      <c r="O33" s="80" t="n">
        <f aca="false">L33*M33*N33</f>
        <v>20</v>
      </c>
      <c r="P33" s="79" t="str">
        <f aca="false">IF(O33&gt;=E33, "SIM", "NÃO")</f>
        <v>SIM</v>
      </c>
      <c r="Q33" s="80" t="n">
        <f aca="false">IF(P33="SIM", H33, IF(H33=1.5, 2.5, IF(H33=2.5, 4, 6)))</f>
        <v>2.5</v>
      </c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5.75" hidden="false" customHeight="true" outlineLevel="0" collapsed="false">
      <c r="A34" s="79" t="s">
        <v>166</v>
      </c>
      <c r="B34" s="79" t="s">
        <v>142</v>
      </c>
      <c r="C34" s="79" t="s">
        <v>90</v>
      </c>
      <c r="D34" s="80" t="n">
        <f aca="false">'Divisão dos Circuitos'!K34</f>
        <v>12.7272727272727</v>
      </c>
      <c r="E34" s="80" t="n">
        <f aca="false">'Divisão dos Circuitos'!M34</f>
        <v>16</v>
      </c>
      <c r="F34" s="79" t="n">
        <v>30</v>
      </c>
      <c r="G34" s="80" t="n">
        <f aca="false">E34</f>
        <v>16</v>
      </c>
      <c r="H34" s="80" t="n">
        <f aca="false">MAX('Divisão dos Circuitos'!E34, 'Capac.Cond.Corre.'!L34, 'Queda de Tensão'!K34)</f>
        <v>4</v>
      </c>
      <c r="I34" s="79" t="str">
        <f aca="false">'Capac.Cond.Corre.'!I34</f>
        <v>B2</v>
      </c>
      <c r="J34" s="79" t="str">
        <f aca="false">'Capac.Cond.Corre.'!J34</f>
        <v>PVC</v>
      </c>
      <c r="K34" s="79" t="n">
        <f aca="false">'Capac.Cond.Corre.'!K34</f>
        <v>2</v>
      </c>
      <c r="L34" s="80" t="n">
        <v>30</v>
      </c>
      <c r="M34" s="80" t="n">
        <v>1</v>
      </c>
      <c r="N34" s="80" t="n">
        <f aca="false">'Capac.Cond.Corre.'!G34</f>
        <v>1</v>
      </c>
      <c r="O34" s="80" t="n">
        <f aca="false">L34*M34*N34</f>
        <v>30</v>
      </c>
      <c r="P34" s="79" t="str">
        <f aca="false">IF(O34&gt;=E34, "SIM", "NÃO")</f>
        <v>SIM</v>
      </c>
      <c r="Q34" s="80" t="n">
        <f aca="false">IF(P34="SIM", H34, IF(H34=1.5, 2.5, IF(H34=2.5, 4, 6)))</f>
        <v>4</v>
      </c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5.75" hidden="false" customHeight="true" outlineLevel="0" collapsed="false">
      <c r="A35" s="79" t="s">
        <v>167</v>
      </c>
      <c r="B35" s="79" t="s">
        <v>142</v>
      </c>
      <c r="C35" s="79" t="s">
        <v>91</v>
      </c>
      <c r="D35" s="80" t="n">
        <f aca="false">'Divisão dos Circuitos'!K35</f>
        <v>17.8947368421053</v>
      </c>
      <c r="E35" s="80" t="n">
        <f aca="false">'Divisão dos Circuitos'!M35</f>
        <v>20</v>
      </c>
      <c r="F35" s="79" t="n">
        <v>30</v>
      </c>
      <c r="G35" s="80" t="n">
        <f aca="false">E35</f>
        <v>20</v>
      </c>
      <c r="H35" s="80" t="n">
        <f aca="false">MAX('Divisão dos Circuitos'!E35, 'Capac.Cond.Corre.'!L35, 'Queda de Tensão'!K35)</f>
        <v>2.5</v>
      </c>
      <c r="I35" s="79" t="str">
        <f aca="false">'Capac.Cond.Corre.'!I35</f>
        <v>B2</v>
      </c>
      <c r="J35" s="79" t="str">
        <f aca="false">'Capac.Cond.Corre.'!J35</f>
        <v>PVC</v>
      </c>
      <c r="K35" s="79" t="n">
        <f aca="false">'Capac.Cond.Corre.'!K35</f>
        <v>2</v>
      </c>
      <c r="L35" s="80" t="n">
        <v>23</v>
      </c>
      <c r="M35" s="80" t="n">
        <v>1</v>
      </c>
      <c r="N35" s="80" t="n">
        <f aca="false">'Capac.Cond.Corre.'!G35</f>
        <v>1</v>
      </c>
      <c r="O35" s="80" t="n">
        <f aca="false">L35*M35*N35</f>
        <v>23</v>
      </c>
      <c r="P35" s="79" t="str">
        <f aca="false">IF(O35&gt;=E35, "SIM", "NÃO")</f>
        <v>SIM</v>
      </c>
      <c r="Q35" s="80" t="n">
        <f aca="false">IF(P35="SIM", H35, IF(H35=1.5, 2.5, IF(H35=2.5, 4, 6)))</f>
        <v>2.5</v>
      </c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5.75" hidden="false" customHeight="true" outlineLevel="0" collapsed="false">
      <c r="A36" s="78" t="s">
        <v>168</v>
      </c>
      <c r="B36" s="78"/>
      <c r="C36" s="78"/>
      <c r="D36" s="77"/>
      <c r="E36" s="77"/>
      <c r="F36" s="78"/>
      <c r="G36" s="78"/>
      <c r="H36" s="77"/>
      <c r="I36" s="78"/>
      <c r="J36" s="78"/>
      <c r="K36" s="78"/>
      <c r="L36" s="77"/>
      <c r="M36" s="77"/>
      <c r="N36" s="77"/>
      <c r="O36" s="77"/>
      <c r="P36" s="78"/>
      <c r="Q36" s="77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5.75" hidden="false" customHeight="true" outlineLevel="0" collapsed="false">
      <c r="A37" s="79" t="s">
        <v>169</v>
      </c>
      <c r="B37" s="79" t="s">
        <v>170</v>
      </c>
      <c r="C37" s="79" t="s">
        <v>171</v>
      </c>
      <c r="D37" s="80" t="n">
        <f aca="false">'Divisão dos Circuitos'!K37</f>
        <v>8.90909090909091</v>
      </c>
      <c r="E37" s="80" t="n">
        <f aca="false">'Divisão dos Circuitos'!M37</f>
        <v>10</v>
      </c>
      <c r="F37" s="79" t="n">
        <v>30</v>
      </c>
      <c r="G37" s="80" t="n">
        <f aca="false">E37</f>
        <v>10</v>
      </c>
      <c r="H37" s="80" t="n">
        <f aca="false">MAX('Divisão dos Circuitos'!E37, 'Capac.Cond.Corre.'!L37, 'Queda de Tensão'!K37)</f>
        <v>1.5</v>
      </c>
      <c r="I37" s="79" t="str">
        <f aca="false">'Capac.Cond.Corre.'!I37</f>
        <v>B1</v>
      </c>
      <c r="J37" s="79" t="str">
        <f aca="false">'Capac.Cond.Corre.'!J37</f>
        <v>PVC</v>
      </c>
      <c r="K37" s="79" t="n">
        <f aca="false">'Capac.Cond.Corre.'!K37</f>
        <v>2</v>
      </c>
      <c r="L37" s="80" t="n">
        <v>17.5</v>
      </c>
      <c r="M37" s="80" t="n">
        <v>1</v>
      </c>
      <c r="N37" s="80" t="n">
        <f aca="false">'Capac.Cond.Corre.'!G37</f>
        <v>0.7</v>
      </c>
      <c r="O37" s="80" t="n">
        <f aca="false">L37*M37*N37</f>
        <v>12.25</v>
      </c>
      <c r="P37" s="79" t="str">
        <f aca="false">IF(O37&gt;=E37, "SIM", "NÃO")</f>
        <v>SIM</v>
      </c>
      <c r="Q37" s="80" t="n">
        <f aca="false">IF(P37="SIM", H37, IF(H37=1.5, 2.5, IF(H37=2.5, 4, 6)))</f>
        <v>1.5</v>
      </c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5.75" hidden="false" customHeight="true" outlineLevel="0" collapsed="false">
      <c r="A38" s="79" t="s">
        <v>172</v>
      </c>
      <c r="B38" s="79" t="s">
        <v>170</v>
      </c>
      <c r="C38" s="79" t="s">
        <v>61</v>
      </c>
      <c r="D38" s="80" t="n">
        <f aca="false">'Divisão dos Circuitos'!K38</f>
        <v>9.09090909090909</v>
      </c>
      <c r="E38" s="80" t="n">
        <f aca="false">'Divisão dos Circuitos'!M38</f>
        <v>10</v>
      </c>
      <c r="F38" s="79" t="n">
        <v>30</v>
      </c>
      <c r="G38" s="80" t="n">
        <f aca="false">E38</f>
        <v>10</v>
      </c>
      <c r="H38" s="80" t="n">
        <f aca="false">MAX('Divisão dos Circuitos'!E38, 'Capac.Cond.Corre.'!L38, 'Queda de Tensão'!K38)</f>
        <v>2.5</v>
      </c>
      <c r="I38" s="79" t="str">
        <f aca="false">'Capac.Cond.Corre.'!I38</f>
        <v>B1</v>
      </c>
      <c r="J38" s="79" t="str">
        <f aca="false">'Capac.Cond.Corre.'!J38</f>
        <v>PVC</v>
      </c>
      <c r="K38" s="79" t="n">
        <f aca="false">'Capac.Cond.Corre.'!K38</f>
        <v>2</v>
      </c>
      <c r="L38" s="80" t="n">
        <v>24</v>
      </c>
      <c r="M38" s="80" t="n">
        <v>1</v>
      </c>
      <c r="N38" s="80" t="n">
        <f aca="false">'Capac.Cond.Corre.'!G38</f>
        <v>0.8</v>
      </c>
      <c r="O38" s="80" t="n">
        <f aca="false">L38*M38*N38</f>
        <v>19.2</v>
      </c>
      <c r="P38" s="79" t="str">
        <f aca="false">IF(O38&gt;=E38, "SIM", "NÃO")</f>
        <v>SIM</v>
      </c>
      <c r="Q38" s="80" t="n">
        <f aca="false">IF(P38="SIM", H38, IF(H38=1.5, 2.5, IF(H38=2.5, 4, 6)))</f>
        <v>2.5</v>
      </c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5.75" hidden="false" customHeight="true" outlineLevel="0" collapsed="false">
      <c r="A39" s="79" t="s">
        <v>173</v>
      </c>
      <c r="B39" s="79" t="s">
        <v>170</v>
      </c>
      <c r="C39" s="79" t="s">
        <v>174</v>
      </c>
      <c r="D39" s="80" t="n">
        <f aca="false">'Divisão dos Circuitos'!K39</f>
        <v>5.45454545454545</v>
      </c>
      <c r="E39" s="80" t="n">
        <f aca="false">'Divisão dos Circuitos'!M39</f>
        <v>10</v>
      </c>
      <c r="F39" s="79" t="n">
        <v>30</v>
      </c>
      <c r="G39" s="80" t="n">
        <f aca="false">E39</f>
        <v>10</v>
      </c>
      <c r="H39" s="80" t="n">
        <f aca="false">MAX('Divisão dos Circuitos'!E39, 'Capac.Cond.Corre.'!L39, 'Queda de Tensão'!K39)</f>
        <v>2.5</v>
      </c>
      <c r="I39" s="79" t="str">
        <f aca="false">'Capac.Cond.Corre.'!I39</f>
        <v>B1</v>
      </c>
      <c r="J39" s="79" t="str">
        <f aca="false">'Capac.Cond.Corre.'!J39</f>
        <v>PVC</v>
      </c>
      <c r="K39" s="79" t="n">
        <f aca="false">'Capac.Cond.Corre.'!K39</f>
        <v>2</v>
      </c>
      <c r="L39" s="80" t="n">
        <v>24</v>
      </c>
      <c r="M39" s="80" t="n">
        <v>1</v>
      </c>
      <c r="N39" s="80" t="n">
        <f aca="false">'Capac.Cond.Corre.'!G39</f>
        <v>0.7</v>
      </c>
      <c r="O39" s="80" t="n">
        <f aca="false">L39*M39*N39</f>
        <v>16.8</v>
      </c>
      <c r="P39" s="79" t="str">
        <f aca="false">IF(O39&gt;=E39, "SIM", "NÃO")</f>
        <v>SIM</v>
      </c>
      <c r="Q39" s="80" t="n">
        <f aca="false">IF(P39="SIM", H39, IF(H39=1.5, 2.5, IF(H39=2.5, 4, 6)))</f>
        <v>2.5</v>
      </c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5.75" hidden="false" customHeight="true" outlineLevel="0" collapsed="false">
      <c r="A40" s="79" t="s">
        <v>175</v>
      </c>
      <c r="B40" s="79" t="s">
        <v>170</v>
      </c>
      <c r="C40" s="79" t="s">
        <v>176</v>
      </c>
      <c r="D40" s="80" t="n">
        <f aca="false">'Divisão dos Circuitos'!K40</f>
        <v>13.1818181818182</v>
      </c>
      <c r="E40" s="80" t="n">
        <f aca="false">'Divisão dos Circuitos'!M40</f>
        <v>16</v>
      </c>
      <c r="F40" s="79" t="n">
        <v>30</v>
      </c>
      <c r="G40" s="80" t="n">
        <f aca="false">E40</f>
        <v>16</v>
      </c>
      <c r="H40" s="80" t="n">
        <f aca="false">MAX('Divisão dos Circuitos'!E40, 'Capac.Cond.Corre.'!L40, 'Queda de Tensão'!K40)</f>
        <v>4</v>
      </c>
      <c r="I40" s="79" t="str">
        <f aca="false">'Capac.Cond.Corre.'!I40</f>
        <v>B1</v>
      </c>
      <c r="J40" s="79" t="str">
        <f aca="false">'Capac.Cond.Corre.'!J40</f>
        <v>PVC</v>
      </c>
      <c r="K40" s="79" t="n">
        <f aca="false">'Capac.Cond.Corre.'!K40</f>
        <v>2</v>
      </c>
      <c r="L40" s="80" t="n">
        <v>32</v>
      </c>
      <c r="M40" s="80" t="n">
        <v>1</v>
      </c>
      <c r="N40" s="80" t="n">
        <f aca="false">'Capac.Cond.Corre.'!G40</f>
        <v>0.7</v>
      </c>
      <c r="O40" s="80" t="n">
        <f aca="false">L40*M40*N40</f>
        <v>22.4</v>
      </c>
      <c r="P40" s="79" t="str">
        <f aca="false">IF(O40&gt;=E40, "SIM", "NÃO")</f>
        <v>SIM</v>
      </c>
      <c r="Q40" s="80" t="n">
        <f aca="false">IF(P40="SIM", H40, IF(H40=1.5, 2.5, IF(H40=2.5, 4, 6)))</f>
        <v>4</v>
      </c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5.75" hidden="false" customHeight="true" outlineLevel="0" collapsed="false">
      <c r="A41" s="79" t="s">
        <v>177</v>
      </c>
      <c r="B41" s="79" t="s">
        <v>170</v>
      </c>
      <c r="C41" s="79" t="s">
        <v>178</v>
      </c>
      <c r="D41" s="80" t="n">
        <f aca="false">'Divisão dos Circuitos'!K41</f>
        <v>6.36363636363636</v>
      </c>
      <c r="E41" s="80" t="n">
        <f aca="false">'Divisão dos Circuitos'!M41</f>
        <v>10</v>
      </c>
      <c r="F41" s="79" t="n">
        <v>30</v>
      </c>
      <c r="G41" s="80" t="n">
        <f aca="false">E41</f>
        <v>10</v>
      </c>
      <c r="H41" s="80" t="n">
        <f aca="false">MAX('Divisão dos Circuitos'!E41, 'Capac.Cond.Corre.'!L41, 'Queda de Tensão'!K41)</f>
        <v>2.5</v>
      </c>
      <c r="I41" s="79" t="str">
        <f aca="false">'Capac.Cond.Corre.'!I41</f>
        <v>B1</v>
      </c>
      <c r="J41" s="79" t="str">
        <f aca="false">'Capac.Cond.Corre.'!J41</f>
        <v>PVC</v>
      </c>
      <c r="K41" s="79" t="n">
        <f aca="false">'Capac.Cond.Corre.'!K41</f>
        <v>2</v>
      </c>
      <c r="L41" s="80" t="n">
        <v>24</v>
      </c>
      <c r="M41" s="80" t="n">
        <v>1</v>
      </c>
      <c r="N41" s="80" t="n">
        <f aca="false">'Capac.Cond.Corre.'!G41</f>
        <v>0.7</v>
      </c>
      <c r="O41" s="80" t="n">
        <f aca="false">L41*M41*N41</f>
        <v>16.8</v>
      </c>
      <c r="P41" s="79" t="str">
        <f aca="false">IF(O41&gt;=E41, "SIM", "NÃO")</f>
        <v>SIM</v>
      </c>
      <c r="Q41" s="80" t="n">
        <f aca="false">IF(P41="SIM", H41, IF(H41=1.5, 2.5, IF(H41=2.5, 4, 6)))</f>
        <v>2.5</v>
      </c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5.75" hidden="false" customHeight="true" outlineLevel="0" collapsed="false">
      <c r="A42" s="79" t="s">
        <v>179</v>
      </c>
      <c r="B42" s="79" t="s">
        <v>170</v>
      </c>
      <c r="C42" s="79" t="s">
        <v>180</v>
      </c>
      <c r="D42" s="80" t="n">
        <f aca="false">'Divisão dos Circuitos'!K42</f>
        <v>13.9146567717996</v>
      </c>
      <c r="E42" s="80" t="n">
        <f aca="false">'Divisão dos Circuitos'!M42</f>
        <v>16</v>
      </c>
      <c r="F42" s="79" t="n">
        <v>30</v>
      </c>
      <c r="G42" s="80" t="n">
        <f aca="false">E42</f>
        <v>16</v>
      </c>
      <c r="H42" s="80" t="n">
        <f aca="false">MAX('Divisão dos Circuitos'!E42, 'Capac.Cond.Corre.'!L42, 'Queda de Tensão'!K42)</f>
        <v>4</v>
      </c>
      <c r="I42" s="79" t="str">
        <f aca="false">'Capac.Cond.Corre.'!I42</f>
        <v>B1</v>
      </c>
      <c r="J42" s="79" t="str">
        <f aca="false">'Capac.Cond.Corre.'!J42</f>
        <v>PVC</v>
      </c>
      <c r="K42" s="79" t="n">
        <f aca="false">'Capac.Cond.Corre.'!K42</f>
        <v>2</v>
      </c>
      <c r="L42" s="80" t="n">
        <v>32</v>
      </c>
      <c r="M42" s="80" t="n">
        <v>1</v>
      </c>
      <c r="N42" s="80" t="n">
        <f aca="false">'Capac.Cond.Corre.'!G42</f>
        <v>0.7</v>
      </c>
      <c r="O42" s="80" t="n">
        <f aca="false">L42*M42*N42</f>
        <v>22.4</v>
      </c>
      <c r="P42" s="79" t="str">
        <f aca="false">IF(O42&gt;=E42, "SIM", "NÃO")</f>
        <v>SIM</v>
      </c>
      <c r="Q42" s="80" t="n">
        <f aca="false">IF(P42="SIM", H42, IF(H42=1.5, 2.5, IF(H42=2.5, 4, 6)))</f>
        <v>4</v>
      </c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5.75" hidden="false" customHeight="true" outlineLevel="0" collapsed="false">
      <c r="A43" s="79" t="s">
        <v>181</v>
      </c>
      <c r="B43" s="79" t="s">
        <v>170</v>
      </c>
      <c r="C43" s="79" t="s">
        <v>182</v>
      </c>
      <c r="D43" s="80" t="n">
        <f aca="false">'Divisão dos Circuitos'!K43</f>
        <v>9.38735177865613</v>
      </c>
      <c r="E43" s="80" t="n">
        <f aca="false">'Divisão dos Circuitos'!M43</f>
        <v>10</v>
      </c>
      <c r="F43" s="79" t="n">
        <v>30</v>
      </c>
      <c r="G43" s="80" t="n">
        <f aca="false">E43</f>
        <v>10</v>
      </c>
      <c r="H43" s="80" t="n">
        <f aca="false">MAX('Divisão dos Circuitos'!E43, 'Capac.Cond.Corre.'!L43, 'Queda de Tensão'!K43)</f>
        <v>2.5</v>
      </c>
      <c r="I43" s="79" t="str">
        <f aca="false">'Capac.Cond.Corre.'!I43</f>
        <v>B1</v>
      </c>
      <c r="J43" s="79" t="str">
        <f aca="false">'Capac.Cond.Corre.'!J43</f>
        <v>PVC</v>
      </c>
      <c r="K43" s="79" t="n">
        <f aca="false">'Capac.Cond.Corre.'!K43</f>
        <v>2</v>
      </c>
      <c r="L43" s="80" t="n">
        <v>24</v>
      </c>
      <c r="M43" s="80" t="n">
        <v>1</v>
      </c>
      <c r="N43" s="80" t="n">
        <f aca="false">'Capac.Cond.Corre.'!G43</f>
        <v>0.7</v>
      </c>
      <c r="O43" s="80" t="n">
        <f aca="false">L43*M43*N43</f>
        <v>16.8</v>
      </c>
      <c r="P43" s="79" t="str">
        <f aca="false">IF(O43&gt;=E43, "SIM", "NÃO")</f>
        <v>SIM</v>
      </c>
      <c r="Q43" s="80" t="n">
        <f aca="false">IF(P43="SIM", H43, IF(H43=1.5, 2.5, IF(H43=2.5, 4, 6)))</f>
        <v>2.5</v>
      </c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5.75" hidden="false" customHeight="true" outlineLevel="0" collapsed="false">
      <c r="A44" s="79" t="s">
        <v>183</v>
      </c>
      <c r="B44" s="79" t="s">
        <v>170</v>
      </c>
      <c r="C44" s="79" t="s">
        <v>184</v>
      </c>
      <c r="D44" s="80" t="n">
        <f aca="false">'Divisão dos Circuitos'!K44</f>
        <v>12.3517786561265</v>
      </c>
      <c r="E44" s="80" t="n">
        <f aca="false">'Divisão dos Circuitos'!M44</f>
        <v>16</v>
      </c>
      <c r="F44" s="79" t="n">
        <v>30</v>
      </c>
      <c r="G44" s="80" t="n">
        <f aca="false">E44</f>
        <v>16</v>
      </c>
      <c r="H44" s="80" t="n">
        <f aca="false">MAX('Divisão dos Circuitos'!E44, 'Capac.Cond.Corre.'!L44, 'Queda de Tensão'!K44)</f>
        <v>2.5</v>
      </c>
      <c r="I44" s="79" t="str">
        <f aca="false">'Capac.Cond.Corre.'!I44</f>
        <v>B1</v>
      </c>
      <c r="J44" s="79" t="str">
        <f aca="false">'Capac.Cond.Corre.'!J44</f>
        <v>PVC</v>
      </c>
      <c r="K44" s="79" t="n">
        <f aca="false">'Capac.Cond.Corre.'!K44</f>
        <v>2</v>
      </c>
      <c r="L44" s="80" t="n">
        <v>24</v>
      </c>
      <c r="M44" s="80" t="n">
        <v>1</v>
      </c>
      <c r="N44" s="80" t="n">
        <f aca="false">'Capac.Cond.Corre.'!G44</f>
        <v>0.7</v>
      </c>
      <c r="O44" s="80" t="n">
        <f aca="false">L44*M44*N44</f>
        <v>16.8</v>
      </c>
      <c r="P44" s="79" t="str">
        <f aca="false">IF(O44&gt;=E44, "SIM", "NÃO")</f>
        <v>SIM</v>
      </c>
      <c r="Q44" s="80" t="n">
        <f aca="false">IF(P44="SIM", H44, IF(H44=1.5, 2.5, IF(H44=2.5, 4, 6)))</f>
        <v>2.5</v>
      </c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5.75" hidden="false" customHeight="true" outlineLevel="0" collapsed="false">
      <c r="A45" s="79" t="s">
        <v>185</v>
      </c>
      <c r="B45" s="79" t="s">
        <v>170</v>
      </c>
      <c r="C45" s="79" t="s">
        <v>186</v>
      </c>
      <c r="D45" s="80" t="n">
        <f aca="false">'Divisão dos Circuitos'!K45</f>
        <v>6.91699604743083</v>
      </c>
      <c r="E45" s="80" t="n">
        <f aca="false">'Divisão dos Circuitos'!M45</f>
        <v>10</v>
      </c>
      <c r="F45" s="79" t="n">
        <v>30</v>
      </c>
      <c r="G45" s="80" t="n">
        <f aca="false">E45</f>
        <v>10</v>
      </c>
      <c r="H45" s="80" t="n">
        <f aca="false">MAX('Divisão dos Circuitos'!E45, 'Capac.Cond.Corre.'!L45, 'Queda de Tensão'!K45)</f>
        <v>2.5</v>
      </c>
      <c r="I45" s="79" t="str">
        <f aca="false">'Capac.Cond.Corre.'!I45</f>
        <v>B1</v>
      </c>
      <c r="J45" s="79" t="str">
        <f aca="false">'Capac.Cond.Corre.'!J45</f>
        <v>PVC</v>
      </c>
      <c r="K45" s="79" t="n">
        <f aca="false">'Capac.Cond.Corre.'!K45</f>
        <v>2</v>
      </c>
      <c r="L45" s="80" t="n">
        <v>24</v>
      </c>
      <c r="M45" s="80" t="n">
        <v>1</v>
      </c>
      <c r="N45" s="80" t="n">
        <f aca="false">'Capac.Cond.Corre.'!G45</f>
        <v>0.7</v>
      </c>
      <c r="O45" s="80" t="n">
        <f aca="false">L45*M45*N45</f>
        <v>16.8</v>
      </c>
      <c r="P45" s="79" t="str">
        <f aca="false">IF(O45&gt;=E45, "SIM", "NÃO")</f>
        <v>SIM</v>
      </c>
      <c r="Q45" s="80" t="n">
        <f aca="false">IF(P45="SIM", H45, IF(H45=1.5, 2.5, IF(H45=2.5, 4, 6)))</f>
        <v>2.5</v>
      </c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5.75" hidden="false" customHeight="true" outlineLevel="0" collapsed="false">
      <c r="A46" s="79" t="s">
        <v>187</v>
      </c>
      <c r="B46" s="79" t="s">
        <v>170</v>
      </c>
      <c r="C46" s="79" t="s">
        <v>188</v>
      </c>
      <c r="D46" s="80" t="n">
        <f aca="false">'Divisão dos Circuitos'!K46</f>
        <v>7.72727272727273</v>
      </c>
      <c r="E46" s="80" t="n">
        <f aca="false">'Divisão dos Circuitos'!M46</f>
        <v>10</v>
      </c>
      <c r="F46" s="79" t="n">
        <v>30</v>
      </c>
      <c r="G46" s="80" t="n">
        <f aca="false">E46</f>
        <v>10</v>
      </c>
      <c r="H46" s="80" t="n">
        <f aca="false">MAX('Divisão dos Circuitos'!E46, 'Capac.Cond.Corre.'!L46, 'Queda de Tensão'!K46)</f>
        <v>2.5</v>
      </c>
      <c r="I46" s="79" t="str">
        <f aca="false">'Capac.Cond.Corre.'!I46</f>
        <v>B1</v>
      </c>
      <c r="J46" s="79" t="str">
        <f aca="false">'Capac.Cond.Corre.'!J46</f>
        <v>PVC</v>
      </c>
      <c r="K46" s="79" t="n">
        <f aca="false">'Capac.Cond.Corre.'!K46</f>
        <v>2</v>
      </c>
      <c r="L46" s="80" t="n">
        <v>24</v>
      </c>
      <c r="M46" s="80" t="n">
        <v>1</v>
      </c>
      <c r="N46" s="80" t="n">
        <f aca="false">'Capac.Cond.Corre.'!G46</f>
        <v>0.7</v>
      </c>
      <c r="O46" s="80" t="n">
        <f aca="false">L46*M46*N46</f>
        <v>16.8</v>
      </c>
      <c r="P46" s="79" t="str">
        <f aca="false">IF(O46&gt;=E46, "SIM", "NÃO")</f>
        <v>SIM</v>
      </c>
      <c r="Q46" s="80" t="n">
        <f aca="false">IF(P46="SIM", H46, IF(H46=1.5, 2.5, IF(H46=2.5, 4, 6)))</f>
        <v>2.5</v>
      </c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5.75" hidden="false" customHeight="true" outlineLevel="0" collapsed="false">
      <c r="A47" s="79" t="s">
        <v>189</v>
      </c>
      <c r="B47" s="79" t="s">
        <v>170</v>
      </c>
      <c r="C47" s="79" t="s">
        <v>190</v>
      </c>
      <c r="D47" s="80" t="n">
        <f aca="false">'Divisão dos Circuitos'!K47</f>
        <v>6.63636363636364</v>
      </c>
      <c r="E47" s="80" t="n">
        <f aca="false">'Divisão dos Circuitos'!M47</f>
        <v>10</v>
      </c>
      <c r="F47" s="79" t="n">
        <v>30</v>
      </c>
      <c r="G47" s="80" t="n">
        <f aca="false">E47</f>
        <v>10</v>
      </c>
      <c r="H47" s="80" t="n">
        <f aca="false">MAX('Divisão dos Circuitos'!E47, 'Capac.Cond.Corre.'!L47, 'Queda de Tensão'!K47)</f>
        <v>1.5</v>
      </c>
      <c r="I47" s="79" t="str">
        <f aca="false">'Capac.Cond.Corre.'!I47</f>
        <v>B1</v>
      </c>
      <c r="J47" s="79" t="str">
        <f aca="false">'Capac.Cond.Corre.'!J47</f>
        <v>PVC</v>
      </c>
      <c r="K47" s="79" t="n">
        <f aca="false">'Capac.Cond.Corre.'!K47</f>
        <v>2</v>
      </c>
      <c r="L47" s="80" t="n">
        <v>17.5</v>
      </c>
      <c r="M47" s="80" t="n">
        <v>1</v>
      </c>
      <c r="N47" s="80" t="n">
        <f aca="false">'Capac.Cond.Corre.'!G47</f>
        <v>0.7</v>
      </c>
      <c r="O47" s="80" t="n">
        <f aca="false">L47*M47*N47</f>
        <v>12.25</v>
      </c>
      <c r="P47" s="79" t="str">
        <f aca="false">IF(O47&gt;=E47, "SIM", "NÃO")</f>
        <v>SIM</v>
      </c>
      <c r="Q47" s="80" t="n">
        <f aca="false">IF(P47="SIM", H47, IF(H47=1.5, 2.5, IF(H47=2.5, 4, 6)))</f>
        <v>1.5</v>
      </c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5.75" hidden="false" customHeight="true" outlineLevel="0" collapsed="false">
      <c r="A48" s="78" t="s">
        <v>191</v>
      </c>
      <c r="B48" s="78"/>
      <c r="C48" s="78"/>
      <c r="D48" s="77"/>
      <c r="E48" s="77"/>
      <c r="F48" s="78"/>
      <c r="G48" s="78"/>
      <c r="H48" s="77"/>
      <c r="I48" s="78"/>
      <c r="J48" s="78"/>
      <c r="K48" s="78"/>
      <c r="L48" s="77"/>
      <c r="M48" s="77"/>
      <c r="N48" s="77"/>
      <c r="O48" s="77"/>
      <c r="P48" s="78"/>
      <c r="Q48" s="77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5.75" hidden="false" customHeight="true" outlineLevel="0" collapsed="false">
      <c r="A49" s="79" t="s">
        <v>192</v>
      </c>
      <c r="B49" s="79" t="s">
        <v>193</v>
      </c>
      <c r="C49" s="79" t="s">
        <v>194</v>
      </c>
      <c r="D49" s="80" t="n">
        <f aca="false">'Divisão dos Circuitos'!K49</f>
        <v>10.9090909090909</v>
      </c>
      <c r="E49" s="80" t="n">
        <f aca="false">'Divisão dos Circuitos'!M49</f>
        <v>16</v>
      </c>
      <c r="F49" s="79" t="n">
        <v>30</v>
      </c>
      <c r="G49" s="80" t="n">
        <f aca="false">E49</f>
        <v>16</v>
      </c>
      <c r="H49" s="80" t="n">
        <f aca="false">MAX('Divisão dos Circuitos'!E49, 'Capac.Cond.Corre.'!L49, 'Queda de Tensão'!K49)</f>
        <v>2.5</v>
      </c>
      <c r="I49" s="79" t="str">
        <f aca="false">'Capac.Cond.Corre.'!I49</f>
        <v>B1</v>
      </c>
      <c r="J49" s="79" t="str">
        <f aca="false">'Capac.Cond.Corre.'!J49</f>
        <v>PVC</v>
      </c>
      <c r="K49" s="79" t="n">
        <f aca="false">'Capac.Cond.Corre.'!K49</f>
        <v>2</v>
      </c>
      <c r="L49" s="80" t="n">
        <v>24</v>
      </c>
      <c r="M49" s="80" t="n">
        <v>1</v>
      </c>
      <c r="N49" s="80" t="n">
        <f aca="false">'Capac.Cond.Corre.'!G49</f>
        <v>0.7</v>
      </c>
      <c r="O49" s="80" t="n">
        <f aca="false">L49*M49*N49</f>
        <v>16.8</v>
      </c>
      <c r="P49" s="79" t="str">
        <f aca="false">IF(O49&gt;=E49, "SIM", "NÃO")</f>
        <v>SIM</v>
      </c>
      <c r="Q49" s="80" t="n">
        <f aca="false">IF(P49="SIM", H49, IF(H49=1.5, 2.5, IF(H49=2.5, 4, 6)))</f>
        <v>2.5</v>
      </c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5.75" hidden="false" customHeight="true" outlineLevel="0" collapsed="false">
      <c r="A50" s="79" t="s">
        <v>195</v>
      </c>
      <c r="B50" s="79" t="s">
        <v>193</v>
      </c>
      <c r="C50" s="79" t="s">
        <v>196</v>
      </c>
      <c r="D50" s="80" t="n">
        <f aca="false">'Divisão dos Circuitos'!K50</f>
        <v>11.8181818181818</v>
      </c>
      <c r="E50" s="80" t="n">
        <f aca="false">'Divisão dos Circuitos'!M50</f>
        <v>16</v>
      </c>
      <c r="F50" s="79" t="n">
        <v>30</v>
      </c>
      <c r="G50" s="80" t="n">
        <f aca="false">E50</f>
        <v>16</v>
      </c>
      <c r="H50" s="80" t="n">
        <f aca="false">MAX('Divisão dos Circuitos'!E50, 'Capac.Cond.Corre.'!L50, 'Queda de Tensão'!K50)</f>
        <v>2.5</v>
      </c>
      <c r="I50" s="79" t="str">
        <f aca="false">'Capac.Cond.Corre.'!I50</f>
        <v>B1</v>
      </c>
      <c r="J50" s="79" t="str">
        <f aca="false">'Capac.Cond.Corre.'!J50</f>
        <v>PVC</v>
      </c>
      <c r="K50" s="79" t="n">
        <f aca="false">'Capac.Cond.Corre.'!K50</f>
        <v>2</v>
      </c>
      <c r="L50" s="80" t="n">
        <v>24</v>
      </c>
      <c r="M50" s="80" t="n">
        <v>1</v>
      </c>
      <c r="N50" s="80" t="n">
        <f aca="false">'Capac.Cond.Corre.'!G50</f>
        <v>0.7</v>
      </c>
      <c r="O50" s="80" t="n">
        <f aca="false">L50*M50*N50</f>
        <v>16.8</v>
      </c>
      <c r="P50" s="79" t="str">
        <f aca="false">IF(O50&gt;=E50, "SIM", "NÃO")</f>
        <v>SIM</v>
      </c>
      <c r="Q50" s="80" t="n">
        <f aca="false">IF(P50="SIM", H50, IF(H50=1.5, 2.5, IF(H50=2.5, 4, 6)))</f>
        <v>2.5</v>
      </c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5.75" hidden="false" customHeight="true" outlineLevel="0" collapsed="false">
      <c r="A51" s="79" t="s">
        <v>197</v>
      </c>
      <c r="B51" s="79" t="s">
        <v>193</v>
      </c>
      <c r="C51" s="79" t="s">
        <v>70</v>
      </c>
      <c r="D51" s="80" t="n">
        <f aca="false">'Divisão dos Circuitos'!K51</f>
        <v>27.2727272727273</v>
      </c>
      <c r="E51" s="80" t="n">
        <f aca="false">'Divisão dos Circuitos'!M51</f>
        <v>32</v>
      </c>
      <c r="F51" s="79" t="n">
        <v>30</v>
      </c>
      <c r="G51" s="80" t="n">
        <f aca="false">E51</f>
        <v>32</v>
      </c>
      <c r="H51" s="80" t="n">
        <f aca="false">MAX('Divisão dos Circuitos'!E51, 'Capac.Cond.Corre.'!L51, 'Queda de Tensão'!K51)</f>
        <v>10</v>
      </c>
      <c r="I51" s="79" t="str">
        <f aca="false">'Capac.Cond.Corre.'!I51</f>
        <v>B1</v>
      </c>
      <c r="J51" s="79" t="str">
        <f aca="false">'Capac.Cond.Corre.'!J51</f>
        <v>PVC</v>
      </c>
      <c r="K51" s="79" t="n">
        <f aca="false">'Capac.Cond.Corre.'!K51</f>
        <v>2</v>
      </c>
      <c r="L51" s="80" t="n">
        <v>57</v>
      </c>
      <c r="M51" s="80" t="n">
        <v>1</v>
      </c>
      <c r="N51" s="80" t="n">
        <f aca="false">'Capac.Cond.Corre.'!G51</f>
        <v>0.7</v>
      </c>
      <c r="O51" s="80" t="n">
        <f aca="false">L51*M51*N51</f>
        <v>39.9</v>
      </c>
      <c r="P51" s="79" t="str">
        <f aca="false">IF(O51&gt;=E51, "SIM", "NÃO")</f>
        <v>SIM</v>
      </c>
      <c r="Q51" s="80" t="n">
        <f aca="false">IF(P51="SIM", H51, IF(H51=1.5, 2.5, IF(H51=2.5, 4, 6)))</f>
        <v>10</v>
      </c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5.75" hidden="false" customHeight="true" outlineLevel="0" collapsed="false">
      <c r="A52" s="79" t="s">
        <v>198</v>
      </c>
      <c r="B52" s="79" t="s">
        <v>193</v>
      </c>
      <c r="C52" s="79" t="s">
        <v>74</v>
      </c>
      <c r="D52" s="80" t="n">
        <f aca="false">'Divisão dos Circuitos'!K52</f>
        <v>9.11605688194146</v>
      </c>
      <c r="E52" s="80" t="n">
        <f aca="false">'Divisão dos Circuitos'!M52</f>
        <v>10</v>
      </c>
      <c r="F52" s="79" t="n">
        <v>30</v>
      </c>
      <c r="G52" s="80" t="n">
        <f aca="false">E52</f>
        <v>10</v>
      </c>
      <c r="H52" s="80" t="n">
        <f aca="false">MAX('Divisão dos Circuitos'!E52, 'Capac.Cond.Corre.'!L52, 'Queda de Tensão'!K52)</f>
        <v>2.5</v>
      </c>
      <c r="I52" s="79" t="str">
        <f aca="false">'Capac.Cond.Corre.'!I52</f>
        <v>B1</v>
      </c>
      <c r="J52" s="79" t="str">
        <f aca="false">'Capac.Cond.Corre.'!J52</f>
        <v>PVC</v>
      </c>
      <c r="K52" s="79" t="n">
        <f aca="false">'Capac.Cond.Corre.'!K52</f>
        <v>3</v>
      </c>
      <c r="L52" s="80" t="n">
        <v>21</v>
      </c>
      <c r="M52" s="80" t="n">
        <v>1</v>
      </c>
      <c r="N52" s="80" t="n">
        <f aca="false">'Capac.Cond.Corre.'!G52</f>
        <v>0.7</v>
      </c>
      <c r="O52" s="80" t="n">
        <f aca="false">L52*M52*N52</f>
        <v>14.7</v>
      </c>
      <c r="P52" s="79" t="str">
        <f aca="false">IF(O52&gt;=E52, "SIM", "NÃO")</f>
        <v>SIM</v>
      </c>
      <c r="Q52" s="80" t="n">
        <f aca="false">IF(P52="SIM", H52, IF(H52=1.5, 2.5, IF(H52=2.5, 4, 6)))</f>
        <v>2.5</v>
      </c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5.75" hidden="false" customHeight="true" outlineLevel="0" collapsed="false">
      <c r="A53" s="79" t="s">
        <v>199</v>
      </c>
      <c r="B53" s="79" t="s">
        <v>193</v>
      </c>
      <c r="C53" s="79" t="s">
        <v>200</v>
      </c>
      <c r="D53" s="80" t="n">
        <f aca="false">'Divisão dos Circuitos'!K53</f>
        <v>9.38735177865613</v>
      </c>
      <c r="E53" s="80" t="n">
        <f aca="false">'Divisão dos Circuitos'!M53</f>
        <v>10</v>
      </c>
      <c r="F53" s="79" t="n">
        <v>30</v>
      </c>
      <c r="G53" s="80" t="n">
        <f aca="false">E53</f>
        <v>10</v>
      </c>
      <c r="H53" s="80" t="n">
        <f aca="false">MAX('Divisão dos Circuitos'!E53, 'Capac.Cond.Corre.'!L53, 'Queda de Tensão'!K53)</f>
        <v>2.5</v>
      </c>
      <c r="I53" s="79" t="str">
        <f aca="false">'Capac.Cond.Corre.'!I53</f>
        <v>B1</v>
      </c>
      <c r="J53" s="79" t="str">
        <f aca="false">'Capac.Cond.Corre.'!J53</f>
        <v>PVC</v>
      </c>
      <c r="K53" s="79" t="n">
        <f aca="false">'Capac.Cond.Corre.'!K53</f>
        <v>2</v>
      </c>
      <c r="L53" s="80" t="n">
        <v>24</v>
      </c>
      <c r="M53" s="80" t="n">
        <v>1</v>
      </c>
      <c r="N53" s="80" t="n">
        <f aca="false">'Capac.Cond.Corre.'!G53</f>
        <v>0.7</v>
      </c>
      <c r="O53" s="80" t="n">
        <f aca="false">L53*M53*N53</f>
        <v>16.8</v>
      </c>
      <c r="P53" s="79" t="str">
        <f aca="false">IF(O53&gt;=E53, "SIM", "NÃO")</f>
        <v>SIM</v>
      </c>
      <c r="Q53" s="80" t="n">
        <f aca="false">IF(P53="SIM", H53, IF(H53=1.5, 2.5, IF(H53=2.5, 4, 6)))</f>
        <v>2.5</v>
      </c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5.75" hidden="false" customHeight="true" outlineLevel="0" collapsed="false">
      <c r="A54" s="79" t="s">
        <v>201</v>
      </c>
      <c r="B54" s="79" t="s">
        <v>193</v>
      </c>
      <c r="C54" s="79" t="s">
        <v>202</v>
      </c>
      <c r="D54" s="80" t="n">
        <f aca="false">'Divisão dos Circuitos'!K54</f>
        <v>6.91699604743083</v>
      </c>
      <c r="E54" s="80" t="n">
        <f aca="false">'Divisão dos Circuitos'!M54</f>
        <v>10</v>
      </c>
      <c r="F54" s="79" t="n">
        <v>30</v>
      </c>
      <c r="G54" s="80" t="n">
        <f aca="false">E54</f>
        <v>10</v>
      </c>
      <c r="H54" s="80" t="n">
        <f aca="false">MAX('Divisão dos Circuitos'!E54, 'Capac.Cond.Corre.'!L54, 'Queda de Tensão'!K54)</f>
        <v>2.5</v>
      </c>
      <c r="I54" s="79" t="str">
        <f aca="false">'Capac.Cond.Corre.'!I54</f>
        <v>B1</v>
      </c>
      <c r="J54" s="79" t="str">
        <f aca="false">'Capac.Cond.Corre.'!J54</f>
        <v>PVC</v>
      </c>
      <c r="K54" s="79" t="n">
        <f aca="false">'Capac.Cond.Corre.'!K54</f>
        <v>2</v>
      </c>
      <c r="L54" s="80" t="n">
        <v>24</v>
      </c>
      <c r="M54" s="80" t="n">
        <v>1</v>
      </c>
      <c r="N54" s="80" t="n">
        <f aca="false">'Capac.Cond.Corre.'!G54</f>
        <v>0.8</v>
      </c>
      <c r="O54" s="80" t="n">
        <f aca="false">L54*M54*N54</f>
        <v>19.2</v>
      </c>
      <c r="P54" s="79" t="str">
        <f aca="false">IF(O54&gt;=E54, "SIM", "NÃO")</f>
        <v>SIM</v>
      </c>
      <c r="Q54" s="80" t="n">
        <f aca="false">IF(P54="SIM", H54, IF(H54=1.5, 2.5, IF(H54=2.5, 4, 6)))</f>
        <v>2.5</v>
      </c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5.75" hidden="false" customHeight="true" outlineLevel="0" collapsed="false">
      <c r="A55" s="79" t="s">
        <v>203</v>
      </c>
      <c r="B55" s="79" t="s">
        <v>193</v>
      </c>
      <c r="C55" s="79" t="s">
        <v>204</v>
      </c>
      <c r="D55" s="80" t="n">
        <f aca="false">'Divisão dos Circuitos'!K55</f>
        <v>6.91699604743083</v>
      </c>
      <c r="E55" s="80" t="n">
        <f aca="false">'Divisão dos Circuitos'!M55</f>
        <v>10</v>
      </c>
      <c r="F55" s="79" t="n">
        <v>30</v>
      </c>
      <c r="G55" s="80" t="n">
        <f aca="false">E55</f>
        <v>10</v>
      </c>
      <c r="H55" s="80" t="n">
        <f aca="false">MAX('Divisão dos Circuitos'!E55, 'Capac.Cond.Corre.'!L55, 'Queda de Tensão'!K55)</f>
        <v>2.5</v>
      </c>
      <c r="I55" s="79" t="str">
        <f aca="false">'Capac.Cond.Corre.'!I55</f>
        <v>B1</v>
      </c>
      <c r="J55" s="79" t="str">
        <f aca="false">'Capac.Cond.Corre.'!J55</f>
        <v>PVC</v>
      </c>
      <c r="K55" s="79" t="n">
        <f aca="false">'Capac.Cond.Corre.'!K55</f>
        <v>2</v>
      </c>
      <c r="L55" s="80" t="n">
        <v>24</v>
      </c>
      <c r="M55" s="80" t="n">
        <v>1</v>
      </c>
      <c r="N55" s="80" t="n">
        <f aca="false">'Capac.Cond.Corre.'!G55</f>
        <v>0.7</v>
      </c>
      <c r="O55" s="80" t="n">
        <f aca="false">L55*M55*N55</f>
        <v>16.8</v>
      </c>
      <c r="P55" s="79" t="str">
        <f aca="false">IF(O55&gt;=E55, "SIM", "NÃO")</f>
        <v>SIM</v>
      </c>
      <c r="Q55" s="80" t="n">
        <f aca="false">IF(P55="SIM", H55, IF(H55=1.5, 2.5, IF(H55=2.5, 4, 6)))</f>
        <v>2.5</v>
      </c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5.75" hidden="false" customHeight="true" outlineLevel="0" collapsed="false">
      <c r="A56" s="79" t="s">
        <v>205</v>
      </c>
      <c r="B56" s="79" t="s">
        <v>193</v>
      </c>
      <c r="C56" s="79" t="s">
        <v>206</v>
      </c>
      <c r="D56" s="80" t="n">
        <f aca="false">'Divisão dos Circuitos'!K56</f>
        <v>15</v>
      </c>
      <c r="E56" s="80" t="n">
        <f aca="false">'Divisão dos Circuitos'!M56</f>
        <v>16</v>
      </c>
      <c r="F56" s="79" t="n">
        <v>30</v>
      </c>
      <c r="G56" s="80" t="n">
        <f aca="false">E56</f>
        <v>16</v>
      </c>
      <c r="H56" s="80" t="n">
        <f aca="false">MAX('Divisão dos Circuitos'!E56, 'Capac.Cond.Corre.'!L56, 'Queda de Tensão'!K56)</f>
        <v>2.5</v>
      </c>
      <c r="I56" s="79" t="str">
        <f aca="false">'Capac.Cond.Corre.'!I56</f>
        <v>B1</v>
      </c>
      <c r="J56" s="79" t="str">
        <f aca="false">'Capac.Cond.Corre.'!J56</f>
        <v>PVC</v>
      </c>
      <c r="K56" s="79" t="n">
        <f aca="false">'Capac.Cond.Corre.'!K56</f>
        <v>2</v>
      </c>
      <c r="L56" s="80" t="n">
        <v>24</v>
      </c>
      <c r="M56" s="80" t="n">
        <v>1</v>
      </c>
      <c r="N56" s="80" t="n">
        <f aca="false">'Capac.Cond.Corre.'!G56</f>
        <v>0.7</v>
      </c>
      <c r="O56" s="80" t="n">
        <f aca="false">L56*M56*N56</f>
        <v>16.8</v>
      </c>
      <c r="P56" s="79" t="str">
        <f aca="false">IF(O56&gt;=E56, "SIM", "NÃO")</f>
        <v>SIM</v>
      </c>
      <c r="Q56" s="80" t="n">
        <f aca="false">IF(P56="SIM", H56, IF(H56=1.5, 2.5, IF(H56=2.5, 4, 6)))</f>
        <v>2.5</v>
      </c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5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5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5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5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5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5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5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5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5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5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5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5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5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5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5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5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5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5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5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5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5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5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5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5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5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5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5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5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5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5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5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5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5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5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5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5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5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5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5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5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5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5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5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5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5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5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5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5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5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5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5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5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5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5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5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5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5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5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5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5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5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5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5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5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5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5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5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5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5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5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5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5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5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5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5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5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5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5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5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5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5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5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5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5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5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5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5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5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5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5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5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5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5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5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5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5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5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5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customFormat="false" ht="15.75" hidden="false" customHeight="true" outlineLevel="0" collapsed="false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customFormat="false" ht="15.75" hidden="false" customHeight="true" outlineLevel="0" collapsed="false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customFormat="false" ht="15.75" hidden="false" customHeight="true" outlineLevel="0" collapsed="false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customFormat="false" ht="15.75" hidden="false" customHeight="true" outlineLevel="0" collapsed="false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customFormat="false" ht="15.75" hidden="false" customHeight="true" outlineLevel="0" collapsed="false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customFormat="false" ht="15.75" hidden="false" customHeight="true" outlineLevel="0" collapsed="false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customFormat="false" ht="15.75" hidden="false" customHeight="true" outlineLevel="0" collapsed="false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customFormat="false" ht="15.75" hidden="false" customHeight="true" outlineLevel="0" collapsed="false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A1:Q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BD97"/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9.43"/>
    <col collapsed="false" customWidth="true" hidden="false" outlineLevel="0" max="3" min="3" style="0" width="40.85"/>
    <col collapsed="false" customWidth="true" hidden="false" outlineLevel="0" max="4" min="4" style="0" width="13.71"/>
    <col collapsed="false" customWidth="true" hidden="false" outlineLevel="0" max="5" min="5" style="0" width="15.14"/>
    <col collapsed="false" customWidth="true" hidden="false" outlineLevel="0" max="6" min="6" style="0" width="13.71"/>
    <col collapsed="false" customWidth="true" hidden="false" outlineLevel="0" max="7" min="7" style="0" width="9.43"/>
    <col collapsed="false" customWidth="true" hidden="false" outlineLevel="0" max="8" min="8" style="0" width="13"/>
    <col collapsed="false" customWidth="true" hidden="false" outlineLevel="0" max="9" min="9" style="0" width="12.29"/>
    <col collapsed="false" customWidth="true" hidden="false" outlineLevel="0" max="11" min="10" style="0" width="9.43"/>
    <col collapsed="false" customWidth="true" hidden="false" outlineLevel="0" max="12" min="12" style="0" width="8.71"/>
    <col collapsed="false" customWidth="true" hidden="false" outlineLevel="0" max="13" min="13" style="0" width="11.57"/>
    <col collapsed="false" customWidth="true" hidden="false" outlineLevel="0" max="14" min="14" style="0" width="8.71"/>
    <col collapsed="false" customWidth="true" hidden="false" outlineLevel="0" max="15" min="15" style="0" width="10.85"/>
    <col collapsed="false" customWidth="true" hidden="false" outlineLevel="0" max="16" min="16" style="0" width="8.71"/>
    <col collapsed="false" customWidth="true" hidden="false" outlineLevel="0" max="18" min="17" style="0" width="10.85"/>
    <col collapsed="false" customWidth="true" hidden="false" outlineLevel="0" max="21" min="19" style="0" width="11.57"/>
  </cols>
  <sheetData>
    <row r="1" customFormat="false" ht="15" hidden="false" customHeight="true" outlineLevel="0" collapsed="false">
      <c r="A1" s="96" t="s">
        <v>265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customFormat="false" ht="15" hidden="false" customHeight="true" outlineLevel="0" collapsed="false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</row>
    <row r="3" customFormat="false" ht="15" hidden="false" customHeight="true" outlineLevel="0" collapsed="false">
      <c r="A3" s="73" t="s">
        <v>99</v>
      </c>
      <c r="B3" s="74" t="s">
        <v>101</v>
      </c>
      <c r="C3" s="74" t="s">
        <v>102</v>
      </c>
      <c r="D3" s="97" t="s">
        <v>266</v>
      </c>
      <c r="E3" s="97"/>
      <c r="F3" s="97"/>
      <c r="G3" s="97"/>
      <c r="H3" s="97"/>
      <c r="I3" s="97"/>
      <c r="J3" s="98" t="s">
        <v>267</v>
      </c>
      <c r="K3" s="98"/>
      <c r="L3" s="99" t="s">
        <v>268</v>
      </c>
      <c r="M3" s="99"/>
      <c r="N3" s="100" t="s">
        <v>269</v>
      </c>
      <c r="O3" s="100"/>
      <c r="P3" s="101" t="s">
        <v>270</v>
      </c>
      <c r="Q3" s="101"/>
      <c r="R3" s="102" t="s">
        <v>271</v>
      </c>
      <c r="S3" s="103" t="s">
        <v>272</v>
      </c>
      <c r="T3" s="103" t="s">
        <v>273</v>
      </c>
      <c r="U3" s="103" t="s">
        <v>274</v>
      </c>
    </row>
    <row r="4" customFormat="false" ht="41.25" hidden="false" customHeight="true" outlineLevel="0" collapsed="false">
      <c r="A4" s="73"/>
      <c r="B4" s="73"/>
      <c r="C4" s="73"/>
      <c r="D4" s="104" t="s">
        <v>275</v>
      </c>
      <c r="E4" s="104" t="s">
        <v>276</v>
      </c>
      <c r="F4" s="104" t="s">
        <v>277</v>
      </c>
      <c r="G4" s="104" t="s">
        <v>278</v>
      </c>
      <c r="H4" s="104" t="s">
        <v>104</v>
      </c>
      <c r="I4" s="97" t="s">
        <v>279</v>
      </c>
      <c r="J4" s="98" t="s">
        <v>209</v>
      </c>
      <c r="K4" s="98" t="s">
        <v>211</v>
      </c>
      <c r="L4" s="99" t="s">
        <v>224</v>
      </c>
      <c r="M4" s="99" t="s">
        <v>264</v>
      </c>
      <c r="N4" s="105" t="s">
        <v>113</v>
      </c>
      <c r="O4" s="105" t="s">
        <v>114</v>
      </c>
      <c r="P4" s="106" t="s">
        <v>113</v>
      </c>
      <c r="Q4" s="106" t="s">
        <v>115</v>
      </c>
      <c r="R4" s="102"/>
      <c r="S4" s="102"/>
      <c r="T4" s="102"/>
      <c r="U4" s="102"/>
    </row>
    <row r="5" customFormat="false" ht="15" hidden="false" customHeight="true" outlineLevel="0" collapsed="false">
      <c r="A5" s="107" t="s">
        <v>116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</row>
    <row r="6" customFormat="false" ht="15" hidden="false" customHeight="true" outlineLevel="0" collapsed="false">
      <c r="A6" s="79" t="str">
        <f aca="false">'Divisão dos Circuitos'!A5</f>
        <v>01 - Iluminação</v>
      </c>
      <c r="B6" s="79" t="str">
        <f aca="false">'Divisão dos Circuitos'!C5</f>
        <v>QD1</v>
      </c>
      <c r="C6" s="79" t="str">
        <f aca="false">'Divisão dos Circuitos'!D5</f>
        <v>Tornear e Chanfrar, Polimento</v>
      </c>
      <c r="D6" s="108" t="n">
        <f aca="false">'Divisão dos Circuitos'!H5</f>
        <v>2361</v>
      </c>
      <c r="E6" s="108" t="n">
        <f aca="false">'Divisão dos Circuitos'!I5</f>
        <v>2384.84848484849</v>
      </c>
      <c r="F6" s="108" t="n">
        <f aca="false">'Divisão dos Circuitos'!J5</f>
        <v>336.424279272638</v>
      </c>
      <c r="G6" s="80" t="n">
        <f aca="false">'Divisão dos Circuitos'!G5</f>
        <v>0.99</v>
      </c>
      <c r="H6" s="84" t="str">
        <f aca="false">IF('Divisão dos Circuitos'!F5=1,"Monofásico",IF('Divisão dos Circuitos'!F5=2,"Bifásico","Trifásico"))</f>
        <v>Monofásico</v>
      </c>
      <c r="I6" s="80" t="n">
        <f aca="false">'Divisão dos Circuitos'!K5</f>
        <v>10.8402203856749</v>
      </c>
      <c r="J6" s="80" t="n">
        <f aca="false">'Capac.Cond.Corre.'!E5</f>
        <v>1</v>
      </c>
      <c r="K6" s="80" t="n">
        <f aca="false">'Capac.Cond.Corre.'!G5</f>
        <v>1</v>
      </c>
      <c r="L6" s="84" t="n">
        <f aca="false">'Queda de Tensão'!H5</f>
        <v>56.1</v>
      </c>
      <c r="M6" s="80" t="n">
        <f aca="false">Sobrecarga!Q5</f>
        <v>4</v>
      </c>
      <c r="N6" s="95" t="n">
        <f aca="false">'Divisão dos Circuitos'!L5</f>
        <v>1</v>
      </c>
      <c r="O6" s="95" t="n">
        <f aca="false">'Divisão dos Circuitos'!M5</f>
        <v>16</v>
      </c>
      <c r="P6" s="95" t="n">
        <f aca="false">'Divisão dos Circuitos'!N5</f>
        <v>2</v>
      </c>
      <c r="Q6" s="95" t="n">
        <f aca="false">'Divisão dos Circuitos'!O5</f>
        <v>25</v>
      </c>
      <c r="R6" s="79" t="s">
        <v>280</v>
      </c>
      <c r="S6" s="80" t="n">
        <f aca="false">IF(ISNUMBER(SEARCH("R", R6)), I6, 0)</f>
        <v>0</v>
      </c>
      <c r="T6" s="80" t="n">
        <f aca="false">IF(ISNUMBER(SEARCH("S", R6)), I6, 0)</f>
        <v>10.8402203856749</v>
      </c>
      <c r="U6" s="80" t="n">
        <f aca="false">IF(ISNUMBER(SEARCH("T", R6)), I6, 0)</f>
        <v>0</v>
      </c>
    </row>
    <row r="7" customFormat="false" ht="15" hidden="false" customHeight="true" outlineLevel="0" collapsed="false">
      <c r="A7" s="79" t="str">
        <f aca="false">'Divisão dos Circuitos'!A6</f>
        <v>12 - TUGs</v>
      </c>
      <c r="B7" s="79" t="str">
        <f aca="false">'Divisão dos Circuitos'!C6</f>
        <v>QD1</v>
      </c>
      <c r="C7" s="79" t="str">
        <f aca="false">'Divisão dos Circuitos'!D6</f>
        <v>Tornear e Chanfrar - Circuito 1</v>
      </c>
      <c r="D7" s="108" t="n">
        <f aca="false">'Divisão dos Circuitos'!H6</f>
        <v>1920</v>
      </c>
      <c r="E7" s="108" t="n">
        <f aca="false">'Divisão dos Circuitos'!I6</f>
        <v>2400</v>
      </c>
      <c r="F7" s="108" t="n">
        <f aca="false">'Divisão dos Circuitos'!J6</f>
        <v>1440</v>
      </c>
      <c r="G7" s="80" t="n">
        <f aca="false">'Divisão dos Circuitos'!G6</f>
        <v>0.8</v>
      </c>
      <c r="H7" s="84" t="str">
        <f aca="false">IF('Divisão dos Circuitos'!F6=1,"Monofásico",IF('Divisão dos Circuitos'!F6=2,"Bifásico","Trifásico"))</f>
        <v>Monofásico</v>
      </c>
      <c r="I7" s="80" t="n">
        <f aca="false">'Divisão dos Circuitos'!K6</f>
        <v>10.9090909090909</v>
      </c>
      <c r="J7" s="80" t="n">
        <f aca="false">'Capac.Cond.Corre.'!E6</f>
        <v>1</v>
      </c>
      <c r="K7" s="80" t="n">
        <f aca="false">'Capac.Cond.Corre.'!G6</f>
        <v>1</v>
      </c>
      <c r="L7" s="84" t="n">
        <f aca="false">'Queda de Tensão'!H6</f>
        <v>27.8</v>
      </c>
      <c r="M7" s="80" t="n">
        <f aca="false">Sobrecarga!Q6</f>
        <v>2.5</v>
      </c>
      <c r="N7" s="95" t="n">
        <f aca="false">'Divisão dos Circuitos'!L6</f>
        <v>1</v>
      </c>
      <c r="O7" s="95" t="n">
        <f aca="false">'Divisão dos Circuitos'!M6</f>
        <v>16</v>
      </c>
      <c r="P7" s="95" t="n">
        <f aca="false">'Divisão dos Circuitos'!N6</f>
        <v>2</v>
      </c>
      <c r="Q7" s="95" t="n">
        <f aca="false">'Divisão dos Circuitos'!O6</f>
        <v>25</v>
      </c>
      <c r="R7" s="79" t="s">
        <v>281</v>
      </c>
      <c r="S7" s="80" t="n">
        <f aca="false">IF(ISNUMBER(SEARCH("R", R7)), I7, 0)</f>
        <v>0</v>
      </c>
      <c r="T7" s="80" t="n">
        <f aca="false">IF(ISNUMBER(SEARCH("S", R7)), I7, 0)</f>
        <v>0</v>
      </c>
      <c r="U7" s="80" t="n">
        <f aca="false">IF(ISNUMBER(SEARCH("T", R7)), I7, 0)</f>
        <v>10.9090909090909</v>
      </c>
    </row>
    <row r="8" customFormat="false" ht="15" hidden="false" customHeight="true" outlineLevel="0" collapsed="false">
      <c r="A8" s="79" t="str">
        <f aca="false">'Divisão dos Circuitos'!A7</f>
        <v>13 - TUGs</v>
      </c>
      <c r="B8" s="79" t="str">
        <f aca="false">'Divisão dos Circuitos'!C7</f>
        <v>QD1</v>
      </c>
      <c r="C8" s="79" t="str">
        <f aca="false">'Divisão dos Circuitos'!D7</f>
        <v>Tornear e Chanfrar - Circuito 2</v>
      </c>
      <c r="D8" s="108" t="n">
        <f aca="false">'Divisão dos Circuitos'!H7</f>
        <v>1440</v>
      </c>
      <c r="E8" s="108" t="n">
        <f aca="false">'Divisão dos Circuitos'!I7</f>
        <v>1800</v>
      </c>
      <c r="F8" s="108" t="n">
        <f aca="false">'Divisão dos Circuitos'!J7</f>
        <v>1080</v>
      </c>
      <c r="G8" s="80" t="n">
        <f aca="false">'Divisão dos Circuitos'!G7</f>
        <v>0.8</v>
      </c>
      <c r="H8" s="84" t="str">
        <f aca="false">IF('Divisão dos Circuitos'!F7=1,"Monofásico",IF('Divisão dos Circuitos'!F7=2,"Bifásico","Trifásico"))</f>
        <v>Monofásico</v>
      </c>
      <c r="I8" s="80" t="n">
        <f aca="false">'Divisão dos Circuitos'!K7</f>
        <v>8.18181818181818</v>
      </c>
      <c r="J8" s="80" t="n">
        <f aca="false">'Capac.Cond.Corre.'!E7</f>
        <v>1</v>
      </c>
      <c r="K8" s="80" t="n">
        <f aca="false">'Capac.Cond.Corre.'!G7</f>
        <v>1</v>
      </c>
      <c r="L8" s="84" t="n">
        <f aca="false">'Queda de Tensão'!H7</f>
        <v>15.4</v>
      </c>
      <c r="M8" s="80" t="n">
        <f aca="false">Sobrecarga!Q7</f>
        <v>2.5</v>
      </c>
      <c r="N8" s="95" t="n">
        <f aca="false">'Divisão dos Circuitos'!L7</f>
        <v>1</v>
      </c>
      <c r="O8" s="95" t="n">
        <f aca="false">'Divisão dos Circuitos'!M7</f>
        <v>10</v>
      </c>
      <c r="P8" s="95" t="n">
        <f aca="false">'Divisão dos Circuitos'!N7</f>
        <v>2</v>
      </c>
      <c r="Q8" s="95" t="n">
        <f aca="false">'Divisão dos Circuitos'!O7</f>
        <v>25</v>
      </c>
      <c r="R8" s="79" t="s">
        <v>280</v>
      </c>
      <c r="S8" s="80" t="n">
        <f aca="false">IF(ISNUMBER(SEARCH("R", R8)), I8, 0)</f>
        <v>0</v>
      </c>
      <c r="T8" s="80" t="n">
        <f aca="false">IF(ISNUMBER(SEARCH("S", R8)), I8, 0)</f>
        <v>8.18181818181818</v>
      </c>
      <c r="U8" s="80" t="n">
        <f aca="false">IF(ISNUMBER(SEARCH("T", R8)), I8, 0)</f>
        <v>0</v>
      </c>
    </row>
    <row r="9" customFormat="false" ht="15" hidden="false" customHeight="true" outlineLevel="0" collapsed="false">
      <c r="A9" s="79" t="str">
        <f aca="false">'Divisão dos Circuitos'!A8</f>
        <v>14 - TUGs</v>
      </c>
      <c r="B9" s="79" t="str">
        <f aca="false">'Divisão dos Circuitos'!C8</f>
        <v>QD1</v>
      </c>
      <c r="C9" s="79" t="str">
        <f aca="false">'Divisão dos Circuitos'!D8</f>
        <v>Polimento - Circuito 1</v>
      </c>
      <c r="D9" s="108" t="n">
        <f aca="false">'Divisão dos Circuitos'!H8</f>
        <v>1920</v>
      </c>
      <c r="E9" s="108" t="n">
        <f aca="false">'Divisão dos Circuitos'!I8</f>
        <v>2400</v>
      </c>
      <c r="F9" s="108" t="n">
        <f aca="false">'Divisão dos Circuitos'!J8</f>
        <v>1440</v>
      </c>
      <c r="G9" s="80" t="n">
        <f aca="false">'Divisão dos Circuitos'!G8</f>
        <v>0.8</v>
      </c>
      <c r="H9" s="84" t="str">
        <f aca="false">IF('Divisão dos Circuitos'!F8=1,"Monofásico",IF('Divisão dos Circuitos'!F8=2,"Bifásico","Trifásico"))</f>
        <v>Monofásico</v>
      </c>
      <c r="I9" s="80" t="n">
        <f aca="false">'Divisão dos Circuitos'!K8</f>
        <v>10.9090909090909</v>
      </c>
      <c r="J9" s="80" t="n">
        <f aca="false">'Capac.Cond.Corre.'!E8</f>
        <v>1</v>
      </c>
      <c r="K9" s="80" t="n">
        <f aca="false">'Capac.Cond.Corre.'!G8</f>
        <v>1</v>
      </c>
      <c r="L9" s="84" t="n">
        <f aca="false">'Queda de Tensão'!H8</f>
        <v>44.5</v>
      </c>
      <c r="M9" s="80" t="n">
        <f aca="false">Sobrecarga!Q8</f>
        <v>4</v>
      </c>
      <c r="N9" s="95" t="n">
        <f aca="false">'Divisão dos Circuitos'!L8</f>
        <v>1</v>
      </c>
      <c r="O9" s="95" t="n">
        <f aca="false">'Divisão dos Circuitos'!M8</f>
        <v>16</v>
      </c>
      <c r="P9" s="95" t="n">
        <f aca="false">'Divisão dos Circuitos'!N8</f>
        <v>2</v>
      </c>
      <c r="Q9" s="95" t="n">
        <f aca="false">'Divisão dos Circuitos'!O8</f>
        <v>25</v>
      </c>
      <c r="R9" s="79" t="s">
        <v>281</v>
      </c>
      <c r="S9" s="80" t="n">
        <f aca="false">IF(ISNUMBER(SEARCH("R", R9)), I9, 0)</f>
        <v>0</v>
      </c>
      <c r="T9" s="80" t="n">
        <f aca="false">IF(ISNUMBER(SEARCH("S", R9)), I9, 0)</f>
        <v>0</v>
      </c>
      <c r="U9" s="80" t="n">
        <f aca="false">IF(ISNUMBER(SEARCH("T", R9)), I9, 0)</f>
        <v>10.9090909090909</v>
      </c>
    </row>
    <row r="10" customFormat="false" ht="15" hidden="false" customHeight="true" outlineLevel="0" collapsed="false">
      <c r="A10" s="79" t="str">
        <f aca="false">'Divisão dos Circuitos'!A9</f>
        <v>15 - TUGs</v>
      </c>
      <c r="B10" s="79" t="str">
        <f aca="false">'Divisão dos Circuitos'!C9</f>
        <v>QD1</v>
      </c>
      <c r="C10" s="79" t="str">
        <f aca="false">'Divisão dos Circuitos'!D9</f>
        <v>Polimento - Circuito 2</v>
      </c>
      <c r="D10" s="108" t="n">
        <f aca="false">'Divisão dos Circuitos'!H9</f>
        <v>1440</v>
      </c>
      <c r="E10" s="108" t="n">
        <f aca="false">'Divisão dos Circuitos'!I9</f>
        <v>1800</v>
      </c>
      <c r="F10" s="108" t="n">
        <f aca="false">'Divisão dos Circuitos'!J9</f>
        <v>1080</v>
      </c>
      <c r="G10" s="80" t="n">
        <f aca="false">'Divisão dos Circuitos'!G9</f>
        <v>0.8</v>
      </c>
      <c r="H10" s="84" t="str">
        <f aca="false">IF('Divisão dos Circuitos'!F9=1,"Monofásico",IF('Divisão dos Circuitos'!F9=2,"Bifásico","Trifásico"))</f>
        <v>Monofásico</v>
      </c>
      <c r="I10" s="80" t="n">
        <f aca="false">'Divisão dos Circuitos'!K9</f>
        <v>8.18181818181818</v>
      </c>
      <c r="J10" s="80" t="n">
        <f aca="false">'Capac.Cond.Corre.'!E9</f>
        <v>1</v>
      </c>
      <c r="K10" s="80" t="n">
        <f aca="false">'Capac.Cond.Corre.'!G9</f>
        <v>1</v>
      </c>
      <c r="L10" s="84" t="n">
        <f aca="false">'Queda de Tensão'!H9</f>
        <v>54</v>
      </c>
      <c r="M10" s="80" t="n">
        <f aca="false">Sobrecarga!Q9</f>
        <v>4</v>
      </c>
      <c r="N10" s="95" t="n">
        <f aca="false">'Divisão dos Circuitos'!L9</f>
        <v>1</v>
      </c>
      <c r="O10" s="95" t="n">
        <f aca="false">'Divisão dos Circuitos'!M9</f>
        <v>10</v>
      </c>
      <c r="P10" s="95" t="n">
        <f aca="false">'Divisão dos Circuitos'!N9</f>
        <v>2</v>
      </c>
      <c r="Q10" s="95" t="n">
        <f aca="false">'Divisão dos Circuitos'!O9</f>
        <v>25</v>
      </c>
      <c r="R10" s="79" t="s">
        <v>282</v>
      </c>
      <c r="S10" s="80" t="n">
        <f aca="false">IF(ISNUMBER(SEARCH("R", R10)), I10, 0)</f>
        <v>8.18181818181818</v>
      </c>
      <c r="T10" s="80" t="n">
        <f aca="false">IF(ISNUMBER(SEARCH("S", R10)), I10, 0)</f>
        <v>0</v>
      </c>
      <c r="U10" s="80" t="n">
        <f aca="false">IF(ISNUMBER(SEARCH("T", R10)), I10, 0)</f>
        <v>0</v>
      </c>
    </row>
    <row r="11" customFormat="false" ht="15" hidden="false" customHeight="true" outlineLevel="0" collapsed="false">
      <c r="A11" s="79" t="str">
        <f aca="false">'Divisão dos Circuitos'!A10</f>
        <v>22 - TUGs Trifásicas</v>
      </c>
      <c r="B11" s="79" t="str">
        <f aca="false">'Divisão dos Circuitos'!C10</f>
        <v>QD1</v>
      </c>
      <c r="C11" s="79" t="str">
        <f aca="false">'Divisão dos Circuitos'!D10</f>
        <v>Tornear e Chanfrar - Circuito 1</v>
      </c>
      <c r="D11" s="108" t="n">
        <f aca="false">'Divisão dos Circuitos'!H10</f>
        <v>9600</v>
      </c>
      <c r="E11" s="108" t="n">
        <f aca="false">'Divisão dos Circuitos'!I10</f>
        <v>12000</v>
      </c>
      <c r="F11" s="108" t="n">
        <f aca="false">'Divisão dos Circuitos'!J10</f>
        <v>7200</v>
      </c>
      <c r="G11" s="80" t="n">
        <f aca="false">'Divisão dos Circuitos'!G10</f>
        <v>0.8</v>
      </c>
      <c r="H11" s="84" t="str">
        <f aca="false">IF('Divisão dos Circuitos'!F10=1,"Monofásico",IF('Divisão dos Circuitos'!F10=2,"Bifásico","Trifásico"))</f>
        <v>Trifásico</v>
      </c>
      <c r="I11" s="80" t="n">
        <f aca="false">'Divisão dos Circuitos'!K10</f>
        <v>18.2321137638829</v>
      </c>
      <c r="J11" s="80" t="n">
        <f aca="false">'Capac.Cond.Corre.'!E10</f>
        <v>1</v>
      </c>
      <c r="K11" s="80" t="n">
        <f aca="false">'Capac.Cond.Corre.'!G10</f>
        <v>1</v>
      </c>
      <c r="L11" s="84" t="n">
        <f aca="false">'Queda de Tensão'!H10</f>
        <v>25.7</v>
      </c>
      <c r="M11" s="80" t="n">
        <f aca="false">Sobrecarga!Q10</f>
        <v>2.5</v>
      </c>
      <c r="N11" s="95" t="n">
        <f aca="false">'Divisão dos Circuitos'!L10</f>
        <v>3</v>
      </c>
      <c r="O11" s="95" t="n">
        <f aca="false">'Divisão dos Circuitos'!M10</f>
        <v>20</v>
      </c>
      <c r="P11" s="95" t="n">
        <f aca="false">'Divisão dos Circuitos'!N10</f>
        <v>4</v>
      </c>
      <c r="Q11" s="95" t="n">
        <f aca="false">'Divisão dos Circuitos'!O10</f>
        <v>25</v>
      </c>
      <c r="R11" s="79" t="s">
        <v>283</v>
      </c>
      <c r="S11" s="80" t="n">
        <f aca="false">IF(ISNUMBER(SEARCH("R", R11)), I11, 0)</f>
        <v>18.2321137638829</v>
      </c>
      <c r="T11" s="80" t="n">
        <f aca="false">IF(ISNUMBER(SEARCH("S", R11)), I11, 0)</f>
        <v>18.2321137638829</v>
      </c>
      <c r="U11" s="80" t="n">
        <f aca="false">IF(ISNUMBER(SEARCH("T", R11)), I11, 0)</f>
        <v>18.2321137638829</v>
      </c>
    </row>
    <row r="12" customFormat="false" ht="15" hidden="false" customHeight="true" outlineLevel="0" collapsed="false">
      <c r="A12" s="79" t="str">
        <f aca="false">'Divisão dos Circuitos'!A11</f>
        <v>23 - TUGs Trifásicas</v>
      </c>
      <c r="B12" s="79" t="str">
        <f aca="false">'Divisão dos Circuitos'!C11</f>
        <v>QD1</v>
      </c>
      <c r="C12" s="79" t="str">
        <f aca="false">'Divisão dos Circuitos'!D11</f>
        <v>Polimento - Circuito 1</v>
      </c>
      <c r="D12" s="108" t="n">
        <f aca="false">'Divisão dos Circuitos'!H11</f>
        <v>9600</v>
      </c>
      <c r="E12" s="108" t="n">
        <f aca="false">'Divisão dos Circuitos'!I11</f>
        <v>12000</v>
      </c>
      <c r="F12" s="108" t="n">
        <f aca="false">'Divisão dos Circuitos'!J11</f>
        <v>7200</v>
      </c>
      <c r="G12" s="80" t="n">
        <f aca="false">'Divisão dos Circuitos'!G11</f>
        <v>0.8</v>
      </c>
      <c r="H12" s="84" t="str">
        <f aca="false">IF('Divisão dos Circuitos'!F11=1,"Monofásico",IF('Divisão dos Circuitos'!F11=2,"Bifásico","Trifásico"))</f>
        <v>Trifásico</v>
      </c>
      <c r="I12" s="80" t="n">
        <f aca="false">'Divisão dos Circuitos'!K11</f>
        <v>18.2321137638829</v>
      </c>
      <c r="J12" s="80" t="n">
        <f aca="false">'Capac.Cond.Corre.'!E11</f>
        <v>1</v>
      </c>
      <c r="K12" s="80" t="n">
        <f aca="false">'Capac.Cond.Corre.'!G11</f>
        <v>1</v>
      </c>
      <c r="L12" s="84" t="n">
        <f aca="false">'Queda de Tensão'!H11</f>
        <v>42.2</v>
      </c>
      <c r="M12" s="80" t="n">
        <f aca="false">Sobrecarga!Q11</f>
        <v>2.5</v>
      </c>
      <c r="N12" s="95" t="n">
        <f aca="false">'Divisão dos Circuitos'!L11</f>
        <v>3</v>
      </c>
      <c r="O12" s="95" t="n">
        <f aca="false">'Divisão dos Circuitos'!M11</f>
        <v>20</v>
      </c>
      <c r="P12" s="95" t="n">
        <f aca="false">'Divisão dos Circuitos'!N11</f>
        <v>4</v>
      </c>
      <c r="Q12" s="95" t="n">
        <f aca="false">'Divisão dos Circuitos'!O11</f>
        <v>25</v>
      </c>
      <c r="R12" s="79" t="s">
        <v>283</v>
      </c>
      <c r="S12" s="80" t="n">
        <f aca="false">IF(ISNUMBER(SEARCH("R", R12)), I12, 0)</f>
        <v>18.2321137638829</v>
      </c>
      <c r="T12" s="80" t="n">
        <f aca="false">IF(ISNUMBER(SEARCH("S", R12)), I12, 0)</f>
        <v>18.2321137638829</v>
      </c>
      <c r="U12" s="80" t="n">
        <f aca="false">IF(ISNUMBER(SEARCH("T", R12)), I12, 0)</f>
        <v>18.2321137638829</v>
      </c>
    </row>
    <row r="13" customFormat="false" ht="15" hidden="false" customHeight="true" outlineLevel="0" collapsed="false">
      <c r="A13" s="79" t="str">
        <f aca="false">'Divisão dos Circuitos'!A12</f>
        <v>38 - TUGs Trifásicas</v>
      </c>
      <c r="B13" s="79" t="str">
        <f aca="false">'Divisão dos Circuitos'!C12</f>
        <v>QD1</v>
      </c>
      <c r="C13" s="79" t="str">
        <f aca="false">'Divisão dos Circuitos'!D12</f>
        <v>Tornear e Chanfrar - Circuito 2</v>
      </c>
      <c r="D13" s="108" t="n">
        <f aca="false">'Divisão dos Circuitos'!H12</f>
        <v>9600</v>
      </c>
      <c r="E13" s="108" t="n">
        <f aca="false">'Divisão dos Circuitos'!I12</f>
        <v>12000</v>
      </c>
      <c r="F13" s="108" t="n">
        <f aca="false">'Divisão dos Circuitos'!J12</f>
        <v>7200</v>
      </c>
      <c r="G13" s="80" t="n">
        <f aca="false">'Divisão dos Circuitos'!G12</f>
        <v>0.8</v>
      </c>
      <c r="H13" s="84" t="str">
        <f aca="false">IF('Divisão dos Circuitos'!F12=1,"Monofásico",IF('Divisão dos Circuitos'!F12=2,"Bifásico","Trifásico"))</f>
        <v>Trifásico</v>
      </c>
      <c r="I13" s="80" t="n">
        <f aca="false">'Divisão dos Circuitos'!K12</f>
        <v>18.2321137638829</v>
      </c>
      <c r="J13" s="80" t="n">
        <f aca="false">'Capac.Cond.Corre.'!E12</f>
        <v>1</v>
      </c>
      <c r="K13" s="80" t="n">
        <f aca="false">'Capac.Cond.Corre.'!G12</f>
        <v>1</v>
      </c>
      <c r="L13" s="84" t="n">
        <f aca="false">'Queda de Tensão'!H12</f>
        <v>15</v>
      </c>
      <c r="M13" s="80" t="n">
        <f aca="false">Sobrecarga!Q12</f>
        <v>2.5</v>
      </c>
      <c r="N13" s="95" t="n">
        <f aca="false">'Divisão dos Circuitos'!L12</f>
        <v>3</v>
      </c>
      <c r="O13" s="95" t="n">
        <f aca="false">'Divisão dos Circuitos'!M12</f>
        <v>20</v>
      </c>
      <c r="P13" s="95" t="n">
        <f aca="false">'Divisão dos Circuitos'!N12</f>
        <v>4</v>
      </c>
      <c r="Q13" s="95" t="n">
        <f aca="false">'Divisão dos Circuitos'!O12</f>
        <v>25</v>
      </c>
      <c r="R13" s="79" t="s">
        <v>283</v>
      </c>
      <c r="S13" s="80" t="n">
        <f aca="false">IF(ISNUMBER(SEARCH("R", R13)), I13, 0)</f>
        <v>18.2321137638829</v>
      </c>
      <c r="T13" s="80" t="n">
        <f aca="false">IF(ISNUMBER(SEARCH("S", R13)), I13, 0)</f>
        <v>18.2321137638829</v>
      </c>
      <c r="U13" s="80" t="n">
        <f aca="false">IF(ISNUMBER(SEARCH("T", R13)), I13, 0)</f>
        <v>18.2321137638829</v>
      </c>
    </row>
    <row r="14" customFormat="false" ht="15" hidden="false" customHeight="true" outlineLevel="0" collapsed="false">
      <c r="A14" s="79" t="str">
        <f aca="false">'Divisão dos Circuitos'!A13</f>
        <v>39 - TUGs Trifásicas</v>
      </c>
      <c r="B14" s="79" t="str">
        <f aca="false">'Divisão dos Circuitos'!C13</f>
        <v>QD1</v>
      </c>
      <c r="C14" s="79" t="str">
        <f aca="false">'Divisão dos Circuitos'!D13</f>
        <v>Polimento - Circuito 2</v>
      </c>
      <c r="D14" s="108" t="n">
        <f aca="false">'Divisão dos Circuitos'!H13</f>
        <v>9600</v>
      </c>
      <c r="E14" s="108" t="n">
        <f aca="false">'Divisão dos Circuitos'!I13</f>
        <v>12000</v>
      </c>
      <c r="F14" s="108" t="n">
        <f aca="false">'Divisão dos Circuitos'!J13</f>
        <v>7200</v>
      </c>
      <c r="G14" s="80" t="n">
        <f aca="false">'Divisão dos Circuitos'!G13</f>
        <v>0.8</v>
      </c>
      <c r="H14" s="84" t="str">
        <f aca="false">IF('Divisão dos Circuitos'!F13=1,"Monofásico",IF('Divisão dos Circuitos'!F13=2,"Bifásico","Trifásico"))</f>
        <v>Trifásico</v>
      </c>
      <c r="I14" s="80" t="n">
        <f aca="false">'Divisão dos Circuitos'!K13</f>
        <v>18.2321137638829</v>
      </c>
      <c r="J14" s="80" t="n">
        <f aca="false">'Capac.Cond.Corre.'!E13</f>
        <v>1</v>
      </c>
      <c r="K14" s="80" t="n">
        <f aca="false">'Capac.Cond.Corre.'!G13</f>
        <v>1</v>
      </c>
      <c r="L14" s="84" t="n">
        <f aca="false">'Queda de Tensão'!H13</f>
        <v>52.5</v>
      </c>
      <c r="M14" s="80" t="n">
        <f aca="false">Sobrecarga!Q13</f>
        <v>4</v>
      </c>
      <c r="N14" s="95" t="n">
        <f aca="false">'Divisão dos Circuitos'!L13</f>
        <v>3</v>
      </c>
      <c r="O14" s="95" t="n">
        <f aca="false">'Divisão dos Circuitos'!M13</f>
        <v>20</v>
      </c>
      <c r="P14" s="95" t="n">
        <f aca="false">'Divisão dos Circuitos'!N13</f>
        <v>4</v>
      </c>
      <c r="Q14" s="95" t="n">
        <f aca="false">'Divisão dos Circuitos'!O13</f>
        <v>25</v>
      </c>
      <c r="R14" s="79" t="s">
        <v>283</v>
      </c>
      <c r="S14" s="80" t="n">
        <f aca="false">IF(ISNUMBER(SEARCH("R", R14)), I14, 0)</f>
        <v>18.2321137638829</v>
      </c>
      <c r="T14" s="80" t="n">
        <f aca="false">IF(ISNUMBER(SEARCH("S", R14)), I14, 0)</f>
        <v>18.2321137638829</v>
      </c>
      <c r="U14" s="80" t="n">
        <f aca="false">IF(ISNUMBER(SEARCH("T", R14)), I14, 0)</f>
        <v>18.2321137638829</v>
      </c>
    </row>
    <row r="15" customFormat="false" ht="15" hidden="false" customHeight="true" outlineLevel="0" collapsed="false">
      <c r="A15" s="79" t="str">
        <f aca="false">'Divisão dos Circuitos'!A14</f>
        <v>44 - TUE Bancada 1</v>
      </c>
      <c r="B15" s="79" t="str">
        <f aca="false">'Divisão dos Circuitos'!C14</f>
        <v>QD1</v>
      </c>
      <c r="C15" s="79" t="str">
        <f aca="false">'Divisão dos Circuitos'!D14</f>
        <v>Bancada 1</v>
      </c>
      <c r="D15" s="108" t="n">
        <f aca="false">'Divisão dos Circuitos'!H14</f>
        <v>2400</v>
      </c>
      <c r="E15" s="108" t="n">
        <f aca="false">'Divisão dos Circuitos'!I14</f>
        <v>3000</v>
      </c>
      <c r="F15" s="108" t="n">
        <f aca="false">'Divisão dos Circuitos'!J14</f>
        <v>1800</v>
      </c>
      <c r="G15" s="80" t="n">
        <f aca="false">'Divisão dos Circuitos'!G14</f>
        <v>0.8</v>
      </c>
      <c r="H15" s="84" t="str">
        <f aca="false">IF('Divisão dos Circuitos'!F14=1,"Monofásico",IF('Divisão dos Circuitos'!F14=2,"Bifásico","Trifásico"))</f>
        <v>Monofásico</v>
      </c>
      <c r="I15" s="80" t="n">
        <f aca="false">'Divisão dos Circuitos'!K14</f>
        <v>13.6363636363636</v>
      </c>
      <c r="J15" s="80" t="n">
        <f aca="false">'Capac.Cond.Corre.'!E14</f>
        <v>1</v>
      </c>
      <c r="K15" s="80" t="n">
        <f aca="false">'Capac.Cond.Corre.'!G14</f>
        <v>1</v>
      </c>
      <c r="L15" s="84" t="n">
        <f aca="false">'Queda de Tensão'!H14</f>
        <v>27.7</v>
      </c>
      <c r="M15" s="80" t="n">
        <f aca="false">Sobrecarga!Q14</f>
        <v>2.5</v>
      </c>
      <c r="N15" s="95" t="n">
        <f aca="false">'Divisão dos Circuitos'!L14</f>
        <v>1</v>
      </c>
      <c r="O15" s="95" t="n">
        <f aca="false">'Divisão dos Circuitos'!M14</f>
        <v>16</v>
      </c>
      <c r="P15" s="95" t="n">
        <f aca="false">'Divisão dos Circuitos'!N14</f>
        <v>2</v>
      </c>
      <c r="Q15" s="95" t="n">
        <f aca="false">'Divisão dos Circuitos'!O14</f>
        <v>25</v>
      </c>
      <c r="R15" s="79" t="s">
        <v>280</v>
      </c>
      <c r="S15" s="80" t="n">
        <f aca="false">IF(ISNUMBER(SEARCH("R", R15)), I15, 0)</f>
        <v>0</v>
      </c>
      <c r="T15" s="80" t="n">
        <f aca="false">IF(ISNUMBER(SEARCH("S", R15)), I15, 0)</f>
        <v>13.6363636363636</v>
      </c>
      <c r="U15" s="80" t="n">
        <f aca="false">IF(ISNUMBER(SEARCH("T", R15)), I15, 0)</f>
        <v>0</v>
      </c>
    </row>
    <row r="16" customFormat="false" ht="15" hidden="false" customHeight="true" outlineLevel="0" collapsed="false">
      <c r="A16" s="79" t="str">
        <f aca="false">'Divisão dos Circuitos'!A15</f>
        <v>45 - TUE Bancada 2</v>
      </c>
      <c r="B16" s="79" t="str">
        <f aca="false">'Divisão dos Circuitos'!C15</f>
        <v>QD1</v>
      </c>
      <c r="C16" s="79" t="str">
        <f aca="false">'Divisão dos Circuitos'!D15</f>
        <v>Bancada 2</v>
      </c>
      <c r="D16" s="108" t="n">
        <f aca="false">'Divisão dos Circuitos'!H15</f>
        <v>1760</v>
      </c>
      <c r="E16" s="108" t="n">
        <f aca="false">'Divisão dos Circuitos'!I15</f>
        <v>2200</v>
      </c>
      <c r="F16" s="108" t="n">
        <f aca="false">'Divisão dos Circuitos'!J15</f>
        <v>1320</v>
      </c>
      <c r="G16" s="80" t="n">
        <f aca="false">'Divisão dos Circuitos'!G15</f>
        <v>0.8</v>
      </c>
      <c r="H16" s="84" t="str">
        <f aca="false">IF('Divisão dos Circuitos'!F15=1,"Monofásico",IF('Divisão dos Circuitos'!F15=2,"Bifásico","Trifásico"))</f>
        <v>Monofásico</v>
      </c>
      <c r="I16" s="80" t="n">
        <f aca="false">'Divisão dos Circuitos'!K15</f>
        <v>10</v>
      </c>
      <c r="J16" s="80" t="n">
        <f aca="false">'Capac.Cond.Corre.'!E15</f>
        <v>1</v>
      </c>
      <c r="K16" s="80" t="n">
        <f aca="false">'Capac.Cond.Corre.'!G15</f>
        <v>1</v>
      </c>
      <c r="L16" s="84" t="n">
        <f aca="false">'Queda de Tensão'!H15</f>
        <v>30.1</v>
      </c>
      <c r="M16" s="80" t="n">
        <f aca="false">Sobrecarga!Q15</f>
        <v>2.5</v>
      </c>
      <c r="N16" s="95" t="n">
        <f aca="false">'Divisão dos Circuitos'!L15</f>
        <v>1</v>
      </c>
      <c r="O16" s="95" t="n">
        <f aca="false">'Divisão dos Circuitos'!M15</f>
        <v>16</v>
      </c>
      <c r="P16" s="95" t="n">
        <f aca="false">'Divisão dos Circuitos'!N15</f>
        <v>2</v>
      </c>
      <c r="Q16" s="95" t="n">
        <f aca="false">'Divisão dos Circuitos'!O15</f>
        <v>25</v>
      </c>
      <c r="R16" s="79" t="s">
        <v>282</v>
      </c>
      <c r="S16" s="80" t="n">
        <f aca="false">IF(ISNUMBER(SEARCH("R", R16)), I16, 0)</f>
        <v>10</v>
      </c>
      <c r="T16" s="80" t="n">
        <f aca="false">IF(ISNUMBER(SEARCH("S", R16)), I16, 0)</f>
        <v>0</v>
      </c>
      <c r="U16" s="80" t="n">
        <f aca="false">IF(ISNUMBER(SEARCH("T", R16)), I16, 0)</f>
        <v>0</v>
      </c>
    </row>
    <row r="17" customFormat="false" ht="15" hidden="false" customHeight="true" outlineLevel="0" collapsed="false">
      <c r="A17" s="79" t="str">
        <f aca="false">'Divisão dos Circuitos'!A16</f>
        <v>46 - TUE Bancada 3</v>
      </c>
      <c r="B17" s="79" t="str">
        <f aca="false">'Divisão dos Circuitos'!C16</f>
        <v>QD1</v>
      </c>
      <c r="C17" s="79" t="str">
        <f aca="false">'Divisão dos Circuitos'!D16</f>
        <v>Bancada 3</v>
      </c>
      <c r="D17" s="108" t="n">
        <f aca="false">'Divisão dos Circuitos'!H16</f>
        <v>1600</v>
      </c>
      <c r="E17" s="108" t="n">
        <f aca="false">'Divisão dos Circuitos'!I16</f>
        <v>2000</v>
      </c>
      <c r="F17" s="108" t="n">
        <f aca="false">'Divisão dos Circuitos'!J16</f>
        <v>1200</v>
      </c>
      <c r="G17" s="80" t="n">
        <f aca="false">'Divisão dos Circuitos'!G16</f>
        <v>0.8</v>
      </c>
      <c r="H17" s="84" t="str">
        <f aca="false">IF('Divisão dos Circuitos'!F16=1,"Monofásico",IF('Divisão dos Circuitos'!F16=2,"Bifásico","Trifásico"))</f>
        <v>Monofásico</v>
      </c>
      <c r="I17" s="80" t="n">
        <f aca="false">'Divisão dos Circuitos'!K16</f>
        <v>9.09090909090909</v>
      </c>
      <c r="J17" s="80" t="n">
        <f aca="false">'Capac.Cond.Corre.'!E16</f>
        <v>1</v>
      </c>
      <c r="K17" s="80" t="n">
        <f aca="false">'Capac.Cond.Corre.'!G16</f>
        <v>1</v>
      </c>
      <c r="L17" s="84" t="n">
        <f aca="false">'Queda de Tensão'!H16</f>
        <v>34</v>
      </c>
      <c r="M17" s="80" t="n">
        <f aca="false">Sobrecarga!Q16</f>
        <v>2.5</v>
      </c>
      <c r="N17" s="95" t="n">
        <f aca="false">'Divisão dos Circuitos'!L16</f>
        <v>1</v>
      </c>
      <c r="O17" s="95" t="n">
        <f aca="false">'Divisão dos Circuitos'!M16</f>
        <v>10</v>
      </c>
      <c r="P17" s="95" t="n">
        <f aca="false">'Divisão dos Circuitos'!N16</f>
        <v>2</v>
      </c>
      <c r="Q17" s="95" t="n">
        <f aca="false">'Divisão dos Circuitos'!O16</f>
        <v>25</v>
      </c>
      <c r="R17" s="79" t="s">
        <v>281</v>
      </c>
      <c r="S17" s="80" t="n">
        <f aca="false">IF(ISNUMBER(SEARCH("R", R17)), I17, 0)</f>
        <v>0</v>
      </c>
      <c r="T17" s="80" t="n">
        <f aca="false">IF(ISNUMBER(SEARCH("S", R17)), I17, 0)</f>
        <v>0</v>
      </c>
      <c r="U17" s="80" t="n">
        <f aca="false">IF(ISNUMBER(SEARCH("T", R17)), I17, 0)</f>
        <v>9.09090909090909</v>
      </c>
    </row>
    <row r="18" customFormat="false" ht="15" hidden="false" customHeight="true" outlineLevel="0" collapsed="false">
      <c r="A18" s="79" t="str">
        <f aca="false">'Divisão dos Circuitos'!A17</f>
        <v>47 - TUE Bancada 4</v>
      </c>
      <c r="B18" s="79" t="str">
        <f aca="false">'Divisão dos Circuitos'!C17</f>
        <v>QD1</v>
      </c>
      <c r="C18" s="79" t="str">
        <f aca="false">'Divisão dos Circuitos'!D17</f>
        <v>Bancada 4</v>
      </c>
      <c r="D18" s="108" t="n">
        <f aca="false">'Divisão dos Circuitos'!H17</f>
        <v>2720</v>
      </c>
      <c r="E18" s="108" t="n">
        <f aca="false">'Divisão dos Circuitos'!I17</f>
        <v>3400</v>
      </c>
      <c r="F18" s="108" t="n">
        <f aca="false">'Divisão dos Circuitos'!J17</f>
        <v>2040</v>
      </c>
      <c r="G18" s="80" t="n">
        <f aca="false">'Divisão dos Circuitos'!G17</f>
        <v>0.8</v>
      </c>
      <c r="H18" s="84" t="str">
        <f aca="false">IF('Divisão dos Circuitos'!F17=1,"Monofásico",IF('Divisão dos Circuitos'!F17=2,"Bifásico","Trifásico"))</f>
        <v>Monofásico</v>
      </c>
      <c r="I18" s="80" t="n">
        <f aca="false">'Divisão dos Circuitos'!K17</f>
        <v>15.4545454545455</v>
      </c>
      <c r="J18" s="80" t="n">
        <f aca="false">'Capac.Cond.Corre.'!E17</f>
        <v>1</v>
      </c>
      <c r="K18" s="80" t="n">
        <f aca="false">'Capac.Cond.Corre.'!G17</f>
        <v>1</v>
      </c>
      <c r="L18" s="84" t="n">
        <f aca="false">'Queda de Tensão'!H17</f>
        <v>35</v>
      </c>
      <c r="M18" s="80" t="n">
        <f aca="false">Sobrecarga!Q17</f>
        <v>4</v>
      </c>
      <c r="N18" s="95" t="n">
        <f aca="false">'Divisão dos Circuitos'!L17</f>
        <v>1</v>
      </c>
      <c r="O18" s="95" t="n">
        <f aca="false">'Divisão dos Circuitos'!M17</f>
        <v>16</v>
      </c>
      <c r="P18" s="95" t="n">
        <f aca="false">'Divisão dos Circuitos'!N17</f>
        <v>2</v>
      </c>
      <c r="Q18" s="95" t="n">
        <f aca="false">'Divisão dos Circuitos'!O17</f>
        <v>25</v>
      </c>
      <c r="R18" s="79" t="s">
        <v>282</v>
      </c>
      <c r="S18" s="80" t="n">
        <f aca="false">IF(ISNUMBER(SEARCH("R", R18)), I18, 0)</f>
        <v>15.4545454545455</v>
      </c>
      <c r="T18" s="80" t="n">
        <f aca="false">IF(ISNUMBER(SEARCH("S", R18)), I18, 0)</f>
        <v>0</v>
      </c>
      <c r="U18" s="80" t="n">
        <f aca="false">IF(ISNUMBER(SEARCH("T", R18)), I18, 0)</f>
        <v>0</v>
      </c>
    </row>
    <row r="19" customFormat="false" ht="15" hidden="false" customHeight="true" outlineLevel="0" collapsed="false">
      <c r="A19" s="109" t="s">
        <v>284</v>
      </c>
      <c r="B19" s="109"/>
      <c r="C19" s="109"/>
      <c r="D19" s="110" t="n">
        <f aca="false">SUM(D6:D18)</f>
        <v>55961</v>
      </c>
      <c r="E19" s="110" t="n">
        <f aca="false">SUM(E6:E18)</f>
        <v>69384.8484848485</v>
      </c>
      <c r="F19" s="110" t="n">
        <f aca="false">SUM(F6:F18)</f>
        <v>40536.4242792726</v>
      </c>
      <c r="G19" s="111"/>
      <c r="H19" s="112"/>
      <c r="I19" s="111"/>
      <c r="J19" s="111"/>
      <c r="K19" s="111"/>
      <c r="L19" s="112"/>
      <c r="M19" s="111"/>
      <c r="N19" s="109" t="s">
        <v>285</v>
      </c>
      <c r="O19" s="109"/>
      <c r="P19" s="109"/>
      <c r="Q19" s="109"/>
      <c r="R19" s="109"/>
      <c r="S19" s="111" t="n">
        <f aca="false">SUM(S6:S18)</f>
        <v>106.564818691895</v>
      </c>
      <c r="T19" s="111" t="n">
        <f aca="false">SUM(T6:T18)</f>
        <v>105.586857259388</v>
      </c>
      <c r="U19" s="111" t="n">
        <f aca="false">SUM(U6:U18)</f>
        <v>103.837545964623</v>
      </c>
    </row>
    <row r="20" customFormat="false" ht="15" hidden="false" customHeight="true" outlineLevel="0" collapsed="false">
      <c r="A20" s="107" t="s">
        <v>140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</row>
    <row r="21" customFormat="false" ht="15" hidden="false" customHeight="true" outlineLevel="0" collapsed="false">
      <c r="A21" s="79" t="str">
        <f aca="false">'Divisão dos Circuitos'!A19</f>
        <v>02 - Iluminação</v>
      </c>
      <c r="B21" s="79" t="str">
        <f aca="false">'Divisão dos Circuitos'!C19</f>
        <v>QD2</v>
      </c>
      <c r="C21" s="79" t="str">
        <f aca="false">'Divisão dos Circuitos'!D19</f>
        <v>Colagem e Montagem, Sistemas de Serra, BWC 1 e 2</v>
      </c>
      <c r="D21" s="108" t="n">
        <f aca="false">'Divisão dos Circuitos'!H19</f>
        <v>1932.4</v>
      </c>
      <c r="E21" s="108" t="n">
        <f aca="false">'Divisão dos Circuitos'!I19</f>
        <v>1951.91919191919</v>
      </c>
      <c r="F21" s="108" t="n">
        <f aca="false">'Divisão dos Circuitos'!J19</f>
        <v>275.352086940468</v>
      </c>
      <c r="G21" s="80" t="n">
        <f aca="false">'Divisão dos Circuitos'!G19</f>
        <v>0.99</v>
      </c>
      <c r="H21" s="84" t="str">
        <f aca="false">IF('Divisão dos Circuitos'!F19=1,"Monofásico",IF('Divisão dos Circuitos'!F19=2,"Bifásico","Trifásico"))</f>
        <v>Monofásico</v>
      </c>
      <c r="I21" s="80" t="n">
        <f aca="false">'Divisão dos Circuitos'!K19</f>
        <v>8.87235996326905</v>
      </c>
      <c r="J21" s="80" t="n">
        <f aca="false">'Capac.Cond.Corre.'!E19</f>
        <v>1</v>
      </c>
      <c r="K21" s="80" t="n">
        <f aca="false">'Capac.Cond.Corre.'!G19</f>
        <v>0.7</v>
      </c>
      <c r="L21" s="84" t="n">
        <f aca="false">'Queda de Tensão'!H19</f>
        <v>45.1</v>
      </c>
      <c r="M21" s="80" t="n">
        <f aca="false">Sobrecarga!Q19</f>
        <v>4</v>
      </c>
      <c r="N21" s="95" t="n">
        <f aca="false">'Divisão dos Circuitos'!L19</f>
        <v>1</v>
      </c>
      <c r="O21" s="95" t="n">
        <f aca="false">'Divisão dos Circuitos'!M19</f>
        <v>10</v>
      </c>
      <c r="P21" s="95" t="n">
        <f aca="false">'Divisão dos Circuitos'!N19</f>
        <v>2</v>
      </c>
      <c r="Q21" s="95" t="n">
        <f aca="false">'Divisão dos Circuitos'!O19</f>
        <v>25</v>
      </c>
      <c r="R21" s="79" t="s">
        <v>281</v>
      </c>
      <c r="S21" s="80" t="n">
        <f aca="false">IF(ISNUMBER(SEARCH("R", R21)), I21, 0)</f>
        <v>0</v>
      </c>
      <c r="T21" s="80" t="n">
        <f aca="false">IF(ISNUMBER(SEARCH("S", R21)), I21, 0)</f>
        <v>0</v>
      </c>
      <c r="U21" s="80" t="n">
        <f aca="false">IF(ISNUMBER(SEARCH("T", R21)), I21, 0)</f>
        <v>8.87235996326905</v>
      </c>
    </row>
    <row r="22" customFormat="false" ht="15" hidden="false" customHeight="true" outlineLevel="0" collapsed="false">
      <c r="A22" s="79" t="str">
        <f aca="false">'Divisão dos Circuitos'!A20</f>
        <v>05 - Iluminação</v>
      </c>
      <c r="B22" s="79" t="str">
        <f aca="false">'Divisão dos Circuitos'!C20</f>
        <v>QD2</v>
      </c>
      <c r="C22" s="79" t="str">
        <f aca="false">'Divisão dos Circuitos'!D20</f>
        <v>Inspeção Final</v>
      </c>
      <c r="D22" s="108" t="n">
        <f aca="false">'Divisão dos Circuitos'!H20</f>
        <v>1652.7</v>
      </c>
      <c r="E22" s="108" t="n">
        <f aca="false">'Divisão dos Circuitos'!I20</f>
        <v>1669.39393939394</v>
      </c>
      <c r="F22" s="108" t="n">
        <f aca="false">'Divisão dos Circuitos'!J20</f>
        <v>235.496995490847</v>
      </c>
      <c r="G22" s="80" t="n">
        <f aca="false">'Divisão dos Circuitos'!G20</f>
        <v>0.99</v>
      </c>
      <c r="H22" s="84" t="str">
        <f aca="false">IF('Divisão dos Circuitos'!F20=1,"Monofásico",IF('Divisão dos Circuitos'!F20=2,"Bifásico","Trifásico"))</f>
        <v>Monofásico</v>
      </c>
      <c r="I22" s="80" t="n">
        <f aca="false">'Divisão dos Circuitos'!K20</f>
        <v>7.58815426997245</v>
      </c>
      <c r="J22" s="80" t="n">
        <f aca="false">'Capac.Cond.Corre.'!E20</f>
        <v>1</v>
      </c>
      <c r="K22" s="80" t="n">
        <f aca="false">'Capac.Cond.Corre.'!G20</f>
        <v>1</v>
      </c>
      <c r="L22" s="84" t="n">
        <f aca="false">'Queda de Tensão'!H20</f>
        <v>42.9</v>
      </c>
      <c r="M22" s="80" t="n">
        <f aca="false">Sobrecarga!Q20</f>
        <v>2.5</v>
      </c>
      <c r="N22" s="95" t="n">
        <f aca="false">'Divisão dos Circuitos'!L20</f>
        <v>1</v>
      </c>
      <c r="O22" s="95" t="n">
        <f aca="false">'Divisão dos Circuitos'!M20</f>
        <v>10</v>
      </c>
      <c r="P22" s="95" t="n">
        <f aca="false">'Divisão dos Circuitos'!N20</f>
        <v>2</v>
      </c>
      <c r="Q22" s="95" t="n">
        <f aca="false">'Divisão dos Circuitos'!O20</f>
        <v>25</v>
      </c>
      <c r="R22" s="79" t="s">
        <v>280</v>
      </c>
      <c r="S22" s="80" t="n">
        <f aca="false">IF(ISNUMBER(SEARCH("R", R22)), I22, 0)</f>
        <v>0</v>
      </c>
      <c r="T22" s="80" t="n">
        <f aca="false">IF(ISNUMBER(SEARCH("S", R22)), I22, 0)</f>
        <v>7.58815426997245</v>
      </c>
      <c r="U22" s="80" t="n">
        <f aca="false">IF(ISNUMBER(SEARCH("T", R22)), I22, 0)</f>
        <v>0</v>
      </c>
    </row>
    <row r="23" customFormat="false" ht="15" hidden="false" customHeight="true" outlineLevel="0" collapsed="false">
      <c r="A23" s="79" t="str">
        <f aca="false">'Divisão dos Circuitos'!A21</f>
        <v>07 - TUGs</v>
      </c>
      <c r="B23" s="79" t="str">
        <f aca="false">'Divisão dos Circuitos'!C21</f>
        <v>QD2</v>
      </c>
      <c r="C23" s="79" t="str">
        <f aca="false">'Divisão dos Circuitos'!D21</f>
        <v>Sanitários Operacionais (BWC 1 e 2)</v>
      </c>
      <c r="D23" s="108" t="n">
        <f aca="false">'Divisão dos Circuitos'!H21</f>
        <v>960</v>
      </c>
      <c r="E23" s="108" t="n">
        <f aca="false">'Divisão dos Circuitos'!I21</f>
        <v>1200</v>
      </c>
      <c r="F23" s="108" t="n">
        <f aca="false">'Divisão dos Circuitos'!J21</f>
        <v>720</v>
      </c>
      <c r="G23" s="80" t="n">
        <f aca="false">'Divisão dos Circuitos'!G21</f>
        <v>0.8</v>
      </c>
      <c r="H23" s="84" t="str">
        <f aca="false">IF('Divisão dos Circuitos'!F21=1,"Monofásico",IF('Divisão dos Circuitos'!F21=2,"Bifásico","Trifásico"))</f>
        <v>Monofásico</v>
      </c>
      <c r="I23" s="80" t="n">
        <f aca="false">'Divisão dos Circuitos'!K21</f>
        <v>5.45454545454545</v>
      </c>
      <c r="J23" s="80" t="n">
        <f aca="false">'Capac.Cond.Corre.'!E21</f>
        <v>1</v>
      </c>
      <c r="K23" s="80" t="n">
        <f aca="false">'Capac.Cond.Corre.'!G21</f>
        <v>0.7</v>
      </c>
      <c r="L23" s="84" t="n">
        <f aca="false">'Queda de Tensão'!H21</f>
        <v>17.7</v>
      </c>
      <c r="M23" s="80" t="n">
        <f aca="false">Sobrecarga!Q21</f>
        <v>2.5</v>
      </c>
      <c r="N23" s="95" t="n">
        <f aca="false">'Divisão dos Circuitos'!L21</f>
        <v>1</v>
      </c>
      <c r="O23" s="95" t="n">
        <f aca="false">'Divisão dos Circuitos'!M21</f>
        <v>10</v>
      </c>
      <c r="P23" s="95" t="n">
        <f aca="false">'Divisão dos Circuitos'!N21</f>
        <v>2</v>
      </c>
      <c r="Q23" s="95" t="n">
        <f aca="false">'Divisão dos Circuitos'!O21</f>
        <v>25</v>
      </c>
      <c r="R23" s="79" t="s">
        <v>281</v>
      </c>
      <c r="S23" s="80" t="n">
        <f aca="false">IF(ISNUMBER(SEARCH("R", R23)), I23, 0)</f>
        <v>0</v>
      </c>
      <c r="T23" s="80" t="n">
        <f aca="false">IF(ISNUMBER(SEARCH("S", R23)), I23, 0)</f>
        <v>0</v>
      </c>
      <c r="U23" s="80" t="n">
        <f aca="false">IF(ISNUMBER(SEARCH("T", R23)), I23, 0)</f>
        <v>5.45454545454545</v>
      </c>
    </row>
    <row r="24" customFormat="false" ht="15" hidden="false" customHeight="true" outlineLevel="0" collapsed="false">
      <c r="A24" s="79" t="str">
        <f aca="false">'Divisão dos Circuitos'!A22</f>
        <v>16 - TUGs</v>
      </c>
      <c r="B24" s="79" t="str">
        <f aca="false">'Divisão dos Circuitos'!C22</f>
        <v>QD2</v>
      </c>
      <c r="C24" s="79" t="str">
        <f aca="false">'Divisão dos Circuitos'!D22</f>
        <v>Colagem e Montagem - Circuito 1</v>
      </c>
      <c r="D24" s="108" t="n">
        <f aca="false">'Divisão dos Circuitos'!H22</f>
        <v>1920</v>
      </c>
      <c r="E24" s="108" t="n">
        <f aca="false">'Divisão dos Circuitos'!I22</f>
        <v>2400</v>
      </c>
      <c r="F24" s="108" t="n">
        <f aca="false">'Divisão dos Circuitos'!J22</f>
        <v>1440</v>
      </c>
      <c r="G24" s="80" t="n">
        <f aca="false">'Divisão dos Circuitos'!G22</f>
        <v>0.8</v>
      </c>
      <c r="H24" s="84" t="str">
        <f aca="false">IF('Divisão dos Circuitos'!F22=1,"Monofásico",IF('Divisão dos Circuitos'!F22=2,"Bifásico","Trifásico"))</f>
        <v>Monofásico</v>
      </c>
      <c r="I24" s="80" t="n">
        <f aca="false">'Divisão dos Circuitos'!K22</f>
        <v>10.9090909090909</v>
      </c>
      <c r="J24" s="80" t="n">
        <f aca="false">'Capac.Cond.Corre.'!E22</f>
        <v>1</v>
      </c>
      <c r="K24" s="80" t="n">
        <f aca="false">'Capac.Cond.Corre.'!G22</f>
        <v>1</v>
      </c>
      <c r="L24" s="84" t="n">
        <f aca="false">'Queda de Tensão'!H22</f>
        <v>25.8</v>
      </c>
      <c r="M24" s="80" t="n">
        <f aca="false">Sobrecarga!Q22</f>
        <v>2.5</v>
      </c>
      <c r="N24" s="95" t="n">
        <f aca="false">'Divisão dos Circuitos'!L22</f>
        <v>1</v>
      </c>
      <c r="O24" s="95" t="n">
        <f aca="false">'Divisão dos Circuitos'!M22</f>
        <v>16</v>
      </c>
      <c r="P24" s="95" t="n">
        <f aca="false">'Divisão dos Circuitos'!N22</f>
        <v>2</v>
      </c>
      <c r="Q24" s="95" t="n">
        <f aca="false">'Divisão dos Circuitos'!O22</f>
        <v>25</v>
      </c>
      <c r="R24" s="79" t="s">
        <v>282</v>
      </c>
      <c r="S24" s="80" t="n">
        <f aca="false">IF(ISNUMBER(SEARCH("R", R24)), I24, 0)</f>
        <v>10.9090909090909</v>
      </c>
      <c r="T24" s="80" t="n">
        <f aca="false">IF(ISNUMBER(SEARCH("S", R24)), I24, 0)</f>
        <v>0</v>
      </c>
      <c r="U24" s="80" t="n">
        <f aca="false">IF(ISNUMBER(SEARCH("T", R24)), I24, 0)</f>
        <v>0</v>
      </c>
    </row>
    <row r="25" customFormat="false" ht="15" hidden="false" customHeight="true" outlineLevel="0" collapsed="false">
      <c r="A25" s="79" t="str">
        <f aca="false">'Divisão dos Circuitos'!A23</f>
        <v>17 - TUGs</v>
      </c>
      <c r="B25" s="79" t="str">
        <f aca="false">'Divisão dos Circuitos'!C23</f>
        <v>QD2</v>
      </c>
      <c r="C25" s="79" t="str">
        <f aca="false">'Divisão dos Circuitos'!D23</f>
        <v>Colagem e Montagem - Circuito 2</v>
      </c>
      <c r="D25" s="108" t="n">
        <f aca="false">'Divisão dos Circuitos'!H23</f>
        <v>1440</v>
      </c>
      <c r="E25" s="108" t="n">
        <f aca="false">'Divisão dos Circuitos'!I23</f>
        <v>1800</v>
      </c>
      <c r="F25" s="108" t="n">
        <f aca="false">'Divisão dos Circuitos'!J23</f>
        <v>1080</v>
      </c>
      <c r="G25" s="80" t="n">
        <f aca="false">'Divisão dos Circuitos'!G23</f>
        <v>0.8</v>
      </c>
      <c r="H25" s="84" t="str">
        <f aca="false">IF('Divisão dos Circuitos'!F23=1,"Monofásico",IF('Divisão dos Circuitos'!F23=2,"Bifásico","Trifásico"))</f>
        <v>Monofásico</v>
      </c>
      <c r="I25" s="80" t="n">
        <f aca="false">'Divisão dos Circuitos'!K23</f>
        <v>8.18181818181818</v>
      </c>
      <c r="J25" s="80" t="n">
        <f aca="false">'Capac.Cond.Corre.'!E23</f>
        <v>1</v>
      </c>
      <c r="K25" s="80" t="n">
        <f aca="false">'Capac.Cond.Corre.'!G23</f>
        <v>1</v>
      </c>
      <c r="L25" s="84" t="n">
        <f aca="false">'Queda de Tensão'!H23</f>
        <v>18.5</v>
      </c>
      <c r="M25" s="80" t="n">
        <f aca="false">Sobrecarga!Q23</f>
        <v>2.5</v>
      </c>
      <c r="N25" s="95" t="n">
        <f aca="false">'Divisão dos Circuitos'!L23</f>
        <v>1</v>
      </c>
      <c r="O25" s="95" t="n">
        <f aca="false">'Divisão dos Circuitos'!M23</f>
        <v>10</v>
      </c>
      <c r="P25" s="95" t="n">
        <f aca="false">'Divisão dos Circuitos'!N23</f>
        <v>2</v>
      </c>
      <c r="Q25" s="95" t="n">
        <f aca="false">'Divisão dos Circuitos'!O23</f>
        <v>25</v>
      </c>
      <c r="R25" s="79" t="s">
        <v>282</v>
      </c>
      <c r="S25" s="80" t="n">
        <f aca="false">IF(ISNUMBER(SEARCH("R", R25)), I25, 0)</f>
        <v>8.18181818181818</v>
      </c>
      <c r="T25" s="80" t="n">
        <f aca="false">IF(ISNUMBER(SEARCH("S", R25)), I25, 0)</f>
        <v>0</v>
      </c>
      <c r="U25" s="80" t="n">
        <f aca="false">IF(ISNUMBER(SEARCH("T", R25)), I25, 0)</f>
        <v>0</v>
      </c>
    </row>
    <row r="26" customFormat="false" ht="15" hidden="false" customHeight="true" outlineLevel="0" collapsed="false">
      <c r="A26" s="79" t="str">
        <f aca="false">'Divisão dos Circuitos'!A24</f>
        <v>18 - TUGs</v>
      </c>
      <c r="B26" s="79" t="str">
        <f aca="false">'Divisão dos Circuitos'!C24</f>
        <v>QD2</v>
      </c>
      <c r="C26" s="79" t="str">
        <f aca="false">'Divisão dos Circuitos'!D24</f>
        <v>Sistemas de Serra - Circuito 1</v>
      </c>
      <c r="D26" s="108" t="n">
        <f aca="false">'Divisão dos Circuitos'!H24</f>
        <v>1920</v>
      </c>
      <c r="E26" s="108" t="n">
        <f aca="false">'Divisão dos Circuitos'!I24</f>
        <v>2400</v>
      </c>
      <c r="F26" s="108" t="n">
        <f aca="false">'Divisão dos Circuitos'!J24</f>
        <v>1440</v>
      </c>
      <c r="G26" s="80" t="n">
        <f aca="false">'Divisão dos Circuitos'!G24</f>
        <v>0.8</v>
      </c>
      <c r="H26" s="84" t="str">
        <f aca="false">IF('Divisão dos Circuitos'!F24=1,"Monofásico",IF('Divisão dos Circuitos'!F24=2,"Bifásico","Trifásico"))</f>
        <v>Monofásico</v>
      </c>
      <c r="I26" s="80" t="n">
        <f aca="false">'Divisão dos Circuitos'!K24</f>
        <v>10.9090909090909</v>
      </c>
      <c r="J26" s="80" t="n">
        <f aca="false">'Capac.Cond.Corre.'!E24</f>
        <v>1</v>
      </c>
      <c r="K26" s="80" t="n">
        <f aca="false">'Capac.Cond.Corre.'!G24</f>
        <v>1</v>
      </c>
      <c r="L26" s="84" t="n">
        <f aca="false">'Queda de Tensão'!H24</f>
        <v>42.7</v>
      </c>
      <c r="M26" s="80" t="n">
        <f aca="false">Sobrecarga!Q24</f>
        <v>4</v>
      </c>
      <c r="N26" s="95" t="n">
        <f aca="false">'Divisão dos Circuitos'!L24</f>
        <v>1</v>
      </c>
      <c r="O26" s="95" t="n">
        <f aca="false">'Divisão dos Circuitos'!M24</f>
        <v>16</v>
      </c>
      <c r="P26" s="95" t="n">
        <f aca="false">'Divisão dos Circuitos'!N24</f>
        <v>2</v>
      </c>
      <c r="Q26" s="95" t="n">
        <f aca="false">'Divisão dos Circuitos'!O24</f>
        <v>25</v>
      </c>
      <c r="R26" s="79" t="s">
        <v>280</v>
      </c>
      <c r="S26" s="80" t="n">
        <f aca="false">IF(ISNUMBER(SEARCH("R", R26)), I26, 0)</f>
        <v>0</v>
      </c>
      <c r="T26" s="80" t="n">
        <f aca="false">IF(ISNUMBER(SEARCH("S", R26)), I26, 0)</f>
        <v>10.9090909090909</v>
      </c>
      <c r="U26" s="80" t="n">
        <f aca="false">IF(ISNUMBER(SEARCH("T", R26)), I26, 0)</f>
        <v>0</v>
      </c>
    </row>
    <row r="27" customFormat="false" ht="15.75" hidden="false" customHeight="true" outlineLevel="0" collapsed="false">
      <c r="A27" s="79" t="str">
        <f aca="false">'Divisão dos Circuitos'!A25</f>
        <v>19 - TUGs</v>
      </c>
      <c r="B27" s="79" t="str">
        <f aca="false">'Divisão dos Circuitos'!C25</f>
        <v>QD2</v>
      </c>
      <c r="C27" s="79" t="str">
        <f aca="false">'Divisão dos Circuitos'!D25</f>
        <v>Sistemas de Serra - Circuito 2</v>
      </c>
      <c r="D27" s="108" t="n">
        <f aca="false">'Divisão dos Circuitos'!H25</f>
        <v>1440</v>
      </c>
      <c r="E27" s="108" t="n">
        <f aca="false">'Divisão dos Circuitos'!I25</f>
        <v>1800</v>
      </c>
      <c r="F27" s="108" t="n">
        <f aca="false">'Divisão dos Circuitos'!J25</f>
        <v>1080</v>
      </c>
      <c r="G27" s="80" t="n">
        <f aca="false">'Divisão dos Circuitos'!G25</f>
        <v>0.8</v>
      </c>
      <c r="H27" s="84" t="str">
        <f aca="false">IF('Divisão dos Circuitos'!F25=1,"Monofásico",IF('Divisão dos Circuitos'!F25=2,"Bifásico","Trifásico"))</f>
        <v>Monofásico</v>
      </c>
      <c r="I27" s="80" t="n">
        <f aca="false">'Divisão dos Circuitos'!K25</f>
        <v>8.18181818181818</v>
      </c>
      <c r="J27" s="80" t="n">
        <f aca="false">'Capac.Cond.Corre.'!E25</f>
        <v>1</v>
      </c>
      <c r="K27" s="80" t="n">
        <f aca="false">'Capac.Cond.Corre.'!G25</f>
        <v>1</v>
      </c>
      <c r="L27" s="84" t="n">
        <f aca="false">'Queda de Tensão'!H25</f>
        <v>39.5</v>
      </c>
      <c r="M27" s="80" t="n">
        <f aca="false">Sobrecarga!Q25</f>
        <v>2.5</v>
      </c>
      <c r="N27" s="95" t="n">
        <f aca="false">'Divisão dos Circuitos'!L25</f>
        <v>1</v>
      </c>
      <c r="O27" s="95" t="n">
        <f aca="false">'Divisão dos Circuitos'!M25</f>
        <v>10</v>
      </c>
      <c r="P27" s="95" t="n">
        <f aca="false">'Divisão dos Circuitos'!N25</f>
        <v>2</v>
      </c>
      <c r="Q27" s="95" t="n">
        <f aca="false">'Divisão dos Circuitos'!O25</f>
        <v>25</v>
      </c>
      <c r="R27" s="79" t="s">
        <v>280</v>
      </c>
      <c r="S27" s="80" t="n">
        <f aca="false">IF(ISNUMBER(SEARCH("R", R27)), I27, 0)</f>
        <v>0</v>
      </c>
      <c r="T27" s="80" t="n">
        <f aca="false">IF(ISNUMBER(SEARCH("S", R27)), I27, 0)</f>
        <v>8.18181818181818</v>
      </c>
      <c r="U27" s="80" t="n">
        <f aca="false">IF(ISNUMBER(SEARCH("T", R27)), I27, 0)</f>
        <v>0</v>
      </c>
    </row>
    <row r="28" customFormat="false" ht="15.75" hidden="false" customHeight="true" outlineLevel="0" collapsed="false">
      <c r="A28" s="79" t="str">
        <f aca="false">'Divisão dos Circuitos'!A26</f>
        <v>20 - TUGs</v>
      </c>
      <c r="B28" s="79" t="str">
        <f aca="false">'Divisão dos Circuitos'!C26</f>
        <v>QD2</v>
      </c>
      <c r="C28" s="79" t="str">
        <f aca="false">'Divisão dos Circuitos'!D26</f>
        <v>Inspeção Final - Circuito 1</v>
      </c>
      <c r="D28" s="108" t="n">
        <f aca="false">'Divisão dos Circuitos'!H26</f>
        <v>1440</v>
      </c>
      <c r="E28" s="108" t="n">
        <f aca="false">'Divisão dos Circuitos'!I26</f>
        <v>1800</v>
      </c>
      <c r="F28" s="108" t="n">
        <f aca="false">'Divisão dos Circuitos'!J26</f>
        <v>1080</v>
      </c>
      <c r="G28" s="80" t="n">
        <f aca="false">'Divisão dos Circuitos'!G26</f>
        <v>0.8</v>
      </c>
      <c r="H28" s="84" t="str">
        <f aca="false">IF('Divisão dos Circuitos'!F26=1,"Monofásico",IF('Divisão dos Circuitos'!F26=2,"Bifásico","Trifásico"))</f>
        <v>Monofásico</v>
      </c>
      <c r="I28" s="80" t="n">
        <f aca="false">'Divisão dos Circuitos'!K26</f>
        <v>8.18181818181818</v>
      </c>
      <c r="J28" s="80" t="n">
        <f aca="false">'Capac.Cond.Corre.'!E26</f>
        <v>1</v>
      </c>
      <c r="K28" s="80" t="n">
        <f aca="false">'Capac.Cond.Corre.'!G26</f>
        <v>1</v>
      </c>
      <c r="L28" s="84" t="n">
        <f aca="false">'Queda de Tensão'!H26</f>
        <v>30.4</v>
      </c>
      <c r="M28" s="80" t="n">
        <f aca="false">Sobrecarga!Q26</f>
        <v>2.5</v>
      </c>
      <c r="N28" s="95" t="n">
        <f aca="false">'Divisão dos Circuitos'!L26</f>
        <v>1</v>
      </c>
      <c r="O28" s="95" t="n">
        <f aca="false">'Divisão dos Circuitos'!M26</f>
        <v>10</v>
      </c>
      <c r="P28" s="95" t="n">
        <f aca="false">'Divisão dos Circuitos'!N26</f>
        <v>2</v>
      </c>
      <c r="Q28" s="95" t="n">
        <f aca="false">'Divisão dos Circuitos'!O26</f>
        <v>25</v>
      </c>
      <c r="R28" s="79" t="s">
        <v>281</v>
      </c>
      <c r="S28" s="80" t="n">
        <f aca="false">IF(ISNUMBER(SEARCH("R", R28)), I28, 0)</f>
        <v>0</v>
      </c>
      <c r="T28" s="80" t="n">
        <f aca="false">IF(ISNUMBER(SEARCH("S", R28)), I28, 0)</f>
        <v>0</v>
      </c>
      <c r="U28" s="80" t="n">
        <f aca="false">IF(ISNUMBER(SEARCH("T", R28)), I28, 0)</f>
        <v>8.18181818181818</v>
      </c>
    </row>
    <row r="29" customFormat="false" ht="15.75" hidden="false" customHeight="true" outlineLevel="0" collapsed="false">
      <c r="A29" s="79" t="str">
        <f aca="false">'Divisão dos Circuitos'!A27</f>
        <v>21 - TUGs</v>
      </c>
      <c r="B29" s="79" t="str">
        <f aca="false">'Divisão dos Circuitos'!C27</f>
        <v>QD2</v>
      </c>
      <c r="C29" s="79" t="str">
        <f aca="false">'Divisão dos Circuitos'!D27</f>
        <v>Inspeção Final - Circuito 2</v>
      </c>
      <c r="D29" s="108" t="n">
        <f aca="false">'Divisão dos Circuitos'!H27</f>
        <v>1440</v>
      </c>
      <c r="E29" s="108" t="n">
        <f aca="false">'Divisão dos Circuitos'!I27</f>
        <v>1800</v>
      </c>
      <c r="F29" s="108" t="n">
        <f aca="false">'Divisão dos Circuitos'!J27</f>
        <v>1080</v>
      </c>
      <c r="G29" s="80" t="n">
        <f aca="false">'Divisão dos Circuitos'!G27</f>
        <v>0.8</v>
      </c>
      <c r="H29" s="84" t="str">
        <f aca="false">IF('Divisão dos Circuitos'!F27=1,"Monofásico",IF('Divisão dos Circuitos'!F27=2,"Bifásico","Trifásico"))</f>
        <v>Monofásico</v>
      </c>
      <c r="I29" s="80" t="n">
        <f aca="false">'Divisão dos Circuitos'!K27</f>
        <v>8.18181818181818</v>
      </c>
      <c r="J29" s="80" t="n">
        <f aca="false">'Capac.Cond.Corre.'!E27</f>
        <v>1</v>
      </c>
      <c r="K29" s="80" t="n">
        <f aca="false">'Capac.Cond.Corre.'!G27</f>
        <v>1</v>
      </c>
      <c r="L29" s="84" t="n">
        <f aca="false">'Queda de Tensão'!H27</f>
        <v>34.4</v>
      </c>
      <c r="M29" s="80" t="n">
        <f aca="false">Sobrecarga!Q27</f>
        <v>2.5</v>
      </c>
      <c r="N29" s="95" t="n">
        <f aca="false">'Divisão dos Circuitos'!L27</f>
        <v>1</v>
      </c>
      <c r="O29" s="95" t="n">
        <f aca="false">'Divisão dos Circuitos'!M27</f>
        <v>10</v>
      </c>
      <c r="P29" s="95" t="n">
        <f aca="false">'Divisão dos Circuitos'!N27</f>
        <v>2</v>
      </c>
      <c r="Q29" s="95" t="n">
        <f aca="false">'Divisão dos Circuitos'!O27</f>
        <v>25</v>
      </c>
      <c r="R29" s="79" t="s">
        <v>282</v>
      </c>
      <c r="S29" s="80" t="n">
        <f aca="false">IF(ISNUMBER(SEARCH("R", R29)), I29, 0)</f>
        <v>8.18181818181818</v>
      </c>
      <c r="T29" s="80" t="n">
        <f aca="false">IF(ISNUMBER(SEARCH("S", R29)), I29, 0)</f>
        <v>0</v>
      </c>
      <c r="U29" s="80" t="n">
        <f aca="false">IF(ISNUMBER(SEARCH("T", R29)), I29, 0)</f>
        <v>0</v>
      </c>
    </row>
    <row r="30" customFormat="false" ht="15.75" hidden="false" customHeight="true" outlineLevel="0" collapsed="false">
      <c r="A30" s="79" t="str">
        <f aca="false">'Divisão dos Circuitos'!A28</f>
        <v>24 - TUGs Trifásicas</v>
      </c>
      <c r="B30" s="79" t="str">
        <f aca="false">'Divisão dos Circuitos'!C28</f>
        <v>QD2</v>
      </c>
      <c r="C30" s="79" t="str">
        <f aca="false">'Divisão dos Circuitos'!D28</f>
        <v>Colagem e Montagem - Circuito 1</v>
      </c>
      <c r="D30" s="108" t="n">
        <f aca="false">'Divisão dos Circuitos'!H28</f>
        <v>9600</v>
      </c>
      <c r="E30" s="108" t="n">
        <f aca="false">'Divisão dos Circuitos'!I28</f>
        <v>12000</v>
      </c>
      <c r="F30" s="108" t="n">
        <f aca="false">'Divisão dos Circuitos'!J28</f>
        <v>7200</v>
      </c>
      <c r="G30" s="80" t="n">
        <f aca="false">'Divisão dos Circuitos'!G28</f>
        <v>0.8</v>
      </c>
      <c r="H30" s="84" t="str">
        <f aca="false">IF('Divisão dos Circuitos'!F28=1,"Monofásico",IF('Divisão dos Circuitos'!F28=2,"Bifásico","Trifásico"))</f>
        <v>Trifásico</v>
      </c>
      <c r="I30" s="80" t="n">
        <f aca="false">'Divisão dos Circuitos'!K28</f>
        <v>18.2321137638829</v>
      </c>
      <c r="J30" s="80" t="n">
        <f aca="false">'Capac.Cond.Corre.'!E28</f>
        <v>1</v>
      </c>
      <c r="K30" s="80" t="n">
        <f aca="false">'Capac.Cond.Corre.'!G28</f>
        <v>1</v>
      </c>
      <c r="L30" s="84" t="n">
        <f aca="false">'Queda de Tensão'!H28</f>
        <v>23.9</v>
      </c>
      <c r="M30" s="80" t="n">
        <f aca="false">Sobrecarga!Q28</f>
        <v>2.5</v>
      </c>
      <c r="N30" s="95" t="n">
        <f aca="false">'Divisão dos Circuitos'!L28</f>
        <v>3</v>
      </c>
      <c r="O30" s="95" t="n">
        <f aca="false">'Divisão dos Circuitos'!M28</f>
        <v>20</v>
      </c>
      <c r="P30" s="95" t="n">
        <f aca="false">'Divisão dos Circuitos'!N28</f>
        <v>4</v>
      </c>
      <c r="Q30" s="95" t="n">
        <f aca="false">'Divisão dos Circuitos'!O28</f>
        <v>25</v>
      </c>
      <c r="R30" s="79" t="s">
        <v>283</v>
      </c>
      <c r="S30" s="80" t="n">
        <f aca="false">IF(ISNUMBER(SEARCH("R", R30)), I30, 0)</f>
        <v>18.2321137638829</v>
      </c>
      <c r="T30" s="80" t="n">
        <f aca="false">IF(ISNUMBER(SEARCH("S", R30)), I30, 0)</f>
        <v>18.2321137638829</v>
      </c>
      <c r="U30" s="80" t="n">
        <f aca="false">IF(ISNUMBER(SEARCH("T", R30)), I30, 0)</f>
        <v>18.2321137638829</v>
      </c>
    </row>
    <row r="31" customFormat="false" ht="15.75" hidden="false" customHeight="true" outlineLevel="0" collapsed="false">
      <c r="A31" s="79" t="str">
        <f aca="false">'Divisão dos Circuitos'!A29</f>
        <v>25 - TUGs Trifásicas</v>
      </c>
      <c r="B31" s="79" t="str">
        <f aca="false">'Divisão dos Circuitos'!C29</f>
        <v>QD2</v>
      </c>
      <c r="C31" s="79" t="str">
        <f aca="false">'Divisão dos Circuitos'!D29</f>
        <v>Colagem e Montagem - Circuito 2</v>
      </c>
      <c r="D31" s="108" t="n">
        <f aca="false">'Divisão dos Circuitos'!H29</f>
        <v>9600</v>
      </c>
      <c r="E31" s="108" t="n">
        <f aca="false">'Divisão dos Circuitos'!I29</f>
        <v>12000</v>
      </c>
      <c r="F31" s="108" t="n">
        <f aca="false">'Divisão dos Circuitos'!J29</f>
        <v>7200</v>
      </c>
      <c r="G31" s="80" t="n">
        <f aca="false">'Divisão dos Circuitos'!G29</f>
        <v>0.8</v>
      </c>
      <c r="H31" s="84" t="str">
        <f aca="false">IF('Divisão dos Circuitos'!F29=1,"Monofásico",IF('Divisão dos Circuitos'!F29=2,"Bifásico","Trifásico"))</f>
        <v>Trifásico</v>
      </c>
      <c r="I31" s="80" t="n">
        <f aca="false">'Divisão dos Circuitos'!K29</f>
        <v>18.2321137638829</v>
      </c>
      <c r="J31" s="80" t="n">
        <f aca="false">'Capac.Cond.Corre.'!E29</f>
        <v>1</v>
      </c>
      <c r="K31" s="80" t="n">
        <f aca="false">'Capac.Cond.Corre.'!G29</f>
        <v>1</v>
      </c>
      <c r="L31" s="84" t="n">
        <f aca="false">'Queda de Tensão'!H29</f>
        <v>16.6</v>
      </c>
      <c r="M31" s="80" t="n">
        <f aca="false">Sobrecarga!Q29</f>
        <v>2.5</v>
      </c>
      <c r="N31" s="95" t="n">
        <f aca="false">'Divisão dos Circuitos'!L29</f>
        <v>3</v>
      </c>
      <c r="O31" s="95" t="n">
        <f aca="false">'Divisão dos Circuitos'!M29</f>
        <v>20</v>
      </c>
      <c r="P31" s="95" t="n">
        <f aca="false">'Divisão dos Circuitos'!N29</f>
        <v>4</v>
      </c>
      <c r="Q31" s="95" t="n">
        <f aca="false">'Divisão dos Circuitos'!O29</f>
        <v>25</v>
      </c>
      <c r="R31" s="79" t="s">
        <v>283</v>
      </c>
      <c r="S31" s="80" t="n">
        <f aca="false">IF(ISNUMBER(SEARCH("R", R31)), I31, 0)</f>
        <v>18.2321137638829</v>
      </c>
      <c r="T31" s="80" t="n">
        <f aca="false">IF(ISNUMBER(SEARCH("S", R31)), I31, 0)</f>
        <v>18.2321137638829</v>
      </c>
      <c r="U31" s="80" t="n">
        <f aca="false">IF(ISNUMBER(SEARCH("T", R31)), I31, 0)</f>
        <v>18.2321137638829</v>
      </c>
    </row>
    <row r="32" customFormat="false" ht="15.75" hidden="false" customHeight="true" outlineLevel="0" collapsed="false">
      <c r="A32" s="79" t="str">
        <f aca="false">'Divisão dos Circuitos'!A30</f>
        <v>26 - TUGs Trifásicas</v>
      </c>
      <c r="B32" s="79" t="str">
        <f aca="false">'Divisão dos Circuitos'!C30</f>
        <v>QD2</v>
      </c>
      <c r="C32" s="79" t="str">
        <f aca="false">'Divisão dos Circuitos'!D30</f>
        <v>Sistemas de Serra - Circuito 1</v>
      </c>
      <c r="D32" s="108" t="n">
        <f aca="false">'Divisão dos Circuitos'!H30</f>
        <v>9600</v>
      </c>
      <c r="E32" s="108" t="n">
        <f aca="false">'Divisão dos Circuitos'!I30</f>
        <v>12000</v>
      </c>
      <c r="F32" s="108" t="n">
        <f aca="false">'Divisão dos Circuitos'!J30</f>
        <v>7200</v>
      </c>
      <c r="G32" s="80" t="n">
        <f aca="false">'Divisão dos Circuitos'!G30</f>
        <v>0.8</v>
      </c>
      <c r="H32" s="84" t="str">
        <f aca="false">IF('Divisão dos Circuitos'!F30=1,"Monofásico",IF('Divisão dos Circuitos'!F30=2,"Bifásico","Trifásico"))</f>
        <v>Trifásico</v>
      </c>
      <c r="I32" s="80" t="n">
        <f aca="false">'Divisão dos Circuitos'!K30</f>
        <v>18.2321137638829</v>
      </c>
      <c r="J32" s="80" t="n">
        <f aca="false">'Capac.Cond.Corre.'!E30</f>
        <v>1</v>
      </c>
      <c r="K32" s="80" t="n">
        <f aca="false">'Capac.Cond.Corre.'!G30</f>
        <v>1</v>
      </c>
      <c r="L32" s="84" t="n">
        <f aca="false">'Queda de Tensão'!H30</f>
        <v>44.3</v>
      </c>
      <c r="M32" s="80" t="n">
        <f aca="false">Sobrecarga!Q30</f>
        <v>4</v>
      </c>
      <c r="N32" s="95" t="n">
        <f aca="false">'Divisão dos Circuitos'!L30</f>
        <v>3</v>
      </c>
      <c r="O32" s="95" t="n">
        <f aca="false">'Divisão dos Circuitos'!M30</f>
        <v>20</v>
      </c>
      <c r="P32" s="95" t="n">
        <f aca="false">'Divisão dos Circuitos'!N30</f>
        <v>4</v>
      </c>
      <c r="Q32" s="95" t="n">
        <f aca="false">'Divisão dos Circuitos'!O30</f>
        <v>25</v>
      </c>
      <c r="R32" s="79" t="s">
        <v>283</v>
      </c>
      <c r="S32" s="80" t="n">
        <f aca="false">IF(ISNUMBER(SEARCH("R", R32)), I32, 0)</f>
        <v>18.2321137638829</v>
      </c>
      <c r="T32" s="80" t="n">
        <f aca="false">IF(ISNUMBER(SEARCH("S", R32)), I32, 0)</f>
        <v>18.2321137638829</v>
      </c>
      <c r="U32" s="80" t="n">
        <f aca="false">IF(ISNUMBER(SEARCH("T", R32)), I32, 0)</f>
        <v>18.2321137638829</v>
      </c>
    </row>
    <row r="33" customFormat="false" ht="15.75" hidden="false" customHeight="true" outlineLevel="0" collapsed="false">
      <c r="A33" s="79" t="str">
        <f aca="false">'Divisão dos Circuitos'!A31</f>
        <v>27 - TUGs Trifásicas</v>
      </c>
      <c r="B33" s="79" t="str">
        <f aca="false">'Divisão dos Circuitos'!C31</f>
        <v>QD2</v>
      </c>
      <c r="C33" s="79" t="str">
        <f aca="false">'Divisão dos Circuitos'!D31</f>
        <v>Inspeção Final</v>
      </c>
      <c r="D33" s="108" t="n">
        <f aca="false">'Divisão dos Circuitos'!H31</f>
        <v>14400</v>
      </c>
      <c r="E33" s="108" t="n">
        <f aca="false">'Divisão dos Circuitos'!I31</f>
        <v>18000</v>
      </c>
      <c r="F33" s="108" t="n">
        <f aca="false">'Divisão dos Circuitos'!J31</f>
        <v>10800</v>
      </c>
      <c r="G33" s="80" t="n">
        <f aca="false">'Divisão dos Circuitos'!G31</f>
        <v>0.8</v>
      </c>
      <c r="H33" s="84" t="str">
        <f aca="false">IF('Divisão dos Circuitos'!F31=1,"Monofásico",IF('Divisão dos Circuitos'!F31=2,"Bifásico","Trifásico"))</f>
        <v>Trifásico</v>
      </c>
      <c r="I33" s="80" t="n">
        <f aca="false">'Divisão dos Circuitos'!K31</f>
        <v>27.3481706458244</v>
      </c>
      <c r="J33" s="80" t="n">
        <f aca="false">'Capac.Cond.Corre.'!E31</f>
        <v>1</v>
      </c>
      <c r="K33" s="80" t="n">
        <f aca="false">'Capac.Cond.Corre.'!G31</f>
        <v>1</v>
      </c>
      <c r="L33" s="84" t="n">
        <f aca="false">'Queda de Tensão'!H31</f>
        <v>28.4</v>
      </c>
      <c r="M33" s="80" t="n">
        <f aca="false">Sobrecarga!Q31</f>
        <v>6</v>
      </c>
      <c r="N33" s="95" t="n">
        <f aca="false">'Divisão dos Circuitos'!L31</f>
        <v>3</v>
      </c>
      <c r="O33" s="95" t="n">
        <f aca="false">'Divisão dos Circuitos'!M31</f>
        <v>32</v>
      </c>
      <c r="P33" s="95" t="n">
        <f aca="false">'Divisão dos Circuitos'!N31</f>
        <v>4</v>
      </c>
      <c r="Q33" s="95" t="n">
        <f aca="false">'Divisão dos Circuitos'!O31</f>
        <v>40</v>
      </c>
      <c r="R33" s="79" t="s">
        <v>283</v>
      </c>
      <c r="S33" s="80" t="n">
        <f aca="false">IF(ISNUMBER(SEARCH("R", R33)), I33, 0)</f>
        <v>27.3481706458244</v>
      </c>
      <c r="T33" s="80" t="n">
        <f aca="false">IF(ISNUMBER(SEARCH("S", R33)), I33, 0)</f>
        <v>27.3481706458244</v>
      </c>
      <c r="U33" s="80" t="n">
        <f aca="false">IF(ISNUMBER(SEARCH("T", R33)), I33, 0)</f>
        <v>27.3481706458244</v>
      </c>
    </row>
    <row r="34" customFormat="false" ht="15.75" hidden="false" customHeight="true" outlineLevel="0" collapsed="false">
      <c r="A34" s="79" t="str">
        <f aca="false">'Divisão dos Circuitos'!A32</f>
        <v>30 - TUE</v>
      </c>
      <c r="B34" s="79" t="str">
        <f aca="false">'Divisão dos Circuitos'!C32</f>
        <v>QD2</v>
      </c>
      <c r="C34" s="79" t="str">
        <f aca="false">'Divisão dos Circuitos'!D32</f>
        <v>Secadores de Mãos - BWC 1 e 2</v>
      </c>
      <c r="D34" s="108" t="n">
        <f aca="false">'Divisão dos Circuitos'!H32</f>
        <v>3000</v>
      </c>
      <c r="E34" s="108" t="n">
        <f aca="false">'Divisão dos Circuitos'!I32</f>
        <v>3061.22448979592</v>
      </c>
      <c r="F34" s="108" t="n">
        <f aca="false">'Divisão dos Circuitos'!J32</f>
        <v>609.175981902014</v>
      </c>
      <c r="G34" s="80" t="n">
        <f aca="false">'Divisão dos Circuitos'!G32</f>
        <v>0.98</v>
      </c>
      <c r="H34" s="84" t="str">
        <f aca="false">IF('Divisão dos Circuitos'!F32=1,"Monofásico",IF('Divisão dos Circuitos'!F32=2,"Bifásico","Trifásico"))</f>
        <v>Monofásico</v>
      </c>
      <c r="I34" s="80" t="n">
        <f aca="false">'Divisão dos Circuitos'!K32</f>
        <v>13.9146567717996</v>
      </c>
      <c r="J34" s="80" t="n">
        <f aca="false">'Capac.Cond.Corre.'!E32</f>
        <v>1</v>
      </c>
      <c r="K34" s="80" t="n">
        <f aca="false">'Capac.Cond.Corre.'!G32</f>
        <v>0.7</v>
      </c>
      <c r="L34" s="84" t="n">
        <f aca="false">'Queda de Tensão'!H32</f>
        <v>15</v>
      </c>
      <c r="M34" s="80" t="n">
        <f aca="false">Sobrecarga!Q32</f>
        <v>2.5</v>
      </c>
      <c r="N34" s="95" t="n">
        <f aca="false">'Divisão dos Circuitos'!L32</f>
        <v>1</v>
      </c>
      <c r="O34" s="95" t="n">
        <f aca="false">'Divisão dos Circuitos'!M32</f>
        <v>16</v>
      </c>
      <c r="P34" s="95" t="n">
        <f aca="false">'Divisão dos Circuitos'!N32</f>
        <v>2</v>
      </c>
      <c r="Q34" s="95" t="n">
        <f aca="false">'Divisão dos Circuitos'!O32</f>
        <v>25</v>
      </c>
      <c r="R34" s="79" t="s">
        <v>281</v>
      </c>
      <c r="S34" s="80" t="n">
        <f aca="false">IF(ISNUMBER(SEARCH("R", R34)), I34, 0)</f>
        <v>0</v>
      </c>
      <c r="T34" s="80" t="n">
        <f aca="false">IF(ISNUMBER(SEARCH("S", R34)), I34, 0)</f>
        <v>0</v>
      </c>
      <c r="U34" s="80" t="n">
        <f aca="false">IF(ISNUMBER(SEARCH("T", R34)), I34, 0)</f>
        <v>13.9146567717996</v>
      </c>
    </row>
    <row r="35" customFormat="false" ht="15.75" hidden="false" customHeight="true" outlineLevel="0" collapsed="false">
      <c r="A35" s="79" t="str">
        <f aca="false">'Divisão dos Circuitos'!A33</f>
        <v>40 - TUGs Trifásicas</v>
      </c>
      <c r="B35" s="79" t="str">
        <f aca="false">'Divisão dos Circuitos'!C33</f>
        <v>QD2</v>
      </c>
      <c r="C35" s="79" t="str">
        <f aca="false">'Divisão dos Circuitos'!D33</f>
        <v>Sistemas de Serra - Circuito 2</v>
      </c>
      <c r="D35" s="108" t="n">
        <f aca="false">'Divisão dos Circuitos'!H33</f>
        <v>9600</v>
      </c>
      <c r="E35" s="108" t="n">
        <f aca="false">'Divisão dos Circuitos'!I33</f>
        <v>12000</v>
      </c>
      <c r="F35" s="108" t="n">
        <f aca="false">'Divisão dos Circuitos'!J33</f>
        <v>7200</v>
      </c>
      <c r="G35" s="80" t="n">
        <f aca="false">'Divisão dos Circuitos'!G33</f>
        <v>0.8</v>
      </c>
      <c r="H35" s="84" t="str">
        <f aca="false">IF('Divisão dos Circuitos'!F33=1,"Monofásico",IF('Divisão dos Circuitos'!F33=2,"Bifásico","Trifásico"))</f>
        <v>Trifásico</v>
      </c>
      <c r="I35" s="80" t="n">
        <f aca="false">'Divisão dos Circuitos'!K33</f>
        <v>18.2321137638829</v>
      </c>
      <c r="J35" s="80" t="n">
        <f aca="false">'Capac.Cond.Corre.'!E33</f>
        <v>1</v>
      </c>
      <c r="K35" s="80" t="n">
        <f aca="false">'Capac.Cond.Corre.'!G33</f>
        <v>1</v>
      </c>
      <c r="L35" s="84" t="n">
        <f aca="false">'Queda de Tensão'!H33</f>
        <v>41.1</v>
      </c>
      <c r="M35" s="80" t="n">
        <f aca="false">Sobrecarga!Q33</f>
        <v>2.5</v>
      </c>
      <c r="N35" s="95" t="n">
        <f aca="false">'Divisão dos Circuitos'!L33</f>
        <v>3</v>
      </c>
      <c r="O35" s="95" t="n">
        <f aca="false">'Divisão dos Circuitos'!M33</f>
        <v>20</v>
      </c>
      <c r="P35" s="95" t="n">
        <f aca="false">'Divisão dos Circuitos'!N33</f>
        <v>4</v>
      </c>
      <c r="Q35" s="95" t="n">
        <f aca="false">'Divisão dos Circuitos'!O33</f>
        <v>25</v>
      </c>
      <c r="R35" s="79" t="s">
        <v>283</v>
      </c>
      <c r="S35" s="80" t="n">
        <f aca="false">IF(ISNUMBER(SEARCH("R", R35)), I35, 0)</f>
        <v>18.2321137638829</v>
      </c>
      <c r="T35" s="80" t="n">
        <f aca="false">IF(ISNUMBER(SEARCH("S", R35)), I35, 0)</f>
        <v>18.2321137638829</v>
      </c>
      <c r="U35" s="80" t="n">
        <f aca="false">IF(ISNUMBER(SEARCH("T", R35)), I35, 0)</f>
        <v>18.2321137638829</v>
      </c>
    </row>
    <row r="36" customFormat="false" ht="15.75" hidden="false" customHeight="true" outlineLevel="0" collapsed="false">
      <c r="A36" s="79" t="str">
        <f aca="false">'Divisão dos Circuitos'!A34</f>
        <v>48 - TUE Bancada 5</v>
      </c>
      <c r="B36" s="79" t="str">
        <f aca="false">'Divisão dos Circuitos'!C34</f>
        <v>QD2</v>
      </c>
      <c r="C36" s="79" t="str">
        <f aca="false">'Divisão dos Circuitos'!D34</f>
        <v>Bancada 5</v>
      </c>
      <c r="D36" s="108" t="n">
        <f aca="false">'Divisão dos Circuitos'!H34</f>
        <v>2240</v>
      </c>
      <c r="E36" s="108" t="n">
        <f aca="false">'Divisão dos Circuitos'!I34</f>
        <v>2800</v>
      </c>
      <c r="F36" s="108" t="n">
        <f aca="false">'Divisão dos Circuitos'!J34</f>
        <v>1680</v>
      </c>
      <c r="G36" s="80" t="n">
        <f aca="false">'Divisão dos Circuitos'!G34</f>
        <v>0.8</v>
      </c>
      <c r="H36" s="84" t="str">
        <f aca="false">IF('Divisão dos Circuitos'!F34=1,"Monofásico",IF('Divisão dos Circuitos'!F34=2,"Bifásico","Trifásico"))</f>
        <v>Monofásico</v>
      </c>
      <c r="I36" s="80" t="n">
        <f aca="false">'Divisão dos Circuitos'!K34</f>
        <v>12.7272727272727</v>
      </c>
      <c r="J36" s="80" t="n">
        <f aca="false">'Capac.Cond.Corre.'!E34</f>
        <v>1</v>
      </c>
      <c r="K36" s="80" t="n">
        <f aca="false">'Capac.Cond.Corre.'!G34</f>
        <v>1</v>
      </c>
      <c r="L36" s="84" t="n">
        <f aca="false">'Queda de Tensão'!H34</f>
        <v>31</v>
      </c>
      <c r="M36" s="80" t="n">
        <f aca="false">Sobrecarga!Q34</f>
        <v>4</v>
      </c>
      <c r="N36" s="95" t="n">
        <f aca="false">'Divisão dos Circuitos'!L34</f>
        <v>1</v>
      </c>
      <c r="O36" s="95" t="n">
        <f aca="false">'Divisão dos Circuitos'!M34</f>
        <v>16</v>
      </c>
      <c r="P36" s="95" t="n">
        <f aca="false">'Divisão dos Circuitos'!N34</f>
        <v>2</v>
      </c>
      <c r="Q36" s="95" t="n">
        <f aca="false">'Divisão dos Circuitos'!O34</f>
        <v>25</v>
      </c>
      <c r="R36" s="79" t="s">
        <v>281</v>
      </c>
      <c r="S36" s="80" t="n">
        <f aca="false">IF(ISNUMBER(SEARCH("R", R36)), I36, 0)</f>
        <v>0</v>
      </c>
      <c r="T36" s="80" t="n">
        <f aca="false">IF(ISNUMBER(SEARCH("S", R36)), I36, 0)</f>
        <v>0</v>
      </c>
      <c r="U36" s="80" t="n">
        <f aca="false">IF(ISNUMBER(SEARCH("T", R36)), I36, 0)</f>
        <v>12.7272727272727</v>
      </c>
    </row>
    <row r="37" customFormat="false" ht="15.75" hidden="false" customHeight="true" outlineLevel="0" collapsed="false">
      <c r="A37" s="79" t="str">
        <f aca="false">'Divisão dos Circuitos'!A35</f>
        <v>49 - TUE Bancada 6</v>
      </c>
      <c r="B37" s="79" t="str">
        <f aca="false">'Divisão dos Circuitos'!C35</f>
        <v>QD2</v>
      </c>
      <c r="C37" s="79" t="str">
        <f aca="false">'Divisão dos Circuitos'!D35</f>
        <v>Bancada 6</v>
      </c>
      <c r="D37" s="108" t="n">
        <f aca="false">'Divisão dos Circuitos'!H35</f>
        <v>5440</v>
      </c>
      <c r="E37" s="108" t="n">
        <f aca="false">'Divisão dos Circuitos'!I35</f>
        <v>6800</v>
      </c>
      <c r="F37" s="108" t="n">
        <f aca="false">'Divisão dos Circuitos'!J35</f>
        <v>4080</v>
      </c>
      <c r="G37" s="80" t="n">
        <f aca="false">'Divisão dos Circuitos'!G35</f>
        <v>0.8</v>
      </c>
      <c r="H37" s="84" t="str">
        <f aca="false">IF('Divisão dos Circuitos'!F35=1,"Monofásico",IF('Divisão dos Circuitos'!F35=2,"Bifásico","Trifásico"))</f>
        <v>Bifásico</v>
      </c>
      <c r="I37" s="80" t="n">
        <f aca="false">'Divisão dos Circuitos'!K35</f>
        <v>17.8947368421053</v>
      </c>
      <c r="J37" s="80" t="n">
        <f aca="false">'Capac.Cond.Corre.'!E35</f>
        <v>1</v>
      </c>
      <c r="K37" s="80" t="n">
        <f aca="false">'Capac.Cond.Corre.'!G35</f>
        <v>1</v>
      </c>
      <c r="L37" s="84" t="n">
        <f aca="false">'Queda de Tensão'!H35</f>
        <v>36</v>
      </c>
      <c r="M37" s="80" t="n">
        <f aca="false">Sobrecarga!Q35</f>
        <v>2.5</v>
      </c>
      <c r="N37" s="95" t="n">
        <f aca="false">'Divisão dos Circuitos'!L35</f>
        <v>2</v>
      </c>
      <c r="O37" s="95" t="n">
        <f aca="false">'Divisão dos Circuitos'!M35</f>
        <v>20</v>
      </c>
      <c r="P37" s="95" t="n">
        <f aca="false">'Divisão dos Circuitos'!N35</f>
        <v>2</v>
      </c>
      <c r="Q37" s="95" t="n">
        <f aca="false">'Divisão dos Circuitos'!O35</f>
        <v>25</v>
      </c>
      <c r="R37" s="79" t="s">
        <v>286</v>
      </c>
      <c r="S37" s="80" t="n">
        <f aca="false">IF(ISNUMBER(SEARCH("R", R37)), I37, 0)</f>
        <v>17.8947368421053</v>
      </c>
      <c r="T37" s="80" t="n">
        <f aca="false">IF(ISNUMBER(SEARCH("S", R37)), I37, 0)</f>
        <v>17.8947368421053</v>
      </c>
      <c r="U37" s="80" t="n">
        <f aca="false">IF(ISNUMBER(SEARCH("T", R37)), I37, 0)</f>
        <v>0</v>
      </c>
    </row>
    <row r="38" customFormat="false" ht="15.75" hidden="false" customHeight="true" outlineLevel="0" collapsed="false">
      <c r="A38" s="109" t="s">
        <v>287</v>
      </c>
      <c r="B38" s="109"/>
      <c r="C38" s="109"/>
      <c r="D38" s="110" t="n">
        <f aca="false">SUM(D21:D37)</f>
        <v>77625.1</v>
      </c>
      <c r="E38" s="110" t="n">
        <f aca="false">SUM(E21:E37)</f>
        <v>95482.5376211091</v>
      </c>
      <c r="F38" s="110" t="n">
        <f aca="false">SUM(F21:F37)</f>
        <v>54400.0250643333</v>
      </c>
      <c r="G38" s="111"/>
      <c r="H38" s="112"/>
      <c r="I38" s="111"/>
      <c r="J38" s="111"/>
      <c r="K38" s="111"/>
      <c r="L38" s="112"/>
      <c r="M38" s="111"/>
      <c r="N38" s="109" t="s">
        <v>285</v>
      </c>
      <c r="O38" s="109"/>
      <c r="P38" s="109"/>
      <c r="Q38" s="109"/>
      <c r="R38" s="109"/>
      <c r="S38" s="111" t="n">
        <f aca="false">SUM(S21:S37)</f>
        <v>145.444089816189</v>
      </c>
      <c r="T38" s="111" t="n">
        <f aca="false">SUM(T21:T37)</f>
        <v>144.850425904343</v>
      </c>
      <c r="U38" s="111" t="n">
        <f aca="false">SUM(U21:U37)</f>
        <v>149.427278800061</v>
      </c>
    </row>
    <row r="39" customFormat="false" ht="15.75" hidden="false" customHeight="true" outlineLevel="0" collapsed="false">
      <c r="A39" s="107" t="s">
        <v>168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</row>
    <row r="40" customFormat="false" ht="15.75" hidden="false" customHeight="true" outlineLevel="0" collapsed="false">
      <c r="A40" s="79" t="str">
        <f aca="false">'Divisão dos Circuitos'!A37</f>
        <v>03 - Iluminação</v>
      </c>
      <c r="B40" s="79" t="str">
        <f aca="false">'Divisão dos Circuitos'!C37</f>
        <v>QD3</v>
      </c>
      <c r="C40" s="79" t="str">
        <f aca="false">'Divisão dos Circuitos'!D37</f>
        <v>Sala de Estar, Reuniões, Recepção, Copa</v>
      </c>
      <c r="D40" s="108" t="n">
        <f aca="false">'Divisão dos Circuitos'!H37</f>
        <v>1940.4</v>
      </c>
      <c r="E40" s="108" t="n">
        <f aca="false">'Divisão dos Circuitos'!I37</f>
        <v>1960</v>
      </c>
      <c r="F40" s="108" t="n">
        <f aca="false">'Divisão dos Circuitos'!J37</f>
        <v>276.492025201451</v>
      </c>
      <c r="G40" s="80" t="n">
        <f aca="false">'Divisão dos Circuitos'!G37</f>
        <v>0.99</v>
      </c>
      <c r="H40" s="84" t="str">
        <f aca="false">IF('Divisão dos Circuitos'!F37=1,"Monofásico",IF('Divisão dos Circuitos'!F37=2,"Bifásico","Trifásico"))</f>
        <v>Monofásico</v>
      </c>
      <c r="I40" s="80" t="n">
        <f aca="false">'Divisão dos Circuitos'!K37</f>
        <v>8.90909090909091</v>
      </c>
      <c r="J40" s="80" t="n">
        <f aca="false">'Capac.Cond.Corre.'!E37</f>
        <v>1</v>
      </c>
      <c r="K40" s="80" t="n">
        <f aca="false">'Capac.Cond.Corre.'!G37</f>
        <v>0.7</v>
      </c>
      <c r="L40" s="84" t="n">
        <f aca="false">'Queda de Tensão'!H37</f>
        <v>20.1</v>
      </c>
      <c r="M40" s="80" t="n">
        <f aca="false">Sobrecarga!Q37</f>
        <v>1.5</v>
      </c>
      <c r="N40" s="95" t="n">
        <f aca="false">'Divisão dos Circuitos'!L37</f>
        <v>1</v>
      </c>
      <c r="O40" s="95" t="n">
        <f aca="false">'Divisão dos Circuitos'!M37</f>
        <v>10</v>
      </c>
      <c r="P40" s="95" t="n">
        <f aca="false">'Divisão dos Circuitos'!N37</f>
        <v>2</v>
      </c>
      <c r="Q40" s="95" t="n">
        <f aca="false">'Divisão dos Circuitos'!O37</f>
        <v>25</v>
      </c>
      <c r="R40" s="79" t="s">
        <v>282</v>
      </c>
      <c r="S40" s="80" t="n">
        <f aca="false">IF(ISNUMBER(SEARCH("R", R40)), I40, 0)</f>
        <v>8.90909090909091</v>
      </c>
      <c r="T40" s="80" t="n">
        <f aca="false">IF(ISNUMBER(SEARCH("S", R40)), I40, 0)</f>
        <v>0</v>
      </c>
      <c r="U40" s="80" t="n">
        <f aca="false">IF(ISNUMBER(SEARCH("T", R40)), I40, 0)</f>
        <v>0</v>
      </c>
    </row>
    <row r="41" customFormat="false" ht="15.75" hidden="false" customHeight="true" outlineLevel="0" collapsed="false">
      <c r="A41" s="79" t="str">
        <f aca="false">'Divisão dos Circuitos'!A38</f>
        <v>06 - TUGs</v>
      </c>
      <c r="B41" s="79" t="str">
        <f aca="false">'Divisão dos Circuitos'!C38</f>
        <v>QD3</v>
      </c>
      <c r="C41" s="79" t="str">
        <f aca="false">'Divisão dos Circuitos'!D38</f>
        <v>Copa</v>
      </c>
      <c r="D41" s="108" t="n">
        <f aca="false">'Divisão dos Circuitos'!H38</f>
        <v>1600</v>
      </c>
      <c r="E41" s="108" t="n">
        <f aca="false">'Divisão dos Circuitos'!I38</f>
        <v>2000</v>
      </c>
      <c r="F41" s="108" t="n">
        <f aca="false">'Divisão dos Circuitos'!J38</f>
        <v>1200</v>
      </c>
      <c r="G41" s="80" t="n">
        <f aca="false">'Divisão dos Circuitos'!G38</f>
        <v>0.8</v>
      </c>
      <c r="H41" s="84" t="str">
        <f aca="false">IF('Divisão dos Circuitos'!F38=1,"Monofásico",IF('Divisão dos Circuitos'!F38=2,"Bifásico","Trifásico"))</f>
        <v>Monofásico</v>
      </c>
      <c r="I41" s="80" t="n">
        <f aca="false">'Divisão dos Circuitos'!K38</f>
        <v>9.09090909090909</v>
      </c>
      <c r="J41" s="80" t="n">
        <f aca="false">'Capac.Cond.Corre.'!E38</f>
        <v>1</v>
      </c>
      <c r="K41" s="80" t="n">
        <f aca="false">'Capac.Cond.Corre.'!G38</f>
        <v>0.8</v>
      </c>
      <c r="L41" s="84" t="n">
        <f aca="false">'Queda de Tensão'!H38</f>
        <v>13.1</v>
      </c>
      <c r="M41" s="80" t="n">
        <f aca="false">Sobrecarga!Q38</f>
        <v>2.5</v>
      </c>
      <c r="N41" s="95" t="n">
        <f aca="false">'Divisão dos Circuitos'!L38</f>
        <v>1</v>
      </c>
      <c r="O41" s="95" t="n">
        <f aca="false">'Divisão dos Circuitos'!M38</f>
        <v>10</v>
      </c>
      <c r="P41" s="95" t="n">
        <f aca="false">'Divisão dos Circuitos'!N38</f>
        <v>2</v>
      </c>
      <c r="Q41" s="95" t="n">
        <f aca="false">'Divisão dos Circuitos'!O38</f>
        <v>25</v>
      </c>
      <c r="R41" s="79" t="s">
        <v>281</v>
      </c>
      <c r="S41" s="80" t="n">
        <f aca="false">IF(ISNUMBER(SEARCH("R", R41)), I41, 0)</f>
        <v>0</v>
      </c>
      <c r="T41" s="80" t="n">
        <f aca="false">IF(ISNUMBER(SEARCH("S", R41)), I41, 0)</f>
        <v>0</v>
      </c>
      <c r="U41" s="80" t="n">
        <f aca="false">IF(ISNUMBER(SEARCH("T", R41)), I41, 0)</f>
        <v>9.09090909090909</v>
      </c>
    </row>
    <row r="42" customFormat="false" ht="15.75" hidden="false" customHeight="true" outlineLevel="0" collapsed="false">
      <c r="A42" s="79" t="str">
        <f aca="false">'Divisão dos Circuitos'!A39</f>
        <v>08 - TUGs</v>
      </c>
      <c r="B42" s="79" t="str">
        <f aca="false">'Divisão dos Circuitos'!C39</f>
        <v>QD3</v>
      </c>
      <c r="C42" s="79" t="str">
        <f aca="false">'Divisão dos Circuitos'!D39</f>
        <v>Sanitários Administrativos (BWC 3 e 4)</v>
      </c>
      <c r="D42" s="108" t="n">
        <f aca="false">'Divisão dos Circuitos'!H39</f>
        <v>960</v>
      </c>
      <c r="E42" s="108" t="n">
        <f aca="false">'Divisão dos Circuitos'!I39</f>
        <v>1200</v>
      </c>
      <c r="F42" s="108" t="n">
        <f aca="false">'Divisão dos Circuitos'!J39</f>
        <v>720</v>
      </c>
      <c r="G42" s="80" t="n">
        <f aca="false">'Divisão dos Circuitos'!G39</f>
        <v>0.8</v>
      </c>
      <c r="H42" s="84" t="str">
        <f aca="false">IF('Divisão dos Circuitos'!F39=1,"Monofásico",IF('Divisão dos Circuitos'!F39=2,"Bifásico","Trifásico"))</f>
        <v>Monofásico</v>
      </c>
      <c r="I42" s="80" t="n">
        <f aca="false">'Divisão dos Circuitos'!K39</f>
        <v>5.45454545454545</v>
      </c>
      <c r="J42" s="80" t="n">
        <f aca="false">'Capac.Cond.Corre.'!E39</f>
        <v>1</v>
      </c>
      <c r="K42" s="80" t="n">
        <f aca="false">'Capac.Cond.Corre.'!G39</f>
        <v>0.7</v>
      </c>
      <c r="L42" s="84" t="n">
        <f aca="false">'Queda de Tensão'!H39</f>
        <v>28</v>
      </c>
      <c r="M42" s="80" t="n">
        <f aca="false">Sobrecarga!Q39</f>
        <v>2.5</v>
      </c>
      <c r="N42" s="95" t="n">
        <f aca="false">'Divisão dos Circuitos'!L39</f>
        <v>1</v>
      </c>
      <c r="O42" s="95" t="n">
        <f aca="false">'Divisão dos Circuitos'!M39</f>
        <v>10</v>
      </c>
      <c r="P42" s="95" t="n">
        <f aca="false">'Divisão dos Circuitos'!N39</f>
        <v>2</v>
      </c>
      <c r="Q42" s="95" t="n">
        <f aca="false">'Divisão dos Circuitos'!O39</f>
        <v>25</v>
      </c>
      <c r="R42" s="79" t="s">
        <v>282</v>
      </c>
      <c r="S42" s="80" t="n">
        <f aca="false">IF(ISNUMBER(SEARCH("R", R42)), I42, 0)</f>
        <v>5.45454545454545</v>
      </c>
      <c r="T42" s="80" t="n">
        <f aca="false">IF(ISNUMBER(SEARCH("S", R42)), I42, 0)</f>
        <v>0</v>
      </c>
      <c r="U42" s="80" t="n">
        <f aca="false">IF(ISNUMBER(SEARCH("T", R42)), I42, 0)</f>
        <v>0</v>
      </c>
    </row>
    <row r="43" customFormat="false" ht="15.75" hidden="false" customHeight="true" outlineLevel="0" collapsed="false">
      <c r="A43" s="79" t="str">
        <f aca="false">'Divisão dos Circuitos'!A40</f>
        <v>10 - TUGs</v>
      </c>
      <c r="B43" s="79" t="str">
        <f aca="false">'Divisão dos Circuitos'!C40</f>
        <v>QD3</v>
      </c>
      <c r="C43" s="79" t="str">
        <f aca="false">'Divisão dos Circuitos'!D40</f>
        <v>Sala de Estar, Sala de Reuniões</v>
      </c>
      <c r="D43" s="108" t="n">
        <f aca="false">'Divisão dos Circuitos'!H40</f>
        <v>2320</v>
      </c>
      <c r="E43" s="108" t="n">
        <f aca="false">'Divisão dos Circuitos'!I40</f>
        <v>2900</v>
      </c>
      <c r="F43" s="108" t="n">
        <f aca="false">'Divisão dos Circuitos'!J40</f>
        <v>1740</v>
      </c>
      <c r="G43" s="80" t="n">
        <f aca="false">'Divisão dos Circuitos'!G40</f>
        <v>0.8</v>
      </c>
      <c r="H43" s="84" t="str">
        <f aca="false">IF('Divisão dos Circuitos'!F40=1,"Monofásico",IF('Divisão dos Circuitos'!F40=2,"Bifásico","Trifásico"))</f>
        <v>Monofásico</v>
      </c>
      <c r="I43" s="80" t="n">
        <f aca="false">'Divisão dos Circuitos'!K40</f>
        <v>13.1818181818182</v>
      </c>
      <c r="J43" s="80" t="n">
        <f aca="false">'Capac.Cond.Corre.'!E40</f>
        <v>1</v>
      </c>
      <c r="K43" s="80" t="n">
        <f aca="false">'Capac.Cond.Corre.'!G40</f>
        <v>0.7</v>
      </c>
      <c r="L43" s="84" t="n">
        <f aca="false">'Queda de Tensão'!H40</f>
        <v>33.2</v>
      </c>
      <c r="M43" s="80" t="n">
        <f aca="false">Sobrecarga!Q40</f>
        <v>4</v>
      </c>
      <c r="N43" s="95" t="n">
        <f aca="false">'Divisão dos Circuitos'!L40</f>
        <v>1</v>
      </c>
      <c r="O43" s="95" t="n">
        <f aca="false">'Divisão dos Circuitos'!M40</f>
        <v>16</v>
      </c>
      <c r="P43" s="95" t="n">
        <f aca="false">'Divisão dos Circuitos'!N40</f>
        <v>2</v>
      </c>
      <c r="Q43" s="95" t="n">
        <f aca="false">'Divisão dos Circuitos'!O40</f>
        <v>25</v>
      </c>
      <c r="R43" s="79" t="s">
        <v>280</v>
      </c>
      <c r="S43" s="80" t="n">
        <f aca="false">IF(ISNUMBER(SEARCH("R", R43)), I43, 0)</f>
        <v>0</v>
      </c>
      <c r="T43" s="80" t="n">
        <f aca="false">IF(ISNUMBER(SEARCH("S", R43)), I43, 0)</f>
        <v>13.1818181818182</v>
      </c>
      <c r="U43" s="80" t="n">
        <f aca="false">IF(ISNUMBER(SEARCH("T", R43)), I43, 0)</f>
        <v>0</v>
      </c>
    </row>
    <row r="44" customFormat="false" ht="15.75" hidden="false" customHeight="true" outlineLevel="0" collapsed="false">
      <c r="A44" s="79" t="str">
        <f aca="false">'Divisão dos Circuitos'!A41</f>
        <v>11 - TUGs</v>
      </c>
      <c r="B44" s="79" t="str">
        <f aca="false">'Divisão dos Circuitos'!C41</f>
        <v>QD3</v>
      </c>
      <c r="C44" s="79" t="str">
        <f aca="false">'Divisão dos Circuitos'!D41</f>
        <v>Circulação 2 e 3</v>
      </c>
      <c r="D44" s="108" t="n">
        <f aca="false">'Divisão dos Circuitos'!H41</f>
        <v>1120</v>
      </c>
      <c r="E44" s="108" t="n">
        <f aca="false">'Divisão dos Circuitos'!I41</f>
        <v>1400</v>
      </c>
      <c r="F44" s="108" t="n">
        <f aca="false">'Divisão dos Circuitos'!J41</f>
        <v>840</v>
      </c>
      <c r="G44" s="80" t="n">
        <f aca="false">'Divisão dos Circuitos'!G41</f>
        <v>0.8</v>
      </c>
      <c r="H44" s="84" t="str">
        <f aca="false">IF('Divisão dos Circuitos'!F41=1,"Monofásico",IF('Divisão dos Circuitos'!F41=2,"Bifásico","Trifásico"))</f>
        <v>Monofásico</v>
      </c>
      <c r="I44" s="80" t="n">
        <f aca="false">'Divisão dos Circuitos'!K41</f>
        <v>6.36363636363636</v>
      </c>
      <c r="J44" s="80" t="n">
        <f aca="false">'Capac.Cond.Corre.'!E41</f>
        <v>1</v>
      </c>
      <c r="K44" s="80" t="n">
        <f aca="false">'Capac.Cond.Corre.'!G41</f>
        <v>0.7</v>
      </c>
      <c r="L44" s="84" t="n">
        <f aca="false">'Queda de Tensão'!H41</f>
        <v>27</v>
      </c>
      <c r="M44" s="80" t="n">
        <f aca="false">Sobrecarga!Q41</f>
        <v>2.5</v>
      </c>
      <c r="N44" s="95" t="n">
        <f aca="false">'Divisão dos Circuitos'!L41</f>
        <v>1</v>
      </c>
      <c r="O44" s="95" t="n">
        <f aca="false">'Divisão dos Circuitos'!M41</f>
        <v>10</v>
      </c>
      <c r="P44" s="95" t="n">
        <f aca="false">'Divisão dos Circuitos'!N41</f>
        <v>2</v>
      </c>
      <c r="Q44" s="95" t="n">
        <f aca="false">'Divisão dos Circuitos'!O41</f>
        <v>25</v>
      </c>
      <c r="R44" s="79" t="s">
        <v>280</v>
      </c>
      <c r="S44" s="80" t="n">
        <f aca="false">IF(ISNUMBER(SEARCH("R", R44)), I44, 0)</f>
        <v>0</v>
      </c>
      <c r="T44" s="80" t="n">
        <f aca="false">IF(ISNUMBER(SEARCH("S", R44)), I44, 0)</f>
        <v>6.36363636363636</v>
      </c>
      <c r="U44" s="80" t="n">
        <f aca="false">IF(ISNUMBER(SEARCH("T", R44)), I44, 0)</f>
        <v>0</v>
      </c>
    </row>
    <row r="45" customFormat="false" ht="15.75" hidden="false" customHeight="true" outlineLevel="0" collapsed="false">
      <c r="A45" s="79" t="str">
        <f aca="false">'Divisão dos Circuitos'!A42</f>
        <v>31 - TUE</v>
      </c>
      <c r="B45" s="79" t="str">
        <f aca="false">'Divisão dos Circuitos'!C42</f>
        <v>QD3</v>
      </c>
      <c r="C45" s="79" t="str">
        <f aca="false">'Divisão dos Circuitos'!D42</f>
        <v>Secadores de Mãos - BWC 3 e 4</v>
      </c>
      <c r="D45" s="108" t="n">
        <f aca="false">'Divisão dos Circuitos'!H42</f>
        <v>3000</v>
      </c>
      <c r="E45" s="108" t="n">
        <f aca="false">'Divisão dos Circuitos'!I42</f>
        <v>3061.22448979592</v>
      </c>
      <c r="F45" s="108" t="n">
        <f aca="false">'Divisão dos Circuitos'!J42</f>
        <v>609.175981902014</v>
      </c>
      <c r="G45" s="80" t="n">
        <f aca="false">'Divisão dos Circuitos'!G42</f>
        <v>0.98</v>
      </c>
      <c r="H45" s="84" t="str">
        <f aca="false">IF('Divisão dos Circuitos'!F42=1,"Monofásico",IF('Divisão dos Circuitos'!F42=2,"Bifásico","Trifásico"))</f>
        <v>Monofásico</v>
      </c>
      <c r="I45" s="80" t="n">
        <f aca="false">'Divisão dos Circuitos'!K42</f>
        <v>13.9146567717996</v>
      </c>
      <c r="J45" s="80" t="n">
        <f aca="false">'Capac.Cond.Corre.'!E42</f>
        <v>1</v>
      </c>
      <c r="K45" s="80" t="n">
        <f aca="false">'Capac.Cond.Corre.'!G42</f>
        <v>0.7</v>
      </c>
      <c r="L45" s="84" t="n">
        <f aca="false">'Queda de Tensão'!H42</f>
        <v>31.3</v>
      </c>
      <c r="M45" s="80" t="n">
        <f aca="false">Sobrecarga!Q42</f>
        <v>4</v>
      </c>
      <c r="N45" s="95" t="n">
        <f aca="false">'Divisão dos Circuitos'!L42</f>
        <v>1</v>
      </c>
      <c r="O45" s="95" t="n">
        <f aca="false">'Divisão dos Circuitos'!M42</f>
        <v>16</v>
      </c>
      <c r="P45" s="95" t="n">
        <f aca="false">'Divisão dos Circuitos'!N42</f>
        <v>2</v>
      </c>
      <c r="Q45" s="95" t="n">
        <f aca="false">'Divisão dos Circuitos'!O42</f>
        <v>25</v>
      </c>
      <c r="R45" s="79" t="s">
        <v>280</v>
      </c>
      <c r="S45" s="80" t="n">
        <f aca="false">IF(ISNUMBER(SEARCH("R", R45)), I45, 0)</f>
        <v>0</v>
      </c>
      <c r="T45" s="80" t="n">
        <f aca="false">IF(ISNUMBER(SEARCH("S", R45)), I45, 0)</f>
        <v>13.9146567717996</v>
      </c>
      <c r="U45" s="80" t="n">
        <f aca="false">IF(ISNUMBER(SEARCH("T", R45)), I45, 0)</f>
        <v>0</v>
      </c>
    </row>
    <row r="46" customFormat="false" ht="15.75" hidden="false" customHeight="true" outlineLevel="0" collapsed="false">
      <c r="A46" s="79" t="str">
        <f aca="false">'Divisão dos Circuitos'!A43</f>
        <v>32 - TUE</v>
      </c>
      <c r="B46" s="79" t="str">
        <f aca="false">'Divisão dos Circuitos'!C43</f>
        <v>QD3</v>
      </c>
      <c r="C46" s="79" t="str">
        <f aca="false">'Divisão dos Circuitos'!D43</f>
        <v>Ar Condicionado - Sala de Estar</v>
      </c>
      <c r="D46" s="108" t="n">
        <f aca="false">'Divisão dos Circuitos'!H43</f>
        <v>1900</v>
      </c>
      <c r="E46" s="108" t="n">
        <f aca="false">'Divisão dos Circuitos'!I43</f>
        <v>2065.21739130435</v>
      </c>
      <c r="F46" s="108" t="n">
        <f aca="false">'Divisão dos Circuitos'!J43</f>
        <v>809.396610658789</v>
      </c>
      <c r="G46" s="80" t="n">
        <f aca="false">'Divisão dos Circuitos'!G43</f>
        <v>0.92</v>
      </c>
      <c r="H46" s="84" t="str">
        <f aca="false">IF('Divisão dos Circuitos'!F43=1,"Monofásico",IF('Divisão dos Circuitos'!F43=2,"Bifásico","Trifásico"))</f>
        <v>Monofásico</v>
      </c>
      <c r="I46" s="80" t="n">
        <f aca="false">'Divisão dos Circuitos'!K43</f>
        <v>9.38735177865613</v>
      </c>
      <c r="J46" s="80" t="n">
        <f aca="false">'Capac.Cond.Corre.'!E43</f>
        <v>1</v>
      </c>
      <c r="K46" s="80" t="n">
        <f aca="false">'Capac.Cond.Corre.'!G43</f>
        <v>0.7</v>
      </c>
      <c r="L46" s="84" t="n">
        <f aca="false">'Queda de Tensão'!H43</f>
        <v>18.6</v>
      </c>
      <c r="M46" s="80" t="n">
        <f aca="false">Sobrecarga!Q43</f>
        <v>2.5</v>
      </c>
      <c r="N46" s="95" t="n">
        <f aca="false">'Divisão dos Circuitos'!L43</f>
        <v>1</v>
      </c>
      <c r="O46" s="95" t="n">
        <f aca="false">'Divisão dos Circuitos'!M43</f>
        <v>10</v>
      </c>
      <c r="P46" s="95" t="n">
        <f aca="false">'Divisão dos Circuitos'!N43</f>
        <v>2</v>
      </c>
      <c r="Q46" s="95" t="n">
        <f aca="false">'Divisão dos Circuitos'!O43</f>
        <v>25</v>
      </c>
      <c r="R46" s="79" t="s">
        <v>281</v>
      </c>
      <c r="S46" s="80" t="n">
        <f aca="false">IF(ISNUMBER(SEARCH("R", R46)), I46, 0)</f>
        <v>0</v>
      </c>
      <c r="T46" s="80" t="n">
        <f aca="false">IF(ISNUMBER(SEARCH("S", R46)), I46, 0)</f>
        <v>0</v>
      </c>
      <c r="U46" s="80" t="n">
        <f aca="false">IF(ISNUMBER(SEARCH("T", R46)), I46, 0)</f>
        <v>9.38735177865613</v>
      </c>
    </row>
    <row r="47" customFormat="false" ht="15.75" hidden="false" customHeight="true" outlineLevel="0" collapsed="false">
      <c r="A47" s="79" t="str">
        <f aca="false">'Divisão dos Circuitos'!A44</f>
        <v>33 - TUE</v>
      </c>
      <c r="B47" s="79" t="str">
        <f aca="false">'Divisão dos Circuitos'!C44</f>
        <v>QD3</v>
      </c>
      <c r="C47" s="79" t="str">
        <f aca="false">'Divisão dos Circuitos'!D44</f>
        <v>Ar Condicionado - Sala de Reuniões</v>
      </c>
      <c r="D47" s="108" t="n">
        <f aca="false">'Divisão dos Circuitos'!H44</f>
        <v>2500</v>
      </c>
      <c r="E47" s="108" t="n">
        <f aca="false">'Divisão dos Circuitos'!I44</f>
        <v>2717.39130434783</v>
      </c>
      <c r="F47" s="108" t="n">
        <f aca="false">'Divisão dos Circuitos'!J44</f>
        <v>1064.99554034051</v>
      </c>
      <c r="G47" s="80" t="n">
        <f aca="false">'Divisão dos Circuitos'!G44</f>
        <v>0.92</v>
      </c>
      <c r="H47" s="84" t="str">
        <f aca="false">IF('Divisão dos Circuitos'!F44=1,"Monofásico",IF('Divisão dos Circuitos'!F44=2,"Bifásico","Trifásico"))</f>
        <v>Monofásico</v>
      </c>
      <c r="I47" s="80" t="n">
        <f aca="false">'Divisão dos Circuitos'!K44</f>
        <v>12.3517786561265</v>
      </c>
      <c r="J47" s="80" t="n">
        <f aca="false">'Capac.Cond.Corre.'!E44</f>
        <v>1</v>
      </c>
      <c r="K47" s="80" t="n">
        <f aca="false">'Capac.Cond.Corre.'!G44</f>
        <v>0.7</v>
      </c>
      <c r="L47" s="84" t="n">
        <f aca="false">'Queda de Tensão'!H44</f>
        <v>22.5</v>
      </c>
      <c r="M47" s="80" t="n">
        <f aca="false">Sobrecarga!Q44</f>
        <v>2.5</v>
      </c>
      <c r="N47" s="95" t="n">
        <f aca="false">'Divisão dos Circuitos'!L44</f>
        <v>1</v>
      </c>
      <c r="O47" s="95" t="n">
        <f aca="false">'Divisão dos Circuitos'!M44</f>
        <v>16</v>
      </c>
      <c r="P47" s="95" t="n">
        <f aca="false">'Divisão dos Circuitos'!N44</f>
        <v>2</v>
      </c>
      <c r="Q47" s="95" t="n">
        <f aca="false">'Divisão dos Circuitos'!O44</f>
        <v>25</v>
      </c>
      <c r="R47" s="79" t="s">
        <v>282</v>
      </c>
      <c r="S47" s="80" t="n">
        <f aca="false">IF(ISNUMBER(SEARCH("R", R47)), I47, 0)</f>
        <v>12.3517786561265</v>
      </c>
      <c r="T47" s="80" t="n">
        <f aca="false">IF(ISNUMBER(SEARCH("S", R47)), I47, 0)</f>
        <v>0</v>
      </c>
      <c r="U47" s="80" t="n">
        <f aca="false">IF(ISNUMBER(SEARCH("T", R47)), I47, 0)</f>
        <v>0</v>
      </c>
    </row>
    <row r="48" customFormat="false" ht="15.75" hidden="false" customHeight="true" outlineLevel="0" collapsed="false">
      <c r="A48" s="79" t="str">
        <f aca="false">'Divisão dos Circuitos'!A45</f>
        <v>34 - TUE</v>
      </c>
      <c r="B48" s="79" t="str">
        <f aca="false">'Divisão dos Circuitos'!C45</f>
        <v>QD3</v>
      </c>
      <c r="C48" s="79" t="str">
        <f aca="false">'Divisão dos Circuitos'!D45</f>
        <v>Ar Condicionado - Recepção</v>
      </c>
      <c r="D48" s="108" t="n">
        <f aca="false">'Divisão dos Circuitos'!H45</f>
        <v>1400</v>
      </c>
      <c r="E48" s="108" t="n">
        <f aca="false">'Divisão dos Circuitos'!I45</f>
        <v>1521.73913043478</v>
      </c>
      <c r="F48" s="108" t="n">
        <f aca="false">'Divisão dos Circuitos'!J45</f>
        <v>596.397502590687</v>
      </c>
      <c r="G48" s="80" t="n">
        <f aca="false">'Divisão dos Circuitos'!G45</f>
        <v>0.92</v>
      </c>
      <c r="H48" s="84" t="str">
        <f aca="false">IF('Divisão dos Circuitos'!F45=1,"Monofásico",IF('Divisão dos Circuitos'!F45=2,"Bifásico","Trifásico"))</f>
        <v>Monofásico</v>
      </c>
      <c r="I48" s="80" t="n">
        <f aca="false">'Divisão dos Circuitos'!K45</f>
        <v>6.91699604743083</v>
      </c>
      <c r="J48" s="80" t="n">
        <f aca="false">'Capac.Cond.Corre.'!E45</f>
        <v>1</v>
      </c>
      <c r="K48" s="80" t="n">
        <f aca="false">'Capac.Cond.Corre.'!G45</f>
        <v>0.7</v>
      </c>
      <c r="L48" s="84" t="n">
        <f aca="false">'Queda de Tensão'!H45</f>
        <v>15.8</v>
      </c>
      <c r="M48" s="80" t="n">
        <f aca="false">Sobrecarga!Q45</f>
        <v>2.5</v>
      </c>
      <c r="N48" s="95" t="n">
        <f aca="false">'Divisão dos Circuitos'!L45</f>
        <v>1</v>
      </c>
      <c r="O48" s="95" t="n">
        <f aca="false">'Divisão dos Circuitos'!M45</f>
        <v>10</v>
      </c>
      <c r="P48" s="95" t="n">
        <f aca="false">'Divisão dos Circuitos'!N45</f>
        <v>2</v>
      </c>
      <c r="Q48" s="95" t="n">
        <f aca="false">'Divisão dos Circuitos'!O45</f>
        <v>25</v>
      </c>
      <c r="R48" s="79" t="s">
        <v>281</v>
      </c>
      <c r="S48" s="80" t="n">
        <f aca="false">IF(ISNUMBER(SEARCH("R", R48)), I48, 0)</f>
        <v>0</v>
      </c>
      <c r="T48" s="80" t="n">
        <f aca="false">IF(ISNUMBER(SEARCH("S", R48)), I48, 0)</f>
        <v>0</v>
      </c>
      <c r="U48" s="80" t="n">
        <f aca="false">IF(ISNUMBER(SEARCH("T", R48)), I48, 0)</f>
        <v>6.91699604743083</v>
      </c>
    </row>
    <row r="49" customFormat="false" ht="15.75" hidden="false" customHeight="true" outlineLevel="0" collapsed="false">
      <c r="A49" s="79" t="str">
        <f aca="false">'Divisão dos Circuitos'!A46</f>
        <v>42 - TUGs</v>
      </c>
      <c r="B49" s="79" t="str">
        <f aca="false">'Divisão dos Circuitos'!C46</f>
        <v>QD3</v>
      </c>
      <c r="C49" s="79" t="str">
        <f aca="false">'Divisão dos Circuitos'!D46</f>
        <v>Recepção, Ante Sala</v>
      </c>
      <c r="D49" s="108" t="n">
        <f aca="false">'Divisão dos Circuitos'!H46</f>
        <v>1360</v>
      </c>
      <c r="E49" s="108" t="n">
        <f aca="false">'Divisão dos Circuitos'!I46</f>
        <v>1700</v>
      </c>
      <c r="F49" s="108" t="n">
        <f aca="false">'Divisão dos Circuitos'!J46</f>
        <v>1020</v>
      </c>
      <c r="G49" s="80" t="n">
        <f aca="false">'Divisão dos Circuitos'!G46</f>
        <v>0.8</v>
      </c>
      <c r="H49" s="84" t="str">
        <f aca="false">IF('Divisão dos Circuitos'!F46=1,"Monofásico",IF('Divisão dos Circuitos'!F46=2,"Bifásico","Trifásico"))</f>
        <v>Monofásico</v>
      </c>
      <c r="I49" s="80" t="n">
        <f aca="false">'Divisão dos Circuitos'!K46</f>
        <v>7.72727272727273</v>
      </c>
      <c r="J49" s="80" t="n">
        <f aca="false">'Capac.Cond.Corre.'!E46</f>
        <v>1</v>
      </c>
      <c r="K49" s="80" t="n">
        <f aca="false">'Capac.Cond.Corre.'!G46</f>
        <v>0.7</v>
      </c>
      <c r="L49" s="84" t="n">
        <f aca="false">'Queda de Tensão'!H46</f>
        <v>28.8</v>
      </c>
      <c r="M49" s="80" t="n">
        <f aca="false">Sobrecarga!Q46</f>
        <v>2.5</v>
      </c>
      <c r="N49" s="95" t="n">
        <f aca="false">'Divisão dos Circuitos'!L46</f>
        <v>1</v>
      </c>
      <c r="O49" s="95" t="n">
        <f aca="false">'Divisão dos Circuitos'!M46</f>
        <v>10</v>
      </c>
      <c r="P49" s="95" t="n">
        <f aca="false">'Divisão dos Circuitos'!N46</f>
        <v>2</v>
      </c>
      <c r="Q49" s="95" t="n">
        <f aca="false">'Divisão dos Circuitos'!O46</f>
        <v>25</v>
      </c>
      <c r="R49" s="79" t="s">
        <v>281</v>
      </c>
      <c r="S49" s="80" t="n">
        <f aca="false">IF(ISNUMBER(SEARCH("R", R49)), I49, 0)</f>
        <v>0</v>
      </c>
      <c r="T49" s="80" t="n">
        <f aca="false">IF(ISNUMBER(SEARCH("S", R49)), I49, 0)</f>
        <v>0</v>
      </c>
      <c r="U49" s="80" t="n">
        <f aca="false">IF(ISNUMBER(SEARCH("T", R49)), I49, 0)</f>
        <v>7.72727272727273</v>
      </c>
    </row>
    <row r="50" customFormat="false" ht="15.75" hidden="false" customHeight="true" outlineLevel="0" collapsed="false">
      <c r="A50" s="79" t="str">
        <f aca="false">'Divisão dos Circuitos'!A47</f>
        <v>43 - Iluminação</v>
      </c>
      <c r="B50" s="79" t="str">
        <f aca="false">'Divisão dos Circuitos'!C47</f>
        <v>QD3</v>
      </c>
      <c r="C50" s="79" t="str">
        <f aca="false">'Divisão dos Circuitos'!D47</f>
        <v>Ante Sala, Circulação 2, Circulação 3, BWC 3 e 4</v>
      </c>
      <c r="D50" s="108" t="n">
        <f aca="false">'Divisão dos Circuitos'!H47</f>
        <v>1445.4</v>
      </c>
      <c r="E50" s="108" t="n">
        <f aca="false">'Divisão dos Circuitos'!I47</f>
        <v>1460</v>
      </c>
      <c r="F50" s="108" t="n">
        <f aca="false">'Divisão dos Circuitos'!J47</f>
        <v>205.958345303122</v>
      </c>
      <c r="G50" s="80" t="n">
        <f aca="false">'Divisão dos Circuitos'!G47</f>
        <v>0.99</v>
      </c>
      <c r="H50" s="84" t="str">
        <f aca="false">IF('Divisão dos Circuitos'!F47=1,"Monofásico",IF('Divisão dos Circuitos'!F47=2,"Bifásico","Trifásico"))</f>
        <v>Monofásico</v>
      </c>
      <c r="I50" s="80" t="n">
        <f aca="false">'Divisão dos Circuitos'!K47</f>
        <v>6.63636363636364</v>
      </c>
      <c r="J50" s="80" t="n">
        <f aca="false">'Capac.Cond.Corre.'!E47</f>
        <v>1</v>
      </c>
      <c r="K50" s="80" t="n">
        <f aca="false">'Capac.Cond.Corre.'!G47</f>
        <v>0.7</v>
      </c>
      <c r="L50" s="84" t="n">
        <f aca="false">'Queda de Tensão'!H47</f>
        <v>29.2</v>
      </c>
      <c r="M50" s="80" t="n">
        <f aca="false">Sobrecarga!Q47</f>
        <v>1.5</v>
      </c>
      <c r="N50" s="95" t="n">
        <f aca="false">'Divisão dos Circuitos'!L47</f>
        <v>1</v>
      </c>
      <c r="O50" s="95" t="n">
        <f aca="false">'Divisão dos Circuitos'!M47</f>
        <v>10</v>
      </c>
      <c r="P50" s="95" t="n">
        <f aca="false">'Divisão dos Circuitos'!N47</f>
        <v>2</v>
      </c>
      <c r="Q50" s="95" t="n">
        <f aca="false">'Divisão dos Circuitos'!O47</f>
        <v>25</v>
      </c>
      <c r="R50" s="79" t="s">
        <v>282</v>
      </c>
      <c r="S50" s="80" t="n">
        <f aca="false">IF(ISNUMBER(SEARCH("R", R50)), I50, 0)</f>
        <v>6.63636363636364</v>
      </c>
      <c r="T50" s="80" t="n">
        <f aca="false">IF(ISNUMBER(SEARCH("S", R50)), I50, 0)</f>
        <v>0</v>
      </c>
      <c r="U50" s="80" t="n">
        <f aca="false">IF(ISNUMBER(SEARCH("T", R50)), I50, 0)</f>
        <v>0</v>
      </c>
    </row>
    <row r="51" customFormat="false" ht="15.75" hidden="false" customHeight="true" outlineLevel="0" collapsed="false">
      <c r="A51" s="109" t="s">
        <v>288</v>
      </c>
      <c r="B51" s="109"/>
      <c r="C51" s="109"/>
      <c r="D51" s="110" t="n">
        <f aca="false">SUM(D40:D50)</f>
        <v>19545.8</v>
      </c>
      <c r="E51" s="110" t="n">
        <f aca="false">SUM(E40:E50)</f>
        <v>21985.5723158829</v>
      </c>
      <c r="F51" s="110" t="n">
        <f aca="false">SUM(F40:F50)</f>
        <v>9082.41600599657</v>
      </c>
      <c r="G51" s="111"/>
      <c r="H51" s="112"/>
      <c r="I51" s="111"/>
      <c r="J51" s="111"/>
      <c r="K51" s="111"/>
      <c r="L51" s="112"/>
      <c r="M51" s="111"/>
      <c r="N51" s="109" t="s">
        <v>285</v>
      </c>
      <c r="O51" s="109"/>
      <c r="P51" s="109"/>
      <c r="Q51" s="109"/>
      <c r="R51" s="109"/>
      <c r="S51" s="111" t="n">
        <f aca="false">SUM(S40:S50)</f>
        <v>33.3517786561265</v>
      </c>
      <c r="T51" s="111" t="n">
        <f aca="false">SUM(T40:T50)</f>
        <v>33.4601113172542</v>
      </c>
      <c r="U51" s="111" t="n">
        <f aca="false">SUM(U40:U50)</f>
        <v>33.1225296442688</v>
      </c>
    </row>
    <row r="52" customFormat="false" ht="15.75" hidden="false" customHeight="true" outlineLevel="0" collapsed="false">
      <c r="A52" s="107" t="s">
        <v>191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</row>
    <row r="53" customFormat="false" ht="15.75" hidden="false" customHeight="true" outlineLevel="0" collapsed="false">
      <c r="A53" s="79" t="str">
        <f aca="false">'Divisão dos Circuitos'!A49</f>
        <v>04 - Iluminação</v>
      </c>
      <c r="B53" s="79" t="str">
        <f aca="false">'Divisão dos Circuitos'!C49</f>
        <v>QD4</v>
      </c>
      <c r="C53" s="79" t="str">
        <f aca="false">'Divisão dos Circuitos'!D49</f>
        <v>Circulação 1, Vídeo Conferência, Presidência, Diretoria Técnica, Depósito, Subestação</v>
      </c>
      <c r="D53" s="108" t="n">
        <f aca="false">'Divisão dos Circuitos'!H49</f>
        <v>2376</v>
      </c>
      <c r="E53" s="108" t="n">
        <f aca="false">'Divisão dos Circuitos'!I49</f>
        <v>2400</v>
      </c>
      <c r="F53" s="108" t="n">
        <f aca="false">'Divisão dos Circuitos'!J49</f>
        <v>338.561663511981</v>
      </c>
      <c r="G53" s="80" t="n">
        <f aca="false">'Divisão dos Circuitos'!G49</f>
        <v>0.99</v>
      </c>
      <c r="H53" s="84" t="str">
        <f aca="false">IF('Divisão dos Circuitos'!F49=1,"Monofásico",IF('Divisão dos Circuitos'!F49=2,"Bifásico","Trifásico"))</f>
        <v>Monofásico</v>
      </c>
      <c r="I53" s="80" t="n">
        <f aca="false">'Divisão dos Circuitos'!K49</f>
        <v>10.9090909090909</v>
      </c>
      <c r="J53" s="80" t="n">
        <f aca="false">'Capac.Cond.Corre.'!E49</f>
        <v>1</v>
      </c>
      <c r="K53" s="80" t="n">
        <f aca="false">'Capac.Cond.Corre.'!G49</f>
        <v>0.7</v>
      </c>
      <c r="L53" s="84" t="n">
        <f aca="false">'Queda de Tensão'!H49</f>
        <v>19.4</v>
      </c>
      <c r="M53" s="80" t="n">
        <f aca="false">Sobrecarga!Q49</f>
        <v>2.5</v>
      </c>
      <c r="N53" s="95" t="n">
        <f aca="false">'Divisão dos Circuitos'!L49</f>
        <v>1</v>
      </c>
      <c r="O53" s="95" t="n">
        <f aca="false">'Divisão dos Circuitos'!M49</f>
        <v>16</v>
      </c>
      <c r="P53" s="95" t="n">
        <f aca="false">'Divisão dos Circuitos'!N49</f>
        <v>2</v>
      </c>
      <c r="Q53" s="95" t="n">
        <f aca="false">'Divisão dos Circuitos'!O49</f>
        <v>25</v>
      </c>
      <c r="R53" s="79" t="s">
        <v>281</v>
      </c>
      <c r="S53" s="80" t="n">
        <f aca="false">IF(ISNUMBER(SEARCH("R", R53)), I53, 0)</f>
        <v>0</v>
      </c>
      <c r="T53" s="80" t="n">
        <f aca="false">IF(ISNUMBER(SEARCH("S", R53)), I53, 0)</f>
        <v>0</v>
      </c>
      <c r="U53" s="80" t="n">
        <f aca="false">IF(ISNUMBER(SEARCH("T", R53)), I53, 0)</f>
        <v>10.9090909090909</v>
      </c>
    </row>
    <row r="54" customFormat="false" ht="15.75" hidden="false" customHeight="true" outlineLevel="0" collapsed="false">
      <c r="A54" s="79" t="str">
        <f aca="false">'Divisão dos Circuitos'!A50</f>
        <v>09 - TUGs</v>
      </c>
      <c r="B54" s="79" t="str">
        <f aca="false">'Divisão dos Circuitos'!C50</f>
        <v>QD4</v>
      </c>
      <c r="C54" s="79" t="str">
        <f aca="false">'Divisão dos Circuitos'!D50</f>
        <v>Vídeo Conferência, Presidência</v>
      </c>
      <c r="D54" s="108" t="n">
        <f aca="false">'Divisão dos Circuitos'!H50</f>
        <v>2080</v>
      </c>
      <c r="E54" s="108" t="n">
        <f aca="false">'Divisão dos Circuitos'!I50</f>
        <v>2600</v>
      </c>
      <c r="F54" s="108" t="n">
        <f aca="false">'Divisão dos Circuitos'!J50</f>
        <v>1560</v>
      </c>
      <c r="G54" s="80" t="n">
        <f aca="false">'Divisão dos Circuitos'!G50</f>
        <v>0.8</v>
      </c>
      <c r="H54" s="84" t="str">
        <f aca="false">IF('Divisão dos Circuitos'!F50=1,"Monofásico",IF('Divisão dos Circuitos'!F50=2,"Bifásico","Trifásico"))</f>
        <v>Monofásico</v>
      </c>
      <c r="I54" s="80" t="n">
        <f aca="false">'Divisão dos Circuitos'!K50</f>
        <v>11.8181818181818</v>
      </c>
      <c r="J54" s="80" t="n">
        <f aca="false">'Capac.Cond.Corre.'!E50</f>
        <v>1</v>
      </c>
      <c r="K54" s="80" t="n">
        <f aca="false">'Capac.Cond.Corre.'!G50</f>
        <v>0.7</v>
      </c>
      <c r="L54" s="84" t="n">
        <f aca="false">'Queda de Tensão'!H50</f>
        <v>27.2</v>
      </c>
      <c r="M54" s="80" t="n">
        <f aca="false">Sobrecarga!Q50</f>
        <v>2.5</v>
      </c>
      <c r="N54" s="95" t="n">
        <f aca="false">'Divisão dos Circuitos'!L50</f>
        <v>1</v>
      </c>
      <c r="O54" s="95" t="n">
        <f aca="false">'Divisão dos Circuitos'!M50</f>
        <v>16</v>
      </c>
      <c r="P54" s="95" t="n">
        <f aca="false">'Divisão dos Circuitos'!N50</f>
        <v>2</v>
      </c>
      <c r="Q54" s="95" t="n">
        <f aca="false">'Divisão dos Circuitos'!O50</f>
        <v>25</v>
      </c>
      <c r="R54" s="79" t="s">
        <v>281</v>
      </c>
      <c r="S54" s="80" t="n">
        <f aca="false">IF(ISNUMBER(SEARCH("R", R54)), I54, 0)</f>
        <v>0</v>
      </c>
      <c r="T54" s="80" t="n">
        <f aca="false">IF(ISNUMBER(SEARCH("S", R54)), I54, 0)</f>
        <v>0</v>
      </c>
      <c r="U54" s="80" t="n">
        <f aca="false">IF(ISNUMBER(SEARCH("T", R54)), I54, 0)</f>
        <v>11.8181818181818</v>
      </c>
    </row>
    <row r="55" customFormat="false" ht="15.75" hidden="false" customHeight="true" outlineLevel="0" collapsed="false">
      <c r="A55" s="79" t="str">
        <f aca="false">'Divisão dos Circuitos'!A51</f>
        <v>28 - TUE</v>
      </c>
      <c r="B55" s="79" t="str">
        <f aca="false">'Divisão dos Circuitos'!C51</f>
        <v>QD4</v>
      </c>
      <c r="C55" s="79" t="str">
        <f aca="false">'Divisão dos Circuitos'!D51</f>
        <v>Depósito</v>
      </c>
      <c r="D55" s="108" t="n">
        <f aca="false">'Divisão dos Circuitos'!H51</f>
        <v>6000</v>
      </c>
      <c r="E55" s="108" t="n">
        <f aca="false">'Divisão dos Circuitos'!I51</f>
        <v>6000</v>
      </c>
      <c r="F55" s="108" t="n">
        <f aca="false">'Divisão dos Circuitos'!J51</f>
        <v>0</v>
      </c>
      <c r="G55" s="80" t="n">
        <f aca="false">'Divisão dos Circuitos'!G51</f>
        <v>1</v>
      </c>
      <c r="H55" s="84" t="str">
        <f aca="false">IF('Divisão dos Circuitos'!F51=1,"Monofásico",IF('Divisão dos Circuitos'!F51=2,"Bifásico","Trifásico"))</f>
        <v>Monofásico</v>
      </c>
      <c r="I55" s="80" t="n">
        <f aca="false">'Divisão dos Circuitos'!K51</f>
        <v>27.2727272727273</v>
      </c>
      <c r="J55" s="80" t="n">
        <f aca="false">'Capac.Cond.Corre.'!E51</f>
        <v>1</v>
      </c>
      <c r="K55" s="80" t="n">
        <f aca="false">'Capac.Cond.Corre.'!G51</f>
        <v>0.7</v>
      </c>
      <c r="L55" s="84" t="n">
        <f aca="false">'Queda de Tensão'!H51</f>
        <v>8.8</v>
      </c>
      <c r="M55" s="80" t="n">
        <f aca="false">Sobrecarga!Q51</f>
        <v>10</v>
      </c>
      <c r="N55" s="95" t="n">
        <f aca="false">'Divisão dos Circuitos'!L51</f>
        <v>1</v>
      </c>
      <c r="O55" s="95" t="n">
        <f aca="false">'Divisão dos Circuitos'!M51</f>
        <v>32</v>
      </c>
      <c r="P55" s="95" t="n">
        <f aca="false">'Divisão dos Circuitos'!N51</f>
        <v>2</v>
      </c>
      <c r="Q55" s="95" t="n">
        <f aca="false">'Divisão dos Circuitos'!O51</f>
        <v>40</v>
      </c>
      <c r="R55" s="79" t="s">
        <v>282</v>
      </c>
      <c r="S55" s="80" t="n">
        <f aca="false">IF(ISNUMBER(SEARCH("R", R55)), I55, 0)</f>
        <v>27.2727272727273</v>
      </c>
      <c r="T55" s="80" t="n">
        <f aca="false">IF(ISNUMBER(SEARCH("S", R55)), I55, 0)</f>
        <v>0</v>
      </c>
      <c r="U55" s="80" t="n">
        <f aca="false">IF(ISNUMBER(SEARCH("T", R55)), I55, 0)</f>
        <v>0</v>
      </c>
    </row>
    <row r="56" customFormat="false" ht="15.75" hidden="false" customHeight="true" outlineLevel="0" collapsed="false">
      <c r="A56" s="79" t="str">
        <f aca="false">'Divisão dos Circuitos'!A52</f>
        <v>29 - TUGs Trifásicas</v>
      </c>
      <c r="B56" s="79" t="str">
        <f aca="false">'Divisão dos Circuitos'!C52</f>
        <v>QD4</v>
      </c>
      <c r="C56" s="79" t="str">
        <f aca="false">'Divisão dos Circuitos'!D52</f>
        <v>Subestação</v>
      </c>
      <c r="D56" s="108" t="n">
        <f aca="false">'Divisão dos Circuitos'!H52</f>
        <v>4800</v>
      </c>
      <c r="E56" s="108" t="n">
        <f aca="false">'Divisão dos Circuitos'!I52</f>
        <v>6000</v>
      </c>
      <c r="F56" s="108" t="n">
        <f aca="false">'Divisão dos Circuitos'!J52</f>
        <v>3600</v>
      </c>
      <c r="G56" s="80" t="n">
        <f aca="false">'Divisão dos Circuitos'!G52</f>
        <v>0.8</v>
      </c>
      <c r="H56" s="84" t="str">
        <f aca="false">IF('Divisão dos Circuitos'!F52=1,"Monofásico",IF('Divisão dos Circuitos'!F52=2,"Bifásico","Trifásico"))</f>
        <v>Trifásico</v>
      </c>
      <c r="I56" s="80" t="n">
        <f aca="false">'Divisão dos Circuitos'!K52</f>
        <v>9.11605688194146</v>
      </c>
      <c r="J56" s="80" t="n">
        <f aca="false">'Capac.Cond.Corre.'!E52</f>
        <v>1</v>
      </c>
      <c r="K56" s="80" t="n">
        <f aca="false">'Capac.Cond.Corre.'!G52</f>
        <v>0.7</v>
      </c>
      <c r="L56" s="84" t="n">
        <f aca="false">'Queda de Tensão'!H52</f>
        <v>15.8</v>
      </c>
      <c r="M56" s="80" t="n">
        <f aca="false">Sobrecarga!Q52</f>
        <v>2.5</v>
      </c>
      <c r="N56" s="95" t="n">
        <f aca="false">'Divisão dos Circuitos'!L52</f>
        <v>3</v>
      </c>
      <c r="O56" s="95" t="n">
        <f aca="false">'Divisão dos Circuitos'!M52</f>
        <v>10</v>
      </c>
      <c r="P56" s="95" t="n">
        <f aca="false">'Divisão dos Circuitos'!N52</f>
        <v>4</v>
      </c>
      <c r="Q56" s="95" t="n">
        <f aca="false">'Divisão dos Circuitos'!O52</f>
        <v>25</v>
      </c>
      <c r="R56" s="79" t="s">
        <v>283</v>
      </c>
      <c r="S56" s="80" t="n">
        <f aca="false">IF(ISNUMBER(SEARCH("R", R56)), I56, 0)</f>
        <v>9.11605688194146</v>
      </c>
      <c r="T56" s="80" t="n">
        <f aca="false">IF(ISNUMBER(SEARCH("S", R56)), I56, 0)</f>
        <v>9.11605688194146</v>
      </c>
      <c r="U56" s="80" t="n">
        <f aca="false">IF(ISNUMBER(SEARCH("T", R56)), I56, 0)</f>
        <v>9.11605688194146</v>
      </c>
    </row>
    <row r="57" customFormat="false" ht="15.75" hidden="false" customHeight="true" outlineLevel="0" collapsed="false">
      <c r="A57" s="79" t="str">
        <f aca="false">'Divisão dos Circuitos'!A53</f>
        <v>35 - TUE</v>
      </c>
      <c r="B57" s="79" t="str">
        <f aca="false">'Divisão dos Circuitos'!C53</f>
        <v>QD4</v>
      </c>
      <c r="C57" s="79" t="str">
        <f aca="false">'Divisão dos Circuitos'!D53</f>
        <v>Ar Condicionado - Vídeo Conferência</v>
      </c>
      <c r="D57" s="108" t="n">
        <f aca="false">'Divisão dos Circuitos'!H53</f>
        <v>1900</v>
      </c>
      <c r="E57" s="108" t="n">
        <f aca="false">'Divisão dos Circuitos'!I53</f>
        <v>2065.21739130435</v>
      </c>
      <c r="F57" s="108" t="n">
        <f aca="false">'Divisão dos Circuitos'!J53</f>
        <v>809.396610658789</v>
      </c>
      <c r="G57" s="80" t="n">
        <f aca="false">'Divisão dos Circuitos'!G53</f>
        <v>0.92</v>
      </c>
      <c r="H57" s="84" t="str">
        <f aca="false">IF('Divisão dos Circuitos'!F53=1,"Monofásico",IF('Divisão dos Circuitos'!F53=2,"Bifásico","Trifásico"))</f>
        <v>Monofásico</v>
      </c>
      <c r="I57" s="80" t="n">
        <f aca="false">'Divisão dos Circuitos'!K53</f>
        <v>9.38735177865613</v>
      </c>
      <c r="J57" s="80" t="n">
        <f aca="false">'Capac.Cond.Corre.'!E53</f>
        <v>1</v>
      </c>
      <c r="K57" s="80" t="n">
        <f aca="false">'Capac.Cond.Corre.'!G53</f>
        <v>0.7</v>
      </c>
      <c r="L57" s="84" t="n">
        <f aca="false">'Queda de Tensão'!H53</f>
        <v>15.5</v>
      </c>
      <c r="M57" s="80" t="n">
        <f aca="false">Sobrecarga!Q53</f>
        <v>2.5</v>
      </c>
      <c r="N57" s="95" t="n">
        <f aca="false">'Divisão dos Circuitos'!L53</f>
        <v>1</v>
      </c>
      <c r="O57" s="95" t="n">
        <f aca="false">'Divisão dos Circuitos'!M53</f>
        <v>10</v>
      </c>
      <c r="P57" s="95" t="n">
        <f aca="false">'Divisão dos Circuitos'!N53</f>
        <v>2</v>
      </c>
      <c r="Q57" s="95" t="n">
        <f aca="false">'Divisão dos Circuitos'!O53</f>
        <v>25</v>
      </c>
      <c r="R57" s="79" t="s">
        <v>280</v>
      </c>
      <c r="S57" s="80" t="n">
        <f aca="false">IF(ISNUMBER(SEARCH("R", R57)), I57, 0)</f>
        <v>0</v>
      </c>
      <c r="T57" s="80" t="n">
        <f aca="false">IF(ISNUMBER(SEARCH("S", R57)), I57, 0)</f>
        <v>9.38735177865613</v>
      </c>
      <c r="U57" s="80" t="n">
        <f aca="false">IF(ISNUMBER(SEARCH("T", R57)), I57, 0)</f>
        <v>0</v>
      </c>
    </row>
    <row r="58" customFormat="false" ht="15.75" hidden="false" customHeight="true" outlineLevel="0" collapsed="false">
      <c r="A58" s="79" t="str">
        <f aca="false">'Divisão dos Circuitos'!A54</f>
        <v>36 - TUE</v>
      </c>
      <c r="B58" s="79" t="str">
        <f aca="false">'Divisão dos Circuitos'!C54</f>
        <v>QD4</v>
      </c>
      <c r="C58" s="79" t="str">
        <f aca="false">'Divisão dos Circuitos'!D54</f>
        <v>Ar Condicionado - Presidência</v>
      </c>
      <c r="D58" s="108" t="n">
        <f aca="false">'Divisão dos Circuitos'!H54</f>
        <v>1400</v>
      </c>
      <c r="E58" s="108" t="n">
        <f aca="false">'Divisão dos Circuitos'!I54</f>
        <v>1521.73913043478</v>
      </c>
      <c r="F58" s="108" t="n">
        <f aca="false">'Divisão dos Circuitos'!J54</f>
        <v>596.397502590687</v>
      </c>
      <c r="G58" s="80" t="n">
        <f aca="false">'Divisão dos Circuitos'!G54</f>
        <v>0.92</v>
      </c>
      <c r="H58" s="84" t="str">
        <f aca="false">IF('Divisão dos Circuitos'!F54=1,"Monofásico",IF('Divisão dos Circuitos'!F54=2,"Bifásico","Trifásico"))</f>
        <v>Monofásico</v>
      </c>
      <c r="I58" s="80" t="n">
        <f aca="false">'Divisão dos Circuitos'!K54</f>
        <v>6.91699604743083</v>
      </c>
      <c r="J58" s="80" t="n">
        <f aca="false">'Capac.Cond.Corre.'!E54</f>
        <v>1</v>
      </c>
      <c r="K58" s="80" t="n">
        <f aca="false">'Capac.Cond.Corre.'!G54</f>
        <v>0.8</v>
      </c>
      <c r="L58" s="84" t="n">
        <f aca="false">'Queda de Tensão'!H54</f>
        <v>16.8</v>
      </c>
      <c r="M58" s="80" t="n">
        <f aca="false">Sobrecarga!Q54</f>
        <v>2.5</v>
      </c>
      <c r="N58" s="95" t="n">
        <f aca="false">'Divisão dos Circuitos'!L54</f>
        <v>1</v>
      </c>
      <c r="O58" s="95" t="n">
        <f aca="false">'Divisão dos Circuitos'!M54</f>
        <v>10</v>
      </c>
      <c r="P58" s="95" t="n">
        <f aca="false">'Divisão dos Circuitos'!N54</f>
        <v>2</v>
      </c>
      <c r="Q58" s="95" t="n">
        <f aca="false">'Divisão dos Circuitos'!O54</f>
        <v>25</v>
      </c>
      <c r="R58" s="79" t="s">
        <v>280</v>
      </c>
      <c r="S58" s="80" t="n">
        <f aca="false">IF(ISNUMBER(SEARCH("R", R58)), I58, 0)</f>
        <v>0</v>
      </c>
      <c r="T58" s="80" t="n">
        <f aca="false">IF(ISNUMBER(SEARCH("S", R58)), I58, 0)</f>
        <v>6.91699604743083</v>
      </c>
      <c r="U58" s="80" t="n">
        <f aca="false">IF(ISNUMBER(SEARCH("T", R58)), I58, 0)</f>
        <v>0</v>
      </c>
    </row>
    <row r="59" customFormat="false" ht="15.75" hidden="false" customHeight="true" outlineLevel="0" collapsed="false">
      <c r="A59" s="79" t="str">
        <f aca="false">'Divisão dos Circuitos'!A55</f>
        <v>37 - TUE</v>
      </c>
      <c r="B59" s="79" t="str">
        <f aca="false">'Divisão dos Circuitos'!C55</f>
        <v>QD4</v>
      </c>
      <c r="C59" s="79" t="str">
        <f aca="false">'Divisão dos Circuitos'!D55</f>
        <v>Ar Condicionado - Diretoria Técnica</v>
      </c>
      <c r="D59" s="108" t="n">
        <f aca="false">'Divisão dos Circuitos'!H55</f>
        <v>1400</v>
      </c>
      <c r="E59" s="108" t="n">
        <f aca="false">'Divisão dos Circuitos'!I55</f>
        <v>1521.73913043478</v>
      </c>
      <c r="F59" s="108" t="n">
        <f aca="false">'Divisão dos Circuitos'!J55</f>
        <v>596.397502590687</v>
      </c>
      <c r="G59" s="80" t="n">
        <f aca="false">'Divisão dos Circuitos'!G55</f>
        <v>0.92</v>
      </c>
      <c r="H59" s="84" t="str">
        <f aca="false">IF('Divisão dos Circuitos'!F55=1,"Monofásico",IF('Divisão dos Circuitos'!F55=2,"Bifásico","Trifásico"))</f>
        <v>Monofásico</v>
      </c>
      <c r="I59" s="80" t="n">
        <f aca="false">'Divisão dos Circuitos'!K55</f>
        <v>6.91699604743083</v>
      </c>
      <c r="J59" s="80" t="n">
        <f aca="false">'Capac.Cond.Corre.'!E55</f>
        <v>1</v>
      </c>
      <c r="K59" s="80" t="n">
        <f aca="false">'Capac.Cond.Corre.'!G55</f>
        <v>0.7</v>
      </c>
      <c r="L59" s="84" t="n">
        <f aca="false">'Queda de Tensão'!H55</f>
        <v>7</v>
      </c>
      <c r="M59" s="80" t="n">
        <f aca="false">Sobrecarga!Q55</f>
        <v>2.5</v>
      </c>
      <c r="N59" s="95" t="n">
        <f aca="false">'Divisão dos Circuitos'!L55</f>
        <v>1</v>
      </c>
      <c r="O59" s="95" t="n">
        <f aca="false">'Divisão dos Circuitos'!M55</f>
        <v>10</v>
      </c>
      <c r="P59" s="95" t="n">
        <f aca="false">'Divisão dos Circuitos'!N55</f>
        <v>2</v>
      </c>
      <c r="Q59" s="95" t="n">
        <f aca="false">'Divisão dos Circuitos'!O55</f>
        <v>25</v>
      </c>
      <c r="R59" s="79" t="s">
        <v>281</v>
      </c>
      <c r="S59" s="80" t="n">
        <f aca="false">IF(ISNUMBER(SEARCH("R", R59)), I59, 0)</f>
        <v>0</v>
      </c>
      <c r="T59" s="80" t="n">
        <f aca="false">IF(ISNUMBER(SEARCH("S", R59)), I59, 0)</f>
        <v>0</v>
      </c>
      <c r="U59" s="80" t="n">
        <f aca="false">IF(ISNUMBER(SEARCH("T", R59)), I59, 0)</f>
        <v>6.91699604743083</v>
      </c>
    </row>
    <row r="60" customFormat="false" ht="15.75" hidden="false" customHeight="true" outlineLevel="0" collapsed="false">
      <c r="A60" s="79" t="str">
        <f aca="false">'Divisão dos Circuitos'!A56</f>
        <v>41 - TUGs</v>
      </c>
      <c r="B60" s="79" t="str">
        <f aca="false">'Divisão dos Circuitos'!C56</f>
        <v>QD4</v>
      </c>
      <c r="C60" s="79" t="str">
        <f aca="false">'Divisão dos Circuitos'!D56</f>
        <v>Diretoria Técnica, Depósito, Circulação 1, Subestação</v>
      </c>
      <c r="D60" s="108" t="n">
        <f aca="false">'Divisão dos Circuitos'!H56</f>
        <v>2640</v>
      </c>
      <c r="E60" s="108" t="n">
        <f aca="false">'Divisão dos Circuitos'!I56</f>
        <v>3300</v>
      </c>
      <c r="F60" s="108" t="n">
        <f aca="false">'Divisão dos Circuitos'!J56</f>
        <v>1980</v>
      </c>
      <c r="G60" s="80" t="n">
        <f aca="false">'Divisão dos Circuitos'!G56</f>
        <v>0.8</v>
      </c>
      <c r="H60" s="84" t="str">
        <f aca="false">IF('Divisão dos Circuitos'!F56=1,"Monofásico",IF('Divisão dos Circuitos'!F56=2,"Bifásico","Trifásico"))</f>
        <v>Monofásico</v>
      </c>
      <c r="I60" s="80" t="n">
        <f aca="false">'Divisão dos Circuitos'!K56</f>
        <v>15</v>
      </c>
      <c r="J60" s="80" t="n">
        <f aca="false">'Capac.Cond.Corre.'!E56</f>
        <v>1</v>
      </c>
      <c r="K60" s="80" t="n">
        <f aca="false">'Capac.Cond.Corre.'!G56</f>
        <v>0.7</v>
      </c>
      <c r="L60" s="84" t="n">
        <f aca="false">'Queda de Tensão'!H56</f>
        <v>24.8</v>
      </c>
      <c r="M60" s="80" t="n">
        <f aca="false">Sobrecarga!Q56</f>
        <v>2.5</v>
      </c>
      <c r="N60" s="95" t="n">
        <f aca="false">'Divisão dos Circuitos'!L56</f>
        <v>1</v>
      </c>
      <c r="O60" s="95" t="n">
        <f aca="false">'Divisão dos Circuitos'!M56</f>
        <v>16</v>
      </c>
      <c r="P60" s="95" t="n">
        <f aca="false">'Divisão dos Circuitos'!N56</f>
        <v>2</v>
      </c>
      <c r="Q60" s="95" t="n">
        <f aca="false">'Divisão dos Circuitos'!O56</f>
        <v>25</v>
      </c>
      <c r="R60" s="79" t="s">
        <v>280</v>
      </c>
      <c r="S60" s="80" t="n">
        <f aca="false">IF(ISNUMBER(SEARCH("R", R60)), I60, 0)</f>
        <v>0</v>
      </c>
      <c r="T60" s="80" t="n">
        <f aca="false">IF(ISNUMBER(SEARCH("S", R60)), I60, 0)</f>
        <v>15</v>
      </c>
      <c r="U60" s="80" t="n">
        <f aca="false">IF(ISNUMBER(SEARCH("T", R60)), I60, 0)</f>
        <v>0</v>
      </c>
    </row>
    <row r="61" customFormat="false" ht="15.75" hidden="false" customHeight="true" outlineLevel="0" collapsed="false">
      <c r="A61" s="109" t="s">
        <v>289</v>
      </c>
      <c r="B61" s="109"/>
      <c r="C61" s="109"/>
      <c r="D61" s="110" t="n">
        <f aca="false">SUM(D53:D60)</f>
        <v>22596</v>
      </c>
      <c r="E61" s="110" t="n">
        <f aca="false">SUM(E53:E60)</f>
        <v>25408.6956521739</v>
      </c>
      <c r="F61" s="110" t="n">
        <f aca="false">SUM(F53:F60)</f>
        <v>9480.75327935214</v>
      </c>
      <c r="G61" s="111"/>
      <c r="H61" s="112"/>
      <c r="I61" s="111"/>
      <c r="J61" s="111"/>
      <c r="K61" s="111"/>
      <c r="L61" s="112"/>
      <c r="M61" s="111"/>
      <c r="N61" s="109" t="s">
        <v>285</v>
      </c>
      <c r="O61" s="109"/>
      <c r="P61" s="109"/>
      <c r="Q61" s="109"/>
      <c r="R61" s="109"/>
      <c r="S61" s="111" t="n">
        <f aca="false">SUM(S53:S60)</f>
        <v>36.3887841546687</v>
      </c>
      <c r="T61" s="111" t="n">
        <f aca="false">SUM(T53:T60)</f>
        <v>40.4204047080284</v>
      </c>
      <c r="U61" s="111" t="n">
        <f aca="false">SUM(U53:U60)</f>
        <v>38.760325656645</v>
      </c>
    </row>
    <row r="62" customFormat="false" ht="15.75" hidden="false" customHeight="true" outlineLevel="0" collapsed="false">
      <c r="A62" s="113" t="s">
        <v>290</v>
      </c>
      <c r="B62" s="113"/>
      <c r="C62" s="113"/>
      <c r="D62" s="114" t="n">
        <f aca="false">D19+D38+D51+D61</f>
        <v>175727.9</v>
      </c>
      <c r="E62" s="114" t="n">
        <f aca="false">E19+E38+E51+E61</f>
        <v>212261.654074014</v>
      </c>
      <c r="F62" s="114" t="n">
        <f aca="false">F19+F38+F51+F61</f>
        <v>113499.618628955</v>
      </c>
      <c r="G62" s="115"/>
      <c r="H62" s="116"/>
      <c r="I62" s="115"/>
      <c r="J62" s="115"/>
      <c r="K62" s="115"/>
      <c r="L62" s="117"/>
      <c r="M62" s="115"/>
      <c r="N62" s="113" t="s">
        <v>291</v>
      </c>
      <c r="O62" s="113"/>
      <c r="P62" s="113"/>
      <c r="Q62" s="113"/>
      <c r="R62" s="113"/>
      <c r="S62" s="115" t="n">
        <f aca="false">S19+S38+S51+S61</f>
        <v>321.749471318879</v>
      </c>
      <c r="T62" s="115" t="n">
        <f aca="false">T19+T38+T51+T61</f>
        <v>324.317799189014</v>
      </c>
      <c r="U62" s="115" t="n">
        <f aca="false">U19+U38+U51+U61</f>
        <v>325.147680065598</v>
      </c>
    </row>
    <row r="63" customFormat="false" ht="15.75" hidden="false" customHeight="true" outlineLevel="0" collapsed="false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 customFormat="false" ht="15.75" hidden="false" customHeight="true" outlineLevel="0" collapsed="false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customFormat="false" ht="15.75" hidden="false" customHeight="true" outlineLevel="0" collapsed="false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</row>
    <row r="66" customFormat="false" ht="15.75" hidden="false" customHeight="true" outlineLevel="0" collapsed="false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 customFormat="false" ht="15.75" hidden="false" customHeight="true" outlineLevel="0" collapsed="false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 customFormat="false" ht="15.75" hidden="false" customHeight="true" outlineLevel="0" collapsed="false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 customFormat="false" ht="15.75" hidden="false" customHeight="true" outlineLevel="0" collapsed="false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</row>
    <row r="70" customFormat="false" ht="15.75" hidden="false" customHeight="true" outlineLevel="0" collapsed="false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 customFormat="false" ht="15.75" hidden="false" customHeight="true" outlineLevel="0" collapsed="false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 customFormat="false" ht="15.75" hidden="false" customHeight="true" outlineLevel="0" collapsed="false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 customFormat="false" ht="15.75" hidden="false" customHeight="true" outlineLevel="0" collapsed="false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 customFormat="false" ht="15.75" hidden="false" customHeight="true" outlineLevel="0" collapsed="false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 customFormat="false" ht="15.75" hidden="false" customHeight="tru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 customFormat="false" ht="15.75" hidden="false" customHeight="true" outlineLevel="0" collapsed="false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 customFormat="false" ht="15.75" hidden="false" customHeight="true" outlineLevel="0" collapsed="false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customFormat="false" ht="15.75" hidden="false" customHeight="true" outlineLevel="0" collapsed="false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 customFormat="false" ht="15.75" hidden="false" customHeight="true" outlineLevel="0" collapsed="false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 customFormat="false" ht="15.75" hidden="false" customHeight="true" outlineLevel="0" collapsed="false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 customFormat="false" ht="15.75" hidden="false" customHeight="true" outlineLevel="0" collapsed="false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 customFormat="false" ht="15.75" hidden="false" customHeight="true" outlineLevel="0" collapsed="false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 customFormat="false" ht="15.75" hidden="false" customHeight="true" outlineLevel="0" collapsed="false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 customFormat="false" ht="15.75" hidden="false" customHeight="true" outlineLevel="0" collapsed="false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 customFormat="false" ht="15.75" hidden="false" customHeight="true" outlineLevel="0" collapsed="false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 customFormat="false" ht="15.75" hidden="false" customHeight="true" outlineLevel="0" collapsed="false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 customFormat="false" ht="15.75" hidden="false" customHeight="true" outlineLevel="0" collapsed="false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 customFormat="false" ht="15.75" hidden="false" customHeight="true" outlineLevel="0" collapsed="false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 customFormat="false" ht="15.75" hidden="false" customHeight="true" outlineLevel="0" collapsed="false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</row>
    <row r="90" customFormat="false" ht="15.75" hidden="false" customHeight="true" outlineLevel="0" collapsed="false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</row>
    <row r="91" customFormat="false" ht="15.75" hidden="false" customHeight="true" outlineLevel="0" collapsed="false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</row>
    <row r="92" customFormat="false" ht="15.75" hidden="false" customHeight="true" outlineLevel="0" collapsed="false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</row>
    <row r="93" customFormat="false" ht="15.75" hidden="false" customHeight="true" outlineLevel="0" collapsed="false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</row>
    <row r="94" customFormat="false" ht="15.75" hidden="false" customHeight="true" outlineLevel="0" collapsed="false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</row>
    <row r="95" customFormat="false" ht="15.75" hidden="false" customHeight="true" outlineLevel="0" collapsed="false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</row>
    <row r="96" customFormat="false" ht="15.75" hidden="false" customHeight="true" outlineLevel="0" collapsed="false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</row>
    <row r="97" customFormat="false" ht="15.75" hidden="false" customHeight="true" outlineLevel="0" collapsed="false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</row>
    <row r="98" customFormat="false" ht="15.75" hidden="false" customHeight="true" outlineLevel="0" collapsed="false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</row>
    <row r="99" customFormat="false" ht="15.75" hidden="false" customHeight="true" outlineLevel="0" collapsed="false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</row>
    <row r="100" customFormat="false" ht="15.75" hidden="false" customHeight="tru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</row>
    <row r="101" customFormat="false" ht="15.75" hidden="false" customHeight="tru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 customFormat="false" ht="15.75" hidden="false" customHeight="true" outlineLevel="0" collapsed="false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</row>
    <row r="103" customFormat="false" ht="15.75" hidden="false" customHeight="true" outlineLevel="0" collapsed="false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</row>
    <row r="104" customFormat="false" ht="15.75" hidden="false" customHeight="true" outlineLevel="0" collapsed="false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</row>
    <row r="105" customFormat="false" ht="15.75" hidden="false" customHeight="true" outlineLevel="0" collapsed="false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</row>
    <row r="106" customFormat="false" ht="15.75" hidden="false" customHeight="true" outlineLevel="0" collapsed="false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</row>
    <row r="107" customFormat="false" ht="15.75" hidden="false" customHeight="true" outlineLevel="0" collapsed="false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</row>
    <row r="108" customFormat="false" ht="15.75" hidden="false" customHeight="true" outlineLevel="0" collapsed="false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</row>
    <row r="109" customFormat="false" ht="15.75" hidden="false" customHeight="true" outlineLevel="0" collapsed="false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</row>
    <row r="110" customFormat="false" ht="15.75" hidden="false" customHeight="true" outlineLevel="0" collapsed="false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</row>
    <row r="111" customFormat="false" ht="15.75" hidden="false" customHeight="true" outlineLevel="0" collapsed="false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</row>
    <row r="112" customFormat="false" ht="15.75" hidden="false" customHeight="true" outlineLevel="0" collapsed="false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</row>
    <row r="113" customFormat="false" ht="15.75" hidden="false" customHeight="true" outlineLevel="0" collapsed="false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</row>
    <row r="114" customFormat="false" ht="15.75" hidden="false" customHeight="true" outlineLevel="0" collapsed="false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</row>
    <row r="115" customFormat="false" ht="15.75" hidden="false" customHeight="true" outlineLevel="0" collapsed="false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</row>
    <row r="116" customFormat="false" ht="15.75" hidden="false" customHeight="true" outlineLevel="0" collapsed="false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</row>
    <row r="117" customFormat="false" ht="15.75" hidden="false" customHeight="true" outlineLevel="0" collapsed="false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</row>
    <row r="118" customFormat="false" ht="15.75" hidden="false" customHeight="true" outlineLevel="0" collapsed="false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</row>
    <row r="119" customFormat="false" ht="15.75" hidden="false" customHeight="true" outlineLevel="0" collapsed="false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</row>
    <row r="120" customFormat="false" ht="15.75" hidden="false" customHeight="true" outlineLevel="0" collapsed="false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</row>
    <row r="121" customFormat="false" ht="15.75" hidden="false" customHeight="true" outlineLevel="0" collapsed="false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</row>
    <row r="122" customFormat="false" ht="15.75" hidden="false" customHeight="true" outlineLevel="0" collapsed="false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</row>
    <row r="123" customFormat="false" ht="15.75" hidden="false" customHeight="true" outlineLevel="0" collapsed="false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</row>
    <row r="124" customFormat="false" ht="15.75" hidden="false" customHeight="true" outlineLevel="0" collapsed="false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</row>
    <row r="125" customFormat="false" ht="15.75" hidden="false" customHeight="true" outlineLevel="0" collapsed="false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</row>
    <row r="126" customFormat="false" ht="15.75" hidden="false" customHeight="true" outlineLevel="0" collapsed="false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</row>
    <row r="127" customFormat="false" ht="15.75" hidden="false" customHeight="true" outlineLevel="0" collapsed="false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</row>
    <row r="128" customFormat="false" ht="15.75" hidden="false" customHeight="true" outlineLevel="0" collapsed="false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</row>
    <row r="129" customFormat="false" ht="15.75" hidden="false" customHeight="true" outlineLevel="0" collapsed="false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</row>
    <row r="130" customFormat="false" ht="15.75" hidden="false" customHeight="true" outlineLevel="0" collapsed="false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</row>
    <row r="131" customFormat="false" ht="15.75" hidden="false" customHeight="true" outlineLevel="0" collapsed="false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</row>
    <row r="132" customFormat="false" ht="15.75" hidden="false" customHeight="true" outlineLevel="0" collapsed="false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</row>
    <row r="133" customFormat="false" ht="15.75" hidden="false" customHeight="true" outlineLevel="0" collapsed="false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</row>
    <row r="134" customFormat="false" ht="15.75" hidden="false" customHeight="true" outlineLevel="0" collapsed="false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</row>
    <row r="135" customFormat="false" ht="15.75" hidden="false" customHeight="true" outlineLevel="0" collapsed="false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 customFormat="false" ht="15.75" hidden="false" customHeight="true" outlineLevel="0" collapsed="false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</row>
    <row r="137" customFormat="false" ht="15.75" hidden="false" customHeight="true" outlineLevel="0" collapsed="false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</row>
    <row r="138" customFormat="false" ht="15.75" hidden="false" customHeight="true" outlineLevel="0" collapsed="false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</row>
    <row r="139" customFormat="false" ht="15.75" hidden="false" customHeight="true" outlineLevel="0" collapsed="false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</row>
    <row r="140" customFormat="false" ht="15.75" hidden="false" customHeight="true" outlineLevel="0" collapsed="false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</row>
    <row r="141" customFormat="false" ht="15.75" hidden="false" customHeight="true" outlineLevel="0" collapsed="false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</row>
    <row r="142" customFormat="false" ht="15.75" hidden="false" customHeight="true" outlineLevel="0" collapsed="false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</row>
    <row r="143" customFormat="false" ht="15.75" hidden="false" customHeight="true" outlineLevel="0" collapsed="false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</row>
    <row r="144" customFormat="false" ht="15.75" hidden="false" customHeight="true" outlineLevel="0" collapsed="false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</row>
    <row r="145" customFormat="false" ht="15.75" hidden="false" customHeight="true" outlineLevel="0" collapsed="false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</row>
    <row r="146" customFormat="false" ht="15.75" hidden="false" customHeight="true" outlineLevel="0" collapsed="false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</row>
    <row r="147" customFormat="false" ht="15.75" hidden="false" customHeight="true" outlineLevel="0" collapsed="false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</row>
    <row r="148" customFormat="false" ht="15.75" hidden="false" customHeight="true" outlineLevel="0" collapsed="false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</row>
    <row r="149" customFormat="false" ht="15.75" hidden="false" customHeight="true" outlineLevel="0" collapsed="false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</row>
    <row r="150" customFormat="false" ht="15.75" hidden="false" customHeight="true" outlineLevel="0" collapsed="false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</row>
    <row r="151" customFormat="false" ht="15.75" hidden="false" customHeight="true" outlineLevel="0" collapsed="false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</row>
    <row r="152" customFormat="false" ht="15.75" hidden="false" customHeight="true" outlineLevel="0" collapsed="false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</row>
    <row r="153" customFormat="false" ht="15.75" hidden="false" customHeight="true" outlineLevel="0" collapsed="false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</row>
    <row r="154" customFormat="false" ht="15.75" hidden="false" customHeight="true" outlineLevel="0" collapsed="false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</row>
    <row r="155" customFormat="false" ht="15.75" hidden="false" customHeight="true" outlineLevel="0" collapsed="false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</row>
    <row r="156" customFormat="false" ht="15.75" hidden="false" customHeight="true" outlineLevel="0" collapsed="false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</row>
    <row r="157" customFormat="false" ht="15.75" hidden="false" customHeight="true" outlineLevel="0" collapsed="false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</row>
    <row r="158" customFormat="false" ht="15.75" hidden="false" customHeight="true" outlineLevel="0" collapsed="false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</row>
    <row r="159" customFormat="false" ht="15.75" hidden="false" customHeight="true" outlineLevel="0" collapsed="false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</row>
    <row r="160" customFormat="false" ht="15.75" hidden="false" customHeight="true" outlineLevel="0" collapsed="false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</row>
    <row r="161" customFormat="false" ht="15.75" hidden="false" customHeight="true" outlineLevel="0" collapsed="false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</row>
    <row r="162" customFormat="false" ht="15.75" hidden="false" customHeight="true" outlineLevel="0" collapsed="false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</row>
    <row r="163" customFormat="false" ht="15.75" hidden="false" customHeight="true" outlineLevel="0" collapsed="false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</row>
    <row r="164" customFormat="false" ht="15.75" hidden="false" customHeight="true" outlineLevel="0" collapsed="false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</row>
    <row r="165" customFormat="false" ht="15.75" hidden="false" customHeight="true" outlineLevel="0" collapsed="false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</row>
    <row r="166" customFormat="false" ht="15.75" hidden="false" customHeight="true" outlineLevel="0" collapsed="false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</row>
    <row r="167" customFormat="false" ht="15.75" hidden="false" customHeight="true" outlineLevel="0" collapsed="false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</row>
    <row r="168" customFormat="false" ht="15.75" hidden="false" customHeight="true" outlineLevel="0" collapsed="false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</row>
    <row r="169" customFormat="false" ht="15.75" hidden="false" customHeight="true" outlineLevel="0" collapsed="false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</row>
    <row r="170" customFormat="false" ht="15.75" hidden="false" customHeight="true" outlineLevel="0" collapsed="false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</row>
    <row r="171" customFormat="false" ht="15.75" hidden="false" customHeight="true" outlineLevel="0" collapsed="false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</row>
    <row r="172" customFormat="false" ht="15.75" hidden="false" customHeight="true" outlineLevel="0" collapsed="false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</row>
    <row r="173" customFormat="false" ht="15.75" hidden="false" customHeight="true" outlineLevel="0" collapsed="false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</row>
    <row r="174" customFormat="false" ht="15.75" hidden="false" customHeight="true" outlineLevel="0" collapsed="false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</row>
    <row r="175" customFormat="false" ht="15.75" hidden="false" customHeight="true" outlineLevel="0" collapsed="false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</row>
    <row r="176" customFormat="false" ht="15.75" hidden="false" customHeight="true" outlineLevel="0" collapsed="false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</row>
    <row r="177" customFormat="false" ht="15.75" hidden="false" customHeight="true" outlineLevel="0" collapsed="false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</row>
    <row r="178" customFormat="false" ht="15.75" hidden="false" customHeight="true" outlineLevel="0" collapsed="false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</row>
    <row r="179" customFormat="false" ht="15.75" hidden="false" customHeight="true" outlineLevel="0" collapsed="false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</row>
    <row r="180" customFormat="false" ht="15.75" hidden="false" customHeight="true" outlineLevel="0" collapsed="false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</row>
    <row r="181" customFormat="false" ht="15.75" hidden="false" customHeight="true" outlineLevel="0" collapsed="false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</row>
    <row r="182" customFormat="false" ht="15.75" hidden="false" customHeight="true" outlineLevel="0" collapsed="false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</row>
    <row r="183" customFormat="false" ht="15.75" hidden="false" customHeight="true" outlineLevel="0" collapsed="false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</row>
    <row r="184" customFormat="false" ht="15.75" hidden="false" customHeight="true" outlineLevel="0" collapsed="false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</row>
    <row r="185" customFormat="false" ht="15.75" hidden="false" customHeight="true" outlineLevel="0" collapsed="false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</row>
    <row r="186" customFormat="false" ht="15.75" hidden="false" customHeight="true" outlineLevel="0" collapsed="false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</row>
    <row r="187" customFormat="false" ht="15.75" hidden="false" customHeight="true" outlineLevel="0" collapsed="false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</row>
    <row r="188" customFormat="false" ht="15.75" hidden="false" customHeight="true" outlineLevel="0" collapsed="false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</row>
    <row r="189" customFormat="false" ht="15.75" hidden="false" customHeight="true" outlineLevel="0" collapsed="false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</row>
    <row r="190" customFormat="false" ht="15.75" hidden="false" customHeight="true" outlineLevel="0" collapsed="false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</row>
    <row r="191" customFormat="false" ht="15.75" hidden="false" customHeight="true" outlineLevel="0" collapsed="false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</row>
    <row r="192" customFormat="false" ht="15.75" hidden="false" customHeight="true" outlineLevel="0" collapsed="false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</row>
    <row r="193" customFormat="false" ht="15.75" hidden="false" customHeight="true" outlineLevel="0" collapsed="false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</row>
    <row r="194" customFormat="false" ht="15.75" hidden="false" customHeight="true" outlineLevel="0" collapsed="false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</row>
    <row r="195" customFormat="false" ht="15.75" hidden="false" customHeight="true" outlineLevel="0" collapsed="false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</row>
    <row r="196" customFormat="false" ht="15.75" hidden="false" customHeight="true" outlineLevel="0" collapsed="false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</row>
    <row r="197" customFormat="false" ht="15.75" hidden="false" customHeight="true" outlineLevel="0" collapsed="false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</row>
    <row r="198" customFormat="false" ht="15.75" hidden="false" customHeight="true" outlineLevel="0" collapsed="false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</row>
    <row r="199" customFormat="false" ht="15.75" hidden="false" customHeight="true" outlineLevel="0" collapsed="false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</row>
    <row r="200" customFormat="false" ht="15.75" hidden="false" customHeight="true" outlineLevel="0" collapsed="false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</row>
    <row r="201" customFormat="false" ht="15.75" hidden="false" customHeight="true" outlineLevel="0" collapsed="false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</row>
    <row r="202" customFormat="false" ht="15.75" hidden="false" customHeight="true" outlineLevel="0" collapsed="false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</row>
    <row r="203" customFormat="false" ht="15.75" hidden="false" customHeight="true" outlineLevel="0" collapsed="false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</row>
    <row r="204" customFormat="false" ht="15.75" hidden="false" customHeight="true" outlineLevel="0" collapsed="false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</row>
    <row r="205" customFormat="false" ht="15.75" hidden="false" customHeight="true" outlineLevel="0" collapsed="false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</row>
    <row r="206" customFormat="false" ht="15.75" hidden="false" customHeight="true" outlineLevel="0" collapsed="false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</row>
    <row r="207" customFormat="false" ht="15.75" hidden="false" customHeight="true" outlineLevel="0" collapsed="false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</row>
    <row r="208" customFormat="false" ht="15.75" hidden="false" customHeight="true" outlineLevel="0" collapsed="false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</row>
    <row r="209" customFormat="false" ht="15.75" hidden="false" customHeight="true" outlineLevel="0" collapsed="false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</row>
    <row r="210" customFormat="false" ht="15.75" hidden="false" customHeight="true" outlineLevel="0" collapsed="false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</row>
    <row r="211" customFormat="false" ht="15.75" hidden="false" customHeight="true" outlineLevel="0" collapsed="false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</row>
    <row r="212" customFormat="false" ht="15.75" hidden="false" customHeight="true" outlineLevel="0" collapsed="false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</row>
    <row r="213" customFormat="false" ht="15.75" hidden="false" customHeight="true" outlineLevel="0" collapsed="false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</row>
    <row r="214" customFormat="false" ht="15.75" hidden="false" customHeight="true" outlineLevel="0" collapsed="false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</row>
    <row r="215" customFormat="false" ht="15.75" hidden="false" customHeight="true" outlineLevel="0" collapsed="false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</row>
    <row r="216" customFormat="false" ht="15.75" hidden="false" customHeight="true" outlineLevel="0" collapsed="false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</row>
    <row r="217" customFormat="false" ht="15.75" hidden="false" customHeight="true" outlineLevel="0" collapsed="false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</row>
    <row r="218" customFormat="false" ht="15.75" hidden="false" customHeight="true" outlineLevel="0" collapsed="false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</row>
    <row r="219" customFormat="false" ht="15.75" hidden="false" customHeight="true" outlineLevel="0" collapsed="false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</row>
    <row r="220" customFormat="false" ht="15.75" hidden="false" customHeight="true" outlineLevel="0" collapsed="false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</row>
    <row r="221" customFormat="false" ht="15.75" hidden="false" customHeight="true" outlineLevel="0" collapsed="false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</row>
    <row r="222" customFormat="false" ht="15.75" hidden="false" customHeight="true" outlineLevel="0" collapsed="false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</row>
    <row r="223" customFormat="false" ht="15.75" hidden="false" customHeight="true" outlineLevel="0" collapsed="false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</row>
    <row r="224" customFormat="false" ht="15.75" hidden="false" customHeight="true" outlineLevel="0" collapsed="false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</row>
    <row r="225" customFormat="false" ht="15.75" hidden="false" customHeight="true" outlineLevel="0" collapsed="false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</row>
    <row r="226" customFormat="false" ht="15.75" hidden="false" customHeight="true" outlineLevel="0" collapsed="false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</row>
    <row r="227" customFormat="false" ht="15.75" hidden="false" customHeight="true" outlineLevel="0" collapsed="false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</row>
    <row r="228" customFormat="false" ht="15.75" hidden="false" customHeight="true" outlineLevel="0" collapsed="false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</row>
    <row r="229" customFormat="false" ht="15.75" hidden="false" customHeight="true" outlineLevel="0" collapsed="false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</row>
    <row r="230" customFormat="false" ht="15.75" hidden="false" customHeight="true" outlineLevel="0" collapsed="false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</row>
    <row r="231" customFormat="false" ht="15.75" hidden="false" customHeight="true" outlineLevel="0" collapsed="false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</row>
  </sheetData>
  <mergeCells count="27">
    <mergeCell ref="A1:U2"/>
    <mergeCell ref="A3:A4"/>
    <mergeCell ref="B3:B4"/>
    <mergeCell ref="C3:C4"/>
    <mergeCell ref="D3:I3"/>
    <mergeCell ref="J3:K3"/>
    <mergeCell ref="L3:M3"/>
    <mergeCell ref="N3:O3"/>
    <mergeCell ref="P3:Q3"/>
    <mergeCell ref="R3:R4"/>
    <mergeCell ref="S3:S4"/>
    <mergeCell ref="T3:T4"/>
    <mergeCell ref="U3:U4"/>
    <mergeCell ref="A5:U5"/>
    <mergeCell ref="A19:C19"/>
    <mergeCell ref="N19:R19"/>
    <mergeCell ref="A20:U20"/>
    <mergeCell ref="A38:C38"/>
    <mergeCell ref="N38:R38"/>
    <mergeCell ref="A39:U39"/>
    <mergeCell ref="A51:C51"/>
    <mergeCell ref="N51:R51"/>
    <mergeCell ref="A52:U52"/>
    <mergeCell ref="A61:C61"/>
    <mergeCell ref="N61:R61"/>
    <mergeCell ref="A62:C62"/>
    <mergeCell ref="N62:R6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2026-10-07T02:56:44Z</dcterms:created>
  <dc:creator>openpyxl</dc:creator>
  <dc:description/>
  <dc:language>en-US</dc:language>
  <cp:lastModifiedBy/>
  <dcterms:modified xsi:type="dcterms:W3CDTF">2026-10-07T08:41:41Z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