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uminotécnico" sheetId="1" state="visible" r:id="rId3"/>
    <sheet name="Previsão de Cargas" sheetId="2" state="visible" r:id="rId4"/>
    <sheet name="Divisão dos Circuitos" sheetId="3" state="visible" r:id="rId5"/>
    <sheet name="Capac.Cond.Corre." sheetId="4" state="visible" r:id="rId6"/>
    <sheet name="Queda de Tensão" sheetId="5" state="visible" r:id="rId7"/>
    <sheet name="Sobrecarga" sheetId="6" state="visible" r:id="rId8"/>
    <sheet name="Quadro de Carg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3" authorId="0">
      <text>
        <r>
          <rPr>
            <sz val="10"/>
            <rFont val="Arial"/>
            <family val="2"/>
          </rPr>
          <t xml:space="preserve">======
ID#AAABhxsiPC4
Autor    (2025-04-14 23:48:00)
Incandescente
Fluorescente
LED
Vapor de sódio
Etc.</t>
        </r>
      </text>
    </comment>
    <comment ref="AD5" authorId="0">
      <text>
        <r>
          <rPr>
            <sz val="10"/>
            <rFont val="Arial"/>
            <family val="2"/>
          </rPr>
          <t xml:space="preserve">μ lido na tabela 'Fator de utilização' da ficha LHB60-S12000850FW (Lumicenter, rev. 21/09/2026), coluna teto 70% / parede 50% / chão 20% (o catálogo não traz chão 10%), com interpolação linear pelo RCR.</t>
        </r>
      </text>
    </comment>
    <comment ref="AD11" authorId="0">
      <text>
        <r>
          <rPr>
            <sz val="10"/>
            <rFont val="Arial"/>
            <family val="2"/>
          </rPr>
          <t xml:space="preserve">μ lido na tabela 'Fator de utilização' da ficha LHT44-E4000840 (Lumicenter, rev. 25/01/2023), coluna teto 70% / parede 50% / chão 20% (o catálogo não traz chão 10%), com interpolação linear pelo RCR. Circulação 3 (RCR 13) extrapolado além da tabela (RCR máx. 10).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======
ID#AAABhyIioxw
Dependência    (2025-04-14 23:48:00)
Sala;
Copa;
Cozinha;
Dormitório 1;
Dormitório 2;
Banheiro 1;
Área de Serviço;
Etc...</t>
        </r>
      </text>
    </comment>
    <comment ref="B2" authorId="0">
      <text>
        <r>
          <rPr>
            <sz val="10"/>
            <rFont val="Arial"/>
            <family val="2"/>
          </rPr>
          <t xml:space="preserve">======
ID#AAABhyIioxo
Dimensões Área[m²]    (2025-04-14 23:48:00)
Inserir apenas o valor da área em metros quadrados</t>
        </r>
      </text>
    </comment>
    <comment ref="C2" authorId="0">
      <text>
        <r>
          <rPr>
            <sz val="10"/>
            <rFont val="Arial"/>
            <family val="2"/>
          </rPr>
          <t xml:space="preserve">======
ID#AAABhyIiow4
Dimensões Perímetro[m]    (2025-04-14 23:48:00)
Inserir apenas o valor do perímetro em metros</t>
        </r>
      </text>
    </comment>
    <comment ref="D2" authorId="0">
      <text>
        <r>
          <rPr>
            <sz val="10"/>
            <rFont val="Arial"/>
            <family val="2"/>
          </rPr>
          <t xml:space="preserve">======
ID#AAABhyIioxs
Autor    (2025-04-14 23:48:00)
Potência de 
Iluminação
[VA]
Inserir apenas o valor da potência de iluminação total prevista para  a dependência.</t>
        </r>
      </text>
    </comment>
    <comment ref="E3" authorId="0">
      <text>
        <r>
          <rPr>
            <sz val="10"/>
            <rFont val="Arial"/>
            <family val="2"/>
          </rPr>
          <t xml:space="preserve">======
ID#AAABhyIioww
Autor    (2025-04-14 23:48:00)
Quantidade
Inserir apenas a quantidade total de TUG prevista para a dependência.</t>
        </r>
      </text>
    </comment>
    <comment ref="F3" authorId="0">
      <text>
        <r>
          <rPr>
            <sz val="10"/>
            <rFont val="Arial"/>
            <family val="2"/>
          </rPr>
          <t xml:space="preserve">======
ID#AAABhxsiPDE
Autor    (2025-04-14 23:48:00)
Potência [VA]
Inserir a potência total prevista em VA para todos os pontos de TUG's da dependência.</t>
        </r>
      </text>
    </comment>
    <comment ref="G3" authorId="0">
      <text>
        <r>
          <rPr>
            <sz val="10"/>
            <rFont val="Arial"/>
            <family val="2"/>
          </rPr>
          <t xml:space="preserve">======
ID#AAABhyIiowg
Autor    (2025-04-14 23:48:00)
Quantidade
Inserir apenas a quantidade total de TUG prevista para a dependência.</t>
        </r>
      </text>
    </comment>
    <comment ref="H3" authorId="0">
      <text>
        <r>
          <rPr>
            <sz val="10"/>
            <rFont val="Arial"/>
            <family val="2"/>
          </rPr>
          <t xml:space="preserve">======
ID#AAABhxsiPCk
Autor    (2025-04-14 23:48:00)
Potência [VA]
Inserir a potência total prevista em VA para todos os pontos de TUG's da dependência.</t>
        </r>
      </text>
    </comment>
    <comment ref="I3" authorId="0">
      <text>
        <r>
          <rPr>
            <sz val="10"/>
            <rFont val="Arial"/>
            <family val="2"/>
          </rPr>
          <t xml:space="preserve">======
ID#AAABhyIioxE
Autor    (2025-04-14 23:48:00)
Descrição
Desecrever a TUE 
Ex.: 
Chuveiro; Condicionador de ar; Torneira elétrica; Máquina de lavar;</t>
        </r>
      </text>
    </comment>
    <comment ref="J3" authorId="0">
      <text>
        <r>
          <rPr>
            <sz val="10"/>
            <rFont val="Arial"/>
            <family val="2"/>
          </rPr>
          <t xml:space="preserve">======
ID#AAABhyIiows
Autor    (2025-04-14 23:48:00)
Potência [W]
Inserir a potência individual prevista em W para cada pontos de TUE.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======
ID#AAABhxsiPDU
Autor    (2025-04-14 23:48:00)
VN - Tensão fornecida pela rede em [V]
Monofásico: 220V
Bifásico: 220/380V
Trifásico: 220/308V</t>
        </r>
      </text>
    </comment>
    <comment ref="C2" authorId="0">
      <text>
        <r>
          <rPr>
            <sz val="10"/>
            <rFont val="Arial"/>
            <family val="2"/>
          </rPr>
          <t xml:space="preserve">======
ID#AAABhxsiPDQ
Autor    (2025-04-14 23:48:00)
Origem
De onde parte o circuito.
Ex.: Medidor; QDG; QD1; QD2</t>
        </r>
      </text>
    </comment>
    <comment ref="D2" authorId="0">
      <text>
        <r>
          <rPr>
            <sz val="10"/>
            <rFont val="Arial"/>
            <family val="2"/>
          </rPr>
          <t xml:space="preserve">======
ID#AAABhyIioxY
Autor    (2025-04-14 23:48:00)
Destino
Cômodos para o qual o circuito será deslocado.
Ex.: Sala, Dormitório 1, Dormitório 2, Banheiro 1, 
anheiro2, etc...</t>
        </r>
      </text>
    </comment>
    <comment ref="E2" authorId="0">
      <text>
        <r>
          <rPr>
            <sz val="10"/>
            <rFont val="Arial"/>
            <family val="2"/>
          </rPr>
          <t xml:space="preserve">======
ID#AAABhyIioxA
Autor    (2025-04-14 23:48:00)
S1 - Seção Mínima em [mm²]
Circuito de Iluminação: 1,5mm²
Circuito de força: 2,5mm²</t>
        </r>
      </text>
    </comment>
    <comment ref="F2" authorId="0">
      <text>
        <r>
          <rPr>
            <sz val="10"/>
            <rFont val="Arial"/>
            <family val="2"/>
          </rPr>
          <t xml:space="preserve">======
ID#AAABhyIiowY
Autor    (2025-04-14 23:48:00)
Tipo de Fornecimento
Monofásico: 1
Bifásico: 2
Trifásico: 3</t>
        </r>
      </text>
    </comment>
    <comment ref="G2" authorId="0">
      <text>
        <r>
          <rPr>
            <sz val="10"/>
            <rFont val="Arial"/>
            <family val="2"/>
          </rPr>
          <t xml:space="preserve">======
ID#AAABhyIioxc
Autor    (2025-04-14 23:48:00)
FP - Faor de Potência
Depende do tipo de carga</t>
        </r>
      </text>
    </comment>
    <comment ref="H3" authorId="0">
      <text>
        <r>
          <rPr>
            <sz val="10"/>
            <rFont val="Arial"/>
            <family val="2"/>
          </rPr>
          <t xml:space="preserve">======
ID#AAABhxsiPDI
Autor    (2025-04-14 23:48:00)
P - Potência Ativa total do circuito [W]
P = S *FP</t>
        </r>
      </text>
    </comment>
    <comment ref="I3" authorId="0">
      <text>
        <r>
          <rPr>
            <sz val="10"/>
            <rFont val="Arial"/>
            <family val="2"/>
          </rPr>
          <t xml:space="preserve">======
ID#AAABhyIiox0
Autor    (2025-04-14 23:48:00)
S - Potência Aparente total do circuito [VA]
S = P / FP</t>
        </r>
      </text>
    </comment>
    <comment ref="J3" authorId="0">
      <text>
        <r>
          <rPr>
            <sz val="10"/>
            <rFont val="Arial"/>
            <family val="2"/>
          </rPr>
          <t xml:space="preserve">======
ID#AAABhyIiox0
Autor    (2025-04-14 23:48:00)
S - Potência Aparente total do circuito [VA]
S = P / FP</t>
        </r>
      </text>
    </comment>
    <comment ref="K2" authorId="0">
      <text>
        <r>
          <rPr>
            <sz val="10"/>
            <rFont val="Arial"/>
            <family val="2"/>
          </rPr>
          <t xml:space="preserve">======
ID#AAABhyIioxI
Autor    (2025-04-14 23:48:00)
IN -Corrente de projeto [A]
Para os circuitos terminais
Monofásicos: IN = S / Vfn
Ttifásicos: IN = S /(raiz(3) * Vff)
onde: 
Vfn: Tensão entre Fase-Neutro 
Vff: Tensão entre Fase-Fase</t>
        </r>
      </text>
    </comment>
    <comment ref="M3" authorId="0">
      <text>
        <r>
          <rPr>
            <sz val="10"/>
            <rFont val="Arial"/>
            <family val="2"/>
          </rPr>
          <t xml:space="preserve">======
ID#AAABhyIioxQ
Autor    (2025-04-14 23:48:00)
ID - Corrente nominal comercial
10,16,20,25,32,40,50,63, 70, 80, 90, 100, 125 A</t>
        </r>
      </text>
    </comment>
    <comment ref="O3" authorId="0">
      <text>
        <r>
          <rPr>
            <sz val="10"/>
            <rFont val="Arial"/>
            <family val="2"/>
          </rPr>
          <t xml:space="preserve">======
ID#AAABhyIioxg
Autor    (2025-04-14 23:48:00)
Corrente nominal comercial
16, 25, 40, 63, 80, 100, 125 A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3" authorId="0">
      <text>
        <r>
          <rPr>
            <sz val="10"/>
            <rFont val="Arial"/>
            <family val="2"/>
          </rPr>
          <t xml:space="preserve">======
ID#AAABhxsiPCs
Autor    (2025-04-14 23:48:00)
N° de condutores carregados
2 ou 3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3" authorId="0">
      <text>
        <r>
          <rPr>
            <sz val="10"/>
            <rFont val="Arial"/>
            <family val="2"/>
          </rPr>
          <t xml:space="preserve">======
ID#AAABhyIioxM
Autor    (2025-04-14 23:48:00)
Monofáscio k=2
Trifásico k=1</t>
        </r>
      </text>
    </comment>
    <comment ref="G3" authorId="0">
      <text>
        <r>
          <rPr>
            <sz val="10"/>
            <rFont val="Arial"/>
            <family val="2"/>
          </rPr>
          <t xml:space="preserve">======
ID#AAABhxsiPCo
Autor    (2025-04-14 23:48:00)
Cobre: 0,0172 Ω . mm² / m
Alumínio: 0,02857 Ω . mm² / m</t>
        </r>
      </text>
    </comment>
    <comment ref="H3" authorId="0">
      <text>
        <r>
          <rPr>
            <sz val="10"/>
            <rFont val="Arial"/>
            <family val="2"/>
          </rPr>
          <t xml:space="preserve">======
ID#AAABhyIioxk
Autor    (2025-04-14 23:48:00)
Alturas em relação ao piso
Altura QD = 1,20 m
Tomada baixa = 0,3 m
Tomada média = 1,1 m
Tomada alta = 2,2 m</t>
        </r>
      </text>
    </comment>
    <comment ref="K3" authorId="0">
      <text>
        <r>
          <rPr>
            <sz val="10"/>
            <rFont val="Arial"/>
            <family val="2"/>
          </rPr>
          <t xml:space="preserve">======
ID#AAABhyIiowk
Valores comerciais    (2025-04-14 23:48:00)
0,5;
0,75;
1,0;
1,5;
2,5;
4,0;
6,0;
10;
16;
25;
35;
50;
70;
95;
120;
150;
185;
240;
300;
400;
500;
630;
800;
1000;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3" authorId="0">
      <text>
        <r>
          <rPr>
            <sz val="10"/>
            <rFont val="Arial"/>
            <family val="2"/>
          </rPr>
          <t xml:space="preserve">======
ID#AAABhyIiow0
Autor    (2025-04-14 23:48:00)
Corrente corrigida do Disjuntor - ID'
Valores tabelados</t>
        </r>
      </text>
    </comment>
    <comment ref="H3" authorId="0">
      <text>
        <r>
          <rPr>
            <sz val="10"/>
            <rFont val="Arial"/>
            <family val="2"/>
          </rPr>
          <t xml:space="preserve">======
ID#AAABhxsiPDM
Autor    (2025-04-14 23:48:00)
Seção do condutor (máxima)
Selecionar a maior seção dimensionada até o momento entre os valores:
S1 - Seção Mínima;
S2 - Seção adequada pelo critério de condução de corrente;
S3 - Seção adequada pelo critério de queda de tensão;</t>
        </r>
      </text>
    </comment>
    <comment ref="L3" authorId="0">
      <text>
        <r>
          <rPr>
            <sz val="10"/>
            <rFont val="Arial"/>
            <family val="2"/>
          </rPr>
          <t xml:space="preserve">======
ID#AAABhyIiowc
Autor    (2025-04-14 23:48:00)
IZ - Capacidade de condução de corrente para as condições anteriores (Seção do condutor máxima, Método Instala., Tipo de Isolação, N° Cond. Carregados)</t>
        </r>
      </text>
    </comment>
    <comment ref="O3" authorId="0">
      <text>
        <r>
          <rPr>
            <sz val="10"/>
            <rFont val="Arial"/>
            <family val="2"/>
          </rPr>
          <t xml:space="preserve">======
ID#AAABhyIiowo
Autor    (2025-04-14 23:48:00)
IZ' - Corrente IZ corrigida pelos fatores FT e FA.
IZ' = IZ * FT * FA</t>
        </r>
      </text>
    </comment>
    <comment ref="Q3" authorId="0">
      <text>
        <r>
          <rPr>
            <sz val="10"/>
            <rFont val="Arial"/>
            <family val="2"/>
          </rPr>
          <t xml:space="preserve">======
ID#AAABhxsiPC0
Autor    (2025-04-14 23:48:00)
SF - Seção final para o condutor do circuito
-Caso a condição (IZ'&gt;ID') for verdade, então a seção SF será igual a seção do condutor máxima selecionada anteriormente, caso contrário aumentar a seção máxima para o próximo valor comercial e refazer o cálculo de IZ' até que IZ'&gt;ID'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======
ID#AAABhxsiPC8
Autor    (2025-04-14 23:48:00)
Tipo de Fornecimento
Escrever por extenso:
Monofásico / Bifásico / Trifásico</t>
        </r>
      </text>
    </comment>
    <comment ref="R3" authorId="0">
      <text>
        <r>
          <rPr>
            <sz val="10"/>
            <rFont val="Arial"/>
            <family val="2"/>
          </rPr>
          <t xml:space="preserve">======
ID#AAABhxsiPCw
Autor    (2025-04-14 23:48:00)
Balanço de Fases
Indicar qual fase o cirtuto será ligado
R / S / T</t>
        </r>
      </text>
    </comment>
    <comment ref="S3" authorId="0">
      <text>
        <r>
          <rPr>
            <sz val="10"/>
            <rFont val="Arial"/>
            <family val="2"/>
          </rPr>
          <t xml:space="preserve">======
ID#AAABhyIiow8
Autor    (2025-04-14 23:48:00)
Corrente Fase R
Caso o Circuito esteja na fase R preencher com o valor de IN, caso contrário inserir o valor zero.</t>
        </r>
      </text>
    </comment>
    <comment ref="T3" authorId="0">
      <text>
        <r>
          <rPr>
            <sz val="10"/>
            <rFont val="Arial"/>
            <family val="2"/>
          </rPr>
          <t xml:space="preserve">======
ID#AAABhyIioxU
Autor    (2025-04-14 23:48:00)
Corrente Fase S
Caso o Circuito esteja na fase S preencher com o valor de IN, caso contrário inserir o valor zero.</t>
        </r>
      </text>
    </comment>
    <comment ref="U3" authorId="0">
      <text>
        <r>
          <rPr>
            <sz val="10"/>
            <rFont val="Arial"/>
            <family val="2"/>
          </rPr>
          <t xml:space="preserve">======
ID#AAABhxsiPDA
Autor    (2025-04-14 23:48:00)
Corrente Fase S
Caso o Circuito esteja na fase T preencher com o valor de IN, caso contrário inserir o valor zero.</t>
        </r>
      </text>
    </comment>
  </commentList>
</comments>
</file>

<file path=xl/sharedStrings.xml><?xml version="1.0" encoding="utf-8"?>
<sst xmlns="http://schemas.openxmlformats.org/spreadsheetml/2006/main" count="1149" uniqueCount="293">
  <si>
    <t xml:space="preserve">PROJETO LUMINOTÉCNICO</t>
  </si>
  <si>
    <t xml:space="preserve">Item</t>
  </si>
  <si>
    <t xml:space="preserve">Ambiente</t>
  </si>
  <si>
    <t xml:space="preserve">Refletâncias</t>
  </si>
  <si>
    <t xml:space="preserve">Dimensões</t>
  </si>
  <si>
    <t xml:space="preserve">Iluminância (E) [lux]</t>
  </si>
  <si>
    <t xml:space="preserve">Índice local (RCR)</t>
  </si>
  <si>
    <t xml:space="preserve">Índice local (k)</t>
  </si>
  <si>
    <t xml:space="preserve">Lâmpada</t>
  </si>
  <si>
    <t xml:space="preserve">Luminária</t>
  </si>
  <si>
    <t xml:space="preserve">Fator de Utilização (µ)</t>
  </si>
  <si>
    <t xml:space="preserve">Fator de Depreciação (d)</t>
  </si>
  <si>
    <t xml:space="preserve">Fluxo Luminoso Total do ambiente (lm)</t>
  </si>
  <si>
    <t xml:space="preserve">Número de Luminárias (NL) [Unid.]</t>
  </si>
  <si>
    <t xml:space="preserve">N° luminárias na largura (Ny) [Unid.]</t>
  </si>
  <si>
    <t xml:space="preserve">N° luminárias no comprimento (Nx) [Unid.]</t>
  </si>
  <si>
    <t xml:space="preserve">Dist. Lamp.-Lamp. (DLL(x))</t>
  </si>
  <si>
    <t xml:space="preserve">Dist. Lamp.-Lamp. (DLL(y))</t>
  </si>
  <si>
    <t xml:space="preserve">Dist. Lamp.-Pare. (DLP(x))</t>
  </si>
  <si>
    <t xml:space="preserve">Dist. Lamp.-Pare. (DLP(y))</t>
  </si>
  <si>
    <t xml:space="preserve">Potência Ativa total (P) [W]</t>
  </si>
  <si>
    <t xml:space="preserve">Potência Aparente total (S) [VA]</t>
  </si>
  <si>
    <t xml:space="preserve">Teto 
(%)</t>
  </si>
  <si>
    <t xml:space="preserve">Parede 
(%)</t>
  </si>
  <si>
    <t xml:space="preserve">Piso
(%)</t>
  </si>
  <si>
    <t xml:space="preserve">Largura
[m]</t>
  </si>
  <si>
    <t xml:space="preserve">Comprimento
[m]</t>
  </si>
  <si>
    <t xml:space="preserve">Pé direito
(Pd) [m]</t>
  </si>
  <si>
    <t xml:space="preserve">Plano de 
trabalho (hpt) [m]</t>
  </si>
  <si>
    <t xml:space="preserve">Distância entre luminária e teto (hs) [m]</t>
  </si>
  <si>
    <t xml:space="preserve">h</t>
  </si>
  <si>
    <t xml:space="preserve">Tipo de Lâmpada</t>
  </si>
  <si>
    <t xml:space="preserve">Fabricante</t>
  </si>
  <si>
    <t xml:space="preserve">Código do Modelo do Fabricante</t>
  </si>
  <si>
    <t xml:space="preserve">Fluxo 
Luminoso [lm]</t>
  </si>
  <si>
    <t xml:space="preserve">IRC 
[%]</t>
  </si>
  <si>
    <t xml:space="preserve">Temperatura 
de cor [K]</t>
  </si>
  <si>
    <t xml:space="preserve">Vida útil [h]</t>
  </si>
  <si>
    <t xml:space="preserve">Potência 
Lâmpada
[W]</t>
  </si>
  <si>
    <t xml:space="preserve">Perdas 
Reator
[W]</t>
  </si>
  <si>
    <t xml:space="preserve">Fator de Potência</t>
  </si>
  <si>
    <t xml:space="preserve">Link do catálogo</t>
  </si>
  <si>
    <t xml:space="preserve">Modelo</t>
  </si>
  <si>
    <t xml:space="preserve">N° Lâmpadas [Unid.]</t>
  </si>
  <si>
    <t xml:space="preserve">AREA FABRIL</t>
  </si>
  <si>
    <t xml:space="preserve">Tornear e Chanfrar</t>
  </si>
  <si>
    <t xml:space="preserve">Luminária LED High Bay UFO</t>
  </si>
  <si>
    <t xml:space="preserve">LUMICENTER</t>
  </si>
  <si>
    <t xml:space="preserve">LHB60-S12000850FW</t>
  </si>
  <si>
    <t xml:space="preserve">https://lumicenter.com/produtos/lhb60-s</t>
  </si>
  <si>
    <t xml:space="preserve">Polimento</t>
  </si>
  <si>
    <t xml:space="preserve">Colagem e montagem</t>
  </si>
  <si>
    <t xml:space="preserve">Sistemas de Serra</t>
  </si>
  <si>
    <t xml:space="preserve">Inspeção Final</t>
  </si>
  <si>
    <t xml:space="preserve">AREA COMERCIAL</t>
  </si>
  <si>
    <t xml:space="preserve">Sala de Estar</t>
  </si>
  <si>
    <t xml:space="preserve">Luminária LED</t>
  </si>
  <si>
    <t xml:space="preserve">LHT44-S4000840</t>
  </si>
  <si>
    <t xml:space="preserve">https://lumicenter.com/produtos/lht44-s</t>
  </si>
  <si>
    <t xml:space="preserve">Sala de reuniões</t>
  </si>
  <si>
    <t xml:space="preserve">Recepção</t>
  </si>
  <si>
    <t xml:space="preserve">Copa</t>
  </si>
  <si>
    <t xml:space="preserve">Ante Sala</t>
  </si>
  <si>
    <t xml:space="preserve">BWC1</t>
  </si>
  <si>
    <t xml:space="preserve">BWC2</t>
  </si>
  <si>
    <t xml:space="preserve">BWC3</t>
  </si>
  <si>
    <t xml:space="preserve">BWC4</t>
  </si>
  <si>
    <t xml:space="preserve">Vídeo Conferencia</t>
  </si>
  <si>
    <t xml:space="preserve">Presidência</t>
  </si>
  <si>
    <t xml:space="preserve">Diretoria Técnica</t>
  </si>
  <si>
    <t xml:space="preserve">Depósito</t>
  </si>
  <si>
    <t xml:space="preserve">Circulação 1</t>
  </si>
  <si>
    <t xml:space="preserve">Circulação 2</t>
  </si>
  <si>
    <t xml:space="preserve">Circulação 3</t>
  </si>
  <si>
    <t xml:space="preserve">Subestação</t>
  </si>
  <si>
    <t xml:space="preserve">PREVISÃO DE CARGAS</t>
  </si>
  <si>
    <t xml:space="preserve">Dependência</t>
  </si>
  <si>
    <t xml:space="preserve">Dimensões
Área [m²]</t>
  </si>
  <si>
    <t xml:space="preserve">Dimensões
Perímerímetro [m]</t>
  </si>
  <si>
    <t xml:space="preserve">Potência de 
Iluminação
[VA]</t>
  </si>
  <si>
    <t xml:space="preserve">TUG's Monofásico</t>
  </si>
  <si>
    <t xml:space="preserve">TUG's Trifásico</t>
  </si>
  <si>
    <t xml:space="preserve">TUE's</t>
  </si>
  <si>
    <t xml:space="preserve">Quantidade</t>
  </si>
  <si>
    <t xml:space="preserve">Potência [VA]</t>
  </si>
  <si>
    <t xml:space="preserve">Descrição</t>
  </si>
  <si>
    <t xml:space="preserve">Potência
[W]</t>
  </si>
  <si>
    <t xml:space="preserve">ÁREA FABRIL</t>
  </si>
  <si>
    <t xml:space="preserve">Bancada 1 + Bancada 2</t>
  </si>
  <si>
    <t xml:space="preserve">Bancada 3 + Bancada 4</t>
  </si>
  <si>
    <t xml:space="preserve">Bancada 5</t>
  </si>
  <si>
    <t xml:space="preserve">Bancada 6</t>
  </si>
  <si>
    <t xml:space="preserve">ÁREA COMERCIAL</t>
  </si>
  <si>
    <t xml:space="preserve">Ar Condicionado 18.000 BTU/h</t>
  </si>
  <si>
    <t xml:space="preserve">Ar Condicionado 24.000 BTU/h</t>
  </si>
  <si>
    <t xml:space="preserve">Ar Condicionado 12.000 BTU/h</t>
  </si>
  <si>
    <t xml:space="preserve">Secador de Mãos</t>
  </si>
  <si>
    <t xml:space="preserve">Carregador de Baterias (TUE)</t>
  </si>
  <si>
    <t xml:space="preserve">Exaustor / TUE</t>
  </si>
  <si>
    <t xml:space="preserve">DIVISÃO DOS CIRCUITOS </t>
  </si>
  <si>
    <t xml:space="preserve">Circuito
N° - Tipo</t>
  </si>
  <si>
    <t xml:space="preserve">VN - Tensão
[V]</t>
  </si>
  <si>
    <t xml:space="preserve">Origem</t>
  </si>
  <si>
    <t xml:space="preserve">Destino</t>
  </si>
  <si>
    <t xml:space="preserve">S1 - Seção Mínima
[mm²]</t>
  </si>
  <si>
    <t xml:space="preserve">Tipo de Fornecimento</t>
  </si>
  <si>
    <t xml:space="preserve">F.P.</t>
  </si>
  <si>
    <t xml:space="preserve">Potências</t>
  </si>
  <si>
    <t xml:space="preserve">IN -Corrente de projeto
[A]</t>
  </si>
  <si>
    <t xml:space="preserve">Proteção
Disjuntor Termomagnético - DTM</t>
  </si>
  <si>
    <t xml:space="preserve">Proteção
Interruptor Diferencial Residual - IDR</t>
  </si>
  <si>
    <t xml:space="preserve">P 
Ativa 
[W]</t>
  </si>
  <si>
    <t xml:space="preserve">S
Aparente
[VA]</t>
  </si>
  <si>
    <t xml:space="preserve">Q
Reativa
[VAr]</t>
  </si>
  <si>
    <t xml:space="preserve">n° de 
polos</t>
  </si>
  <si>
    <t xml:space="preserve">ID - Corrente nominal [A]</t>
  </si>
  <si>
    <t xml:space="preserve">Corrente nominal [A]</t>
  </si>
  <si>
    <t xml:space="preserve">QD1 - QUADRO DE DISTRIBUIÇÃO 1</t>
  </si>
  <si>
    <t xml:space="preserve">01 - Iluminação</t>
  </si>
  <si>
    <t xml:space="preserve">QD1</t>
  </si>
  <si>
    <t xml:space="preserve">Tornear e Chanfrar, Polimento</t>
  </si>
  <si>
    <t xml:space="preserve">12 - TUGs</t>
  </si>
  <si>
    <t xml:space="preserve">Tornear e Chanfrar - Circuito 1</t>
  </si>
  <si>
    <t xml:space="preserve">13 - TUGs</t>
  </si>
  <si>
    <t xml:space="preserve">Tornear e Chanfrar - Circuito 2</t>
  </si>
  <si>
    <t xml:space="preserve">14 - TUGs</t>
  </si>
  <si>
    <t xml:space="preserve">Polimento - Circuito 1</t>
  </si>
  <si>
    <t xml:space="preserve">15 - TUGs</t>
  </si>
  <si>
    <t xml:space="preserve">Polimento - Circuito 2</t>
  </si>
  <si>
    <t xml:space="preserve">22 - TUGs Trifásicas</t>
  </si>
  <si>
    <t xml:space="preserve">23 - TUGs Trifásicas</t>
  </si>
  <si>
    <t xml:space="preserve">38 - TUGs Trifásicas</t>
  </si>
  <si>
    <t xml:space="preserve">39 - TUGs Trifásicas</t>
  </si>
  <si>
    <t xml:space="preserve">44 - TUE Bancada 1</t>
  </si>
  <si>
    <t xml:space="preserve">Bancada 1</t>
  </si>
  <si>
    <t xml:space="preserve">45 - TUE Bancada 2</t>
  </si>
  <si>
    <t xml:space="preserve">Bancada 2</t>
  </si>
  <si>
    <t xml:space="preserve">46 - TUE Bancada 3</t>
  </si>
  <si>
    <t xml:space="preserve">Bancada 3</t>
  </si>
  <si>
    <t xml:space="preserve">47 - TUE Bancada 4</t>
  </si>
  <si>
    <t xml:space="preserve">Bancada 4</t>
  </si>
  <si>
    <t xml:space="preserve">QD2 - QUADRO DE DISTRIBUIÇÃO 2</t>
  </si>
  <si>
    <t xml:space="preserve">02 - Iluminação</t>
  </si>
  <si>
    <t xml:space="preserve">QD2</t>
  </si>
  <si>
    <t xml:space="preserve">Colagem e Montagem, Sistemas de Serra, BWC 1 e 2</t>
  </si>
  <si>
    <t xml:space="preserve">05 - Iluminação</t>
  </si>
  <si>
    <t xml:space="preserve">07 - TUGs</t>
  </si>
  <si>
    <t xml:space="preserve">Sanitários Operacionais (BWC 1 e 2)</t>
  </si>
  <si>
    <t xml:space="preserve">16 - TUGs</t>
  </si>
  <si>
    <t xml:space="preserve">Colagem e Montagem - Circuito 1</t>
  </si>
  <si>
    <t xml:space="preserve">17 - TUGs</t>
  </si>
  <si>
    <t xml:space="preserve">Colagem e Montagem - Circuito 2</t>
  </si>
  <si>
    <t xml:space="preserve">18 - TUGs</t>
  </si>
  <si>
    <t xml:space="preserve">Sistemas de Serra - Circuito 1</t>
  </si>
  <si>
    <t xml:space="preserve">19 - TUGs</t>
  </si>
  <si>
    <t xml:space="preserve">Sistemas de Serra - Circuito 2</t>
  </si>
  <si>
    <t xml:space="preserve">20 - TUGs</t>
  </si>
  <si>
    <t xml:space="preserve">Inspeção Final - Circuito 1</t>
  </si>
  <si>
    <t xml:space="preserve">21 - TUGs</t>
  </si>
  <si>
    <t xml:space="preserve">Inspeção Final - Circuito 2</t>
  </si>
  <si>
    <t xml:space="preserve">24 - TUGs Trifásicas</t>
  </si>
  <si>
    <t xml:space="preserve">25 - TUGs Trifásicas</t>
  </si>
  <si>
    <t xml:space="preserve">26 - TUGs Trifásicas</t>
  </si>
  <si>
    <t xml:space="preserve">27 - TUGs Trifásicas</t>
  </si>
  <si>
    <t xml:space="preserve">30 - TUE</t>
  </si>
  <si>
    <t xml:space="preserve">Secadores de Mãos - BWC 1 e 2</t>
  </si>
  <si>
    <t xml:space="preserve">40 - TUGs Trifásicas</t>
  </si>
  <si>
    <t xml:space="preserve">48 - TUE Bancada 5</t>
  </si>
  <si>
    <t xml:space="preserve">49 - TUE Bancada 6</t>
  </si>
  <si>
    <t xml:space="preserve">QD3 - QUADRO DE DISTRIBUIÇÃO 3</t>
  </si>
  <si>
    <t xml:space="preserve">03 - Iluminação</t>
  </si>
  <si>
    <t xml:space="preserve">QD3</t>
  </si>
  <si>
    <t xml:space="preserve">Sala de Estar, Reuniões, Recepção, Copa</t>
  </si>
  <si>
    <t xml:space="preserve">06 - TUGs</t>
  </si>
  <si>
    <t xml:space="preserve">08 - TUGs</t>
  </si>
  <si>
    <t xml:space="preserve">Sanitários Administrativos (BWC 3 e 4)</t>
  </si>
  <si>
    <t xml:space="preserve">10 - TUGs</t>
  </si>
  <si>
    <t xml:space="preserve">Sala de Estar, Sala de Reuniões</t>
  </si>
  <si>
    <t xml:space="preserve">11 - TUGs</t>
  </si>
  <si>
    <t xml:space="preserve">Circulação 2 e 3</t>
  </si>
  <si>
    <t xml:space="preserve">31 - TUE</t>
  </si>
  <si>
    <t xml:space="preserve">Secadores de Mãos - BWC 3 e 4</t>
  </si>
  <si>
    <t xml:space="preserve">32 - TUE</t>
  </si>
  <si>
    <t xml:space="preserve">Ar Condicionado - Sala de Estar</t>
  </si>
  <si>
    <t xml:space="preserve">33 - TUE</t>
  </si>
  <si>
    <t xml:space="preserve">Ar Condicionado - Sala de Reuniões</t>
  </si>
  <si>
    <t xml:space="preserve">34 - TUE</t>
  </si>
  <si>
    <t xml:space="preserve">Ar Condicionado - Recepção</t>
  </si>
  <si>
    <t xml:space="preserve">42 - TUGs</t>
  </si>
  <si>
    <t xml:space="preserve">Recepção, Ante Sala</t>
  </si>
  <si>
    <t xml:space="preserve">43 - Iluminação</t>
  </si>
  <si>
    <t xml:space="preserve">Ante Sala, Circulação 2, Circulação 3, BWC 3 e 4</t>
  </si>
  <si>
    <t xml:space="preserve">QD4 - QUADRO DE DISTRIBUIÇÃO 4</t>
  </si>
  <si>
    <t xml:space="preserve">04 - Iluminação</t>
  </si>
  <si>
    <t xml:space="preserve">QD4</t>
  </si>
  <si>
    <t xml:space="preserve">Circulação 1, Vídeo Conferência, Presidência, Diretoria Técnica, Depósito, Subestação</t>
  </si>
  <si>
    <t xml:space="preserve">09 - TUGs</t>
  </si>
  <si>
    <t xml:space="preserve">Vídeo Conferência, Presidência</t>
  </si>
  <si>
    <t xml:space="preserve">28 - TUE</t>
  </si>
  <si>
    <t xml:space="preserve">29 - TUE</t>
  </si>
  <si>
    <t xml:space="preserve">35 - TUE</t>
  </si>
  <si>
    <t xml:space="preserve">Ar Condicionado - Vídeo Conferência</t>
  </si>
  <si>
    <t xml:space="preserve">36 - TUE</t>
  </si>
  <si>
    <t xml:space="preserve">Ar Condicionado - Presidência</t>
  </si>
  <si>
    <t xml:space="preserve">37 - TUE</t>
  </si>
  <si>
    <t xml:space="preserve">Ar Condicionado - Diretoria Técnica</t>
  </si>
  <si>
    <t xml:space="preserve">41 - TUGs</t>
  </si>
  <si>
    <t xml:space="preserve">Diretoria Técnica, Depósito, Circulação 1, Subestação</t>
  </si>
  <si>
    <t xml:space="preserve">CRITÉRIO DA CAPACIDADE DE CONDUÇÃO DE CORRENTE</t>
  </si>
  <si>
    <t xml:space="preserve">IN
[A]</t>
  </si>
  <si>
    <t xml:space="preserve">FT
(F.Temp.)</t>
  </si>
  <si>
    <t xml:space="preserve">N° Circ.
Agrup.</t>
  </si>
  <si>
    <t xml:space="preserve">FA
(F.Agrup.)</t>
  </si>
  <si>
    <t xml:space="preserve">IN'
[A]</t>
  </si>
  <si>
    <t xml:space="preserve">Método
Instala.</t>
  </si>
  <si>
    <t xml:space="preserve">Tipo de
Isolação</t>
  </si>
  <si>
    <t xml:space="preserve">N° Cond.
Carregados</t>
  </si>
  <si>
    <t xml:space="preserve">S2 - Seção 
(mm²)</t>
  </si>
  <si>
    <t xml:space="preserve">B2</t>
  </si>
  <si>
    <t xml:space="preserve">PVC</t>
  </si>
  <si>
    <t xml:space="preserve">B1</t>
  </si>
  <si>
    <t xml:space="preserve">CRITÉRIO DE QUEDA DE TENSÃO</t>
  </si>
  <si>
    <t xml:space="preserve">VN
[V]</t>
  </si>
  <si>
    <t xml:space="preserve">k</t>
  </si>
  <si>
    <t xml:space="preserve">ρ
[Ω.mm²/m]
</t>
  </si>
  <si>
    <t xml:space="preserve">L
[m]</t>
  </si>
  <si>
    <t xml:space="preserve">Queda de tensão (Máx) [%]</t>
  </si>
  <si>
    <t xml:space="preserve">Seção
Calculada
[mm²]</t>
  </si>
  <si>
    <t xml:space="preserve">S3 - Seção
Comercial
[mm²]</t>
  </si>
  <si>
    <t xml:space="preserve">ALIMENTADORES QGBT → QDs (queda máxima 2,0% - item p da Tarefa; fator de demanda 1; reserva conforme Tabela 59 da NBR 5410, considerada no alimentador)</t>
  </si>
  <si>
    <t xml:space="preserve">Alimentador</t>
  </si>
  <si>
    <t xml:space="preserve">IN = maior fase + reserva por fase [A]</t>
  </si>
  <si>
    <t xml:space="preserve">VN [V]</t>
  </si>
  <si>
    <t xml:space="preserve">ρ [Ω.mm²/m]</t>
  </si>
  <si>
    <t xml:space="preserve">L [m]</t>
  </si>
  <si>
    <t xml:space="preserve">Queda máx. [%]</t>
  </si>
  <si>
    <t xml:space="preserve">Seção calculada [mm²]</t>
  </si>
  <si>
    <t xml:space="preserve">Seção adotada (fase e neutro) [mm²]</t>
  </si>
  <si>
    <t xml:space="preserve">ΔV com seção adotada [%]</t>
  </si>
  <si>
    <t xml:space="preserve">Disjuntor geral [A]</t>
  </si>
  <si>
    <t xml:space="preserve">Iz método E, 3 cond. [A]</t>
  </si>
  <si>
    <t xml:space="preserve">Condutor de proteção [mm²]</t>
  </si>
  <si>
    <t xml:space="preserve">Instalação</t>
  </si>
  <si>
    <t xml:space="preserve">Nº de circuitos</t>
  </si>
  <si>
    <t xml:space="preserve">Reservas (Tab. 59)</t>
  </si>
  <si>
    <t xml:space="preserve">Corrente média de 1 circuito monofásico [A]</t>
  </si>
  <si>
    <t xml:space="preserve">Acréscimo de reserva por fase [A]</t>
  </si>
  <si>
    <t xml:space="preserve">Maior fase sem reserva [A]</t>
  </si>
  <si>
    <t xml:space="preserve">Alim. QD1</t>
  </si>
  <si>
    <t xml:space="preserve">QGBT</t>
  </si>
  <si>
    <t xml:space="preserve">Cabo multipolar 0,6/1 kV em leito</t>
  </si>
  <si>
    <t xml:space="preserve">Alim. QD2</t>
  </si>
  <si>
    <t xml:space="preserve">Alim. QD3</t>
  </si>
  <si>
    <t xml:space="preserve">Eletroduto embutido Ø1"</t>
  </si>
  <si>
    <t xml:space="preserve">Alim. QD4</t>
  </si>
  <si>
    <t xml:space="preserve">Eletroduto embutido Ø1.1/4"</t>
  </si>
  <si>
    <t xml:space="preserve">Critérios: disjuntor geral ≥ IN; Iz (catálogo, método E, PVC 70 °C, 3 condutores carregados) ≥ disjuntor; seção mínima do alimentador 10 mm² (slide de QDs); ΔV ≤ 2%; proteção conforme NBR 5410 (S ≤ 16: igual à fase; 16 &lt; S ≤ 35: 16 mm²; S &gt; 35: S/2). Reserva: nº de circuitos pela Tabela 59 (slide de DPS/Quadro de Cargas), cada um estimado com a corrente média dos circuitos monofásicos do quadro e distribuído igualmente entre as fases. Comprimentos medidos pelo trajeto na planta (leitos da fábrica para QD1/QD2; laje para QD3/QD4), com subidas e descidas.</t>
  </si>
  <si>
    <t xml:space="preserve">CRITÉRIO DE SOBRECARGA</t>
  </si>
  <si>
    <t xml:space="preserve">ID
[A]</t>
  </si>
  <si>
    <t xml:space="preserve">Temp. 
Ambiente</t>
  </si>
  <si>
    <t xml:space="preserve">ID'
[A]</t>
  </si>
  <si>
    <t xml:space="preserve">Seção do 
Condutor
(máxima)</t>
  </si>
  <si>
    <t xml:space="preserve">IZ
[A]</t>
  </si>
  <si>
    <t xml:space="preserve">IZ'
[A]</t>
  </si>
  <si>
    <t xml:space="preserve">Condutor
Adequado
(IZ'&gt;ID')</t>
  </si>
  <si>
    <t xml:space="preserve">SF - Seção
Final
[mm²]</t>
  </si>
  <si>
    <t xml:space="preserve">QUADRO DE CARGAS</t>
  </si>
  <si>
    <t xml:space="preserve">Dados de Entrada</t>
  </si>
  <si>
    <t xml:space="preserve">Fatores de Correção</t>
  </si>
  <si>
    <t xml:space="preserve">Condutor</t>
  </si>
  <si>
    <t xml:space="preserve">Proteção - Disjuntor</t>
  </si>
  <si>
    <t xml:space="preserve">Proteção - IDR</t>
  </si>
  <si>
    <t xml:space="preserve">Balanço de 
Fases</t>
  </si>
  <si>
    <t xml:space="preserve">Corrente 
Fase R
[A]</t>
  </si>
  <si>
    <t xml:space="preserve">Corrente 
Fase S
[A]</t>
  </si>
  <si>
    <t xml:space="preserve">Corrente 
Fase T
[A]</t>
  </si>
  <si>
    <t xml:space="preserve">Potência
Ativa 
[W]</t>
  </si>
  <si>
    <t xml:space="preserve">Potência Aparente [VA]</t>
  </si>
  <si>
    <t xml:space="preserve">Potência Reativa [VAr]</t>
  </si>
  <si>
    <t xml:space="preserve">F.P.
por circuito</t>
  </si>
  <si>
    <t xml:space="preserve">Corrente de projeto  IN
[A]</t>
  </si>
  <si>
    <t xml:space="preserve">S</t>
  </si>
  <si>
    <t xml:space="preserve">T</t>
  </si>
  <si>
    <t xml:space="preserve">R</t>
  </si>
  <si>
    <t xml:space="preserve">R-S-T</t>
  </si>
  <si>
    <t xml:space="preserve">TOTAL QD1</t>
  </si>
  <si>
    <t xml:space="preserve">Corrente Total por Fase [A]:</t>
  </si>
  <si>
    <t xml:space="preserve">R-S</t>
  </si>
  <si>
    <t xml:space="preserve">TOTAL QD2</t>
  </si>
  <si>
    <t xml:space="preserve">TOTAL QD3</t>
  </si>
  <si>
    <t xml:space="preserve">TOTAL QD4</t>
  </si>
  <si>
    <t xml:space="preserve">TOTAL GERAL DA INSTALAÇÃO</t>
  </si>
  <si>
    <t xml:space="preserve">Corrente Global por Fase [A]: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</si>
</sst>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0"/>
    <numFmt numFmtId="167" formatCode="0.0"/>
    <numFmt numFmtId="168" formatCode="#,##0.00"/>
    <numFmt numFmtId="169" formatCode="#,##0"/>
    <numFmt numFmtId="170" formatCode="0"/>
    <numFmt numFmtId="171" formatCode="0.0000"/>
  </numFmts>
  <fonts count="1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i val="true"/>
      <sz val="14"/>
      <color theme="1"/>
      <name val="Calibri"/>
      <family val="0"/>
      <charset val="1"/>
    </font>
    <font>
      <b val="true"/>
      <u val="single"/>
      <sz val="11"/>
      <color rgb="FF0000FF"/>
      <name val="Calibri"/>
      <family val="0"/>
      <charset val="1"/>
    </font>
    <font>
      <b val="true"/>
      <sz val="14"/>
      <color theme="1"/>
      <name val="Calibri"/>
      <family val="0"/>
      <charset val="1"/>
    </font>
    <font>
      <sz val="14"/>
      <color rgb="FFFF0000"/>
      <name val="Calibri"/>
      <family val="0"/>
      <charset val="1"/>
    </font>
    <font>
      <sz val="10"/>
      <name val="Arial"/>
      <family val="2"/>
    </font>
    <font>
      <b val="true"/>
      <sz val="11"/>
      <color rgb="FF000000"/>
      <name val="Calibri"/>
      <family val="0"/>
      <charset val="1"/>
    </font>
    <font>
      <b val="true"/>
      <sz val="18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  <font>
      <b val="true"/>
      <sz val="11"/>
      <color theme="1"/>
      <name val="Cambria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C4BD97"/>
        <bgColor rgb="FFC2D69B"/>
      </patternFill>
    </fill>
    <fill>
      <patternFill patternType="solid">
        <fgColor rgb="FFD8D8D8"/>
        <bgColor rgb="FFD1D8E5"/>
      </patternFill>
    </fill>
    <fill>
      <patternFill patternType="solid">
        <fgColor rgb="FFB8CCE4"/>
        <bgColor rgb="FFC6D8F2"/>
      </patternFill>
    </fill>
    <fill>
      <patternFill patternType="solid">
        <fgColor rgb="FFE5B8B7"/>
        <bgColor rgb="FFF4CCCC"/>
      </patternFill>
    </fill>
    <fill>
      <patternFill patternType="solid">
        <fgColor rgb="FF999999"/>
        <bgColor rgb="FF8DB3E2"/>
      </patternFill>
    </fill>
    <fill>
      <patternFill patternType="solid">
        <fgColor rgb="FFC6D9F0"/>
        <bgColor rgb="FFC6D8F2"/>
      </patternFill>
    </fill>
    <fill>
      <patternFill patternType="solid">
        <fgColor rgb="FFF2DBDB"/>
        <bgColor rgb="FFF4CCCC"/>
      </patternFill>
    </fill>
    <fill>
      <patternFill patternType="solid">
        <fgColor rgb="FFF4CCCC"/>
        <bgColor rgb="FFFBD4B4"/>
      </patternFill>
    </fill>
    <fill>
      <patternFill patternType="solid">
        <fgColor rgb="FFC9DAF8"/>
        <bgColor rgb="FFC6D8F2"/>
      </patternFill>
    </fill>
    <fill>
      <patternFill patternType="solid">
        <fgColor rgb="FFD9EAD3"/>
        <bgColor rgb="FFD6E3BC"/>
      </patternFill>
    </fill>
    <fill>
      <patternFill patternType="solid">
        <fgColor rgb="FFFFF2CC"/>
        <bgColor rgb="FFF2F2F2"/>
      </patternFill>
    </fill>
    <fill>
      <patternFill patternType="solid">
        <fgColor rgb="FF00FF00"/>
        <bgColor rgb="FF00FFFF"/>
      </patternFill>
    </fill>
    <fill>
      <patternFill patternType="solid">
        <fgColor rgb="FFFFFF00"/>
        <bgColor rgb="FFFBD4B4"/>
      </patternFill>
    </fill>
    <fill>
      <patternFill patternType="solid">
        <fgColor rgb="FFD9E1F2"/>
        <bgColor rgb="FFD1D8E5"/>
      </patternFill>
    </fill>
    <fill>
      <patternFill patternType="solid">
        <fgColor rgb="FFFF4B4B"/>
        <bgColor rgb="FF993366"/>
      </patternFill>
    </fill>
    <fill>
      <patternFill patternType="solid">
        <fgColor rgb="FFD6E3BC"/>
        <bgColor rgb="FFD9EAD3"/>
      </patternFill>
    </fill>
    <fill>
      <patternFill patternType="solid">
        <fgColor rgb="FFFBD4B4"/>
        <bgColor rgb="FFF4CCCC"/>
      </patternFill>
    </fill>
    <fill>
      <patternFill patternType="solid">
        <fgColor rgb="FFCCC0D9"/>
        <bgColor rgb="FFB8CCE4"/>
      </patternFill>
    </fill>
    <fill>
      <patternFill patternType="solid">
        <fgColor rgb="FFB6DDE8"/>
        <bgColor rgb="FFC6D9F0"/>
      </patternFill>
    </fill>
    <fill>
      <patternFill patternType="solid">
        <fgColor rgb="FFD1D8E5"/>
        <bgColor rgb="FFD8D8D8"/>
      </patternFill>
    </fill>
    <fill>
      <patternFill patternType="solid">
        <fgColor rgb="FFF2F2F2"/>
        <bgColor rgb="FFFFF2CC"/>
      </patternFill>
    </fill>
    <fill>
      <patternFill patternType="solid">
        <fgColor rgb="FFC6D8F2"/>
        <bgColor rgb="FFC6D9F0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1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1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2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2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0D9"/>
      <rgbColor rgb="FFC6D9F0"/>
      <rgbColor rgb="FF8DB3E2"/>
      <rgbColor rgb="FF993366"/>
      <rgbColor rgb="FFFFF2CC"/>
      <rgbColor rgb="FFD9E1F2"/>
      <rgbColor rgb="FF660066"/>
      <rgbColor rgb="FFF4CCCC"/>
      <rgbColor rgb="FF0066CC"/>
      <rgbColor rgb="FFC6D8F2"/>
      <rgbColor rgb="FF000080"/>
      <rgbColor rgb="FFFF00FF"/>
      <rgbColor rgb="FFD8D8D8"/>
      <rgbColor rgb="FF00FFFF"/>
      <rgbColor rgb="FF800080"/>
      <rgbColor rgb="FF800000"/>
      <rgbColor rgb="FF008080"/>
      <rgbColor rgb="FF0000FF"/>
      <rgbColor rgb="FF00CCFF"/>
      <rgbColor rgb="FFC9DAF8"/>
      <rgbColor rgb="FFD9EAD3"/>
      <rgbColor rgb="FFD6E3BC"/>
      <rgbColor rgb="FFB8CCE4"/>
      <rgbColor rgb="FFE5B8B7"/>
      <rgbColor rgb="FFC4BD97"/>
      <rgbColor rgb="FFFBD4B4"/>
      <rgbColor rgb="FF3366FF"/>
      <rgbColor rgb="FFB6DDE8"/>
      <rgbColor rgb="FFC2D69B"/>
      <rgbColor rgb="FFF2DBDB"/>
      <rgbColor rgb="FFD1D8E5"/>
      <rgbColor rgb="FFFF4B4B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lumicenter.com/produtos/lhb60-s" TargetMode="External"/><Relationship Id="rId3" Type="http://schemas.openxmlformats.org/officeDocument/2006/relationships/hyperlink" Target="https://lumicenter.com/produtos/lhb60-s" TargetMode="External"/><Relationship Id="rId4" Type="http://schemas.openxmlformats.org/officeDocument/2006/relationships/hyperlink" Target="https://lumicenter.com/produtos/lhb60-s" TargetMode="External"/><Relationship Id="rId5" Type="http://schemas.openxmlformats.org/officeDocument/2006/relationships/hyperlink" Target="https://lumicenter.com/produtos/lhb60-s" TargetMode="External"/><Relationship Id="rId6" Type="http://schemas.openxmlformats.org/officeDocument/2006/relationships/hyperlink" Target="https://lumicenter.com/produtos/lhb60-s" TargetMode="External"/><Relationship Id="rId7" Type="http://schemas.openxmlformats.org/officeDocument/2006/relationships/hyperlink" Target="https://lumicenter.com/produtos/lhb60-s" TargetMode="External"/><Relationship Id="rId8" Type="http://schemas.openxmlformats.org/officeDocument/2006/relationships/hyperlink" Target="https://lumicenter.com/produtos/lhb60-s" TargetMode="External"/><Relationship Id="rId9" Type="http://schemas.openxmlformats.org/officeDocument/2006/relationships/hyperlink" Target="https://lumicenter.com/produtos/lhb60-s" TargetMode="External"/><Relationship Id="rId10" Type="http://schemas.openxmlformats.org/officeDocument/2006/relationships/hyperlink" Target="https://lumicenter.com/produtos/lhb60-s" TargetMode="External"/><Relationship Id="rId11" Type="http://schemas.openxmlformats.org/officeDocument/2006/relationships/hyperlink" Target="https://lumicenter.com/produtos/lhb60-s" TargetMode="External"/><Relationship Id="rId12" Type="http://schemas.openxmlformats.org/officeDocument/2006/relationships/hyperlink" Target="https://lumicenter.com/produtos/lht44-s" TargetMode="External"/><Relationship Id="rId13" Type="http://schemas.openxmlformats.org/officeDocument/2006/relationships/hyperlink" Target="https://lumicenter.com/produtos/lht44-s" TargetMode="External"/><Relationship Id="rId14" Type="http://schemas.openxmlformats.org/officeDocument/2006/relationships/hyperlink" Target="https://lumicenter.com/produtos/lht44-s" TargetMode="External"/><Relationship Id="rId15" Type="http://schemas.openxmlformats.org/officeDocument/2006/relationships/hyperlink" Target="https://lumicenter.com/produtos/lht44-s" TargetMode="External"/><Relationship Id="rId16" Type="http://schemas.openxmlformats.org/officeDocument/2006/relationships/hyperlink" Target="https://lumicenter.com/produtos/lht44-s" TargetMode="External"/><Relationship Id="rId17" Type="http://schemas.openxmlformats.org/officeDocument/2006/relationships/hyperlink" Target="https://lumicenter.com/produtos/lht44-s" TargetMode="External"/><Relationship Id="rId18" Type="http://schemas.openxmlformats.org/officeDocument/2006/relationships/hyperlink" Target="https://lumicenter.com/produtos/lht44-s" TargetMode="External"/><Relationship Id="rId19" Type="http://schemas.openxmlformats.org/officeDocument/2006/relationships/hyperlink" Target="https://lumicenter.com/produtos/lht44-s" TargetMode="External"/><Relationship Id="rId20" Type="http://schemas.openxmlformats.org/officeDocument/2006/relationships/hyperlink" Target="https://lumicenter.com/produtos/lht44-s" TargetMode="External"/><Relationship Id="rId21" Type="http://schemas.openxmlformats.org/officeDocument/2006/relationships/hyperlink" Target="https://lumicenter.com/produtos/lht44-s" TargetMode="External"/><Relationship Id="rId22" Type="http://schemas.openxmlformats.org/officeDocument/2006/relationships/hyperlink" Target="https://lumicenter.com/produtos/lht44-s" TargetMode="External"/><Relationship Id="rId23" Type="http://schemas.openxmlformats.org/officeDocument/2006/relationships/hyperlink" Target="https://lumicenter.com/produtos/lht44-s" TargetMode="External"/><Relationship Id="rId24" Type="http://schemas.openxmlformats.org/officeDocument/2006/relationships/hyperlink" Target="https://lumicenter.com/produtos/lht44-s" TargetMode="External"/><Relationship Id="rId25" Type="http://schemas.openxmlformats.org/officeDocument/2006/relationships/hyperlink" Target="https://lumicenter.com/produtos/lht44-s" TargetMode="External"/><Relationship Id="rId26" Type="http://schemas.openxmlformats.org/officeDocument/2006/relationships/hyperlink" Target="https://lumicenter.com/produtos/lht44-s" TargetMode="External"/><Relationship Id="rId27" Type="http://schemas.openxmlformats.org/officeDocument/2006/relationships/hyperlink" Target="https://lumicenter.com/produtos/lht44-s" TargetMode="External"/><Relationship Id="rId28" Type="http://schemas.openxmlformats.org/officeDocument/2006/relationships/hyperlink" Target="https://lumicenter.com/produtos/lht44-s" TargetMode="External"/><Relationship Id="rId29" Type="http://schemas.openxmlformats.org/officeDocument/2006/relationships/hyperlink" Target="https://lumicenter.com/produtos/lht44-s" TargetMode="External"/><Relationship Id="rId30" Type="http://schemas.openxmlformats.org/officeDocument/2006/relationships/hyperlink" Target="https://lumicenter.com/produtos/lht44-s" TargetMode="External"/><Relationship Id="rId31" Type="http://schemas.openxmlformats.org/officeDocument/2006/relationships/hyperlink" Target="https://lumicenter.com/produtos/lht44-s" TargetMode="External"/><Relationship Id="rId32" Type="http://schemas.openxmlformats.org/officeDocument/2006/relationships/hyperlink" Target="https://lumicenter.com/produtos/lht44-s" TargetMode="External"/><Relationship Id="rId33" Type="http://schemas.openxmlformats.org/officeDocument/2006/relationships/hyperlink" Target="https://lumicenter.com/produtos/lht44-s" TargetMode="External"/><Relationship Id="rId34" Type="http://schemas.openxmlformats.org/officeDocument/2006/relationships/hyperlink" Target="https://lumicenter.com/produtos/lht44-s" TargetMode="External"/><Relationship Id="rId35" Type="http://schemas.openxmlformats.org/officeDocument/2006/relationships/hyperlink" Target="https://lumicenter.com/produtos/lht44-s" TargetMode="External"/><Relationship Id="rId36" Type="http://schemas.openxmlformats.org/officeDocument/2006/relationships/hyperlink" Target="https://lumicenter.com/produtos/lht44-s" TargetMode="External"/><Relationship Id="rId37" Type="http://schemas.openxmlformats.org/officeDocument/2006/relationships/hyperlink" Target="https://lumicenter.com/produtos/lht44-s" TargetMode="External"/><Relationship Id="rId38" Type="http://schemas.openxmlformats.org/officeDocument/2006/relationships/hyperlink" Target="https://lumicenter.com/produtos/lht44-s" TargetMode="External"/><Relationship Id="rId39" Type="http://schemas.openxmlformats.org/officeDocument/2006/relationships/hyperlink" Target="https://lumicenter.com/produtos/lht44-s" TargetMode="External"/><Relationship Id="rId40" Type="http://schemas.openxmlformats.org/officeDocument/2006/relationships/hyperlink" Target="https://lumicenter.com/produtos/lht44-s" TargetMode="External"/><Relationship Id="rId41" Type="http://schemas.openxmlformats.org/officeDocument/2006/relationships/hyperlink" Target="https://lumicenter.com/produtos/lht44-s" TargetMode="External"/><Relationship Id="rId42" Type="http://schemas.openxmlformats.org/officeDocument/2006/relationships/hyperlink" Target="https://lumicenter.com/produtos/lht44-s" TargetMode="External"/><Relationship Id="rId43" Type="http://schemas.openxmlformats.org/officeDocument/2006/relationships/hyperlink" Target="https://lumicenter.com/produtos/lht44-s" TargetMode="External"/><Relationship Id="rId44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D69B"/>
    <pageSetUpPr fitToPage="false"/>
  </sheetPr>
  <dimension ref="A1:AO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38.14"/>
    <col collapsed="false" customWidth="true" hidden="false" outlineLevel="0" max="9" min="3" style="0" width="8.71"/>
    <col collapsed="false" customWidth="true" hidden="false" outlineLevel="0" max="11" min="10" style="0" width="13.29"/>
    <col collapsed="false" customWidth="true" hidden="false" outlineLevel="0" max="12" min="12" style="0" width="12"/>
    <col collapsed="false" customWidth="true" hidden="false" outlineLevel="0" max="13" min="13" style="0" width="12.29"/>
    <col collapsed="false" customWidth="true" hidden="false" outlineLevel="0" max="14" min="14" style="0" width="12.86"/>
    <col collapsed="false" customWidth="true" hidden="false" outlineLevel="0" max="18" min="15" style="0" width="10.85"/>
    <col collapsed="false" customWidth="true" hidden="false" outlineLevel="0" max="19" min="19" style="0" width="8.71"/>
    <col collapsed="false" customWidth="true" hidden="false" outlineLevel="0" max="20" min="20" style="0" width="13.71"/>
    <col collapsed="false" customWidth="true" hidden="false" outlineLevel="0" max="21" min="21" style="0" width="8.71"/>
    <col collapsed="false" customWidth="true" hidden="false" outlineLevel="0" max="22" min="22" style="0" width="10.57"/>
    <col collapsed="false" customWidth="true" hidden="false" outlineLevel="0" max="24" min="23" style="0" width="11.29"/>
    <col collapsed="false" customWidth="true" hidden="false" outlineLevel="0" max="25" min="25" style="0" width="13.57"/>
    <col collapsed="false" customWidth="true" hidden="false" outlineLevel="0" max="26" min="26" style="0" width="10.57"/>
    <col collapsed="false" customWidth="true" hidden="false" outlineLevel="0" max="27" min="27" style="0" width="8.71"/>
    <col collapsed="false" customWidth="true" hidden="false" outlineLevel="0" max="28" min="28" style="0" width="11.71"/>
    <col collapsed="false" customWidth="true" hidden="false" outlineLevel="0" max="29" min="29" style="0" width="8.71"/>
    <col collapsed="false" customWidth="true" hidden="false" outlineLevel="0" max="30" min="30" style="0" width="11.71"/>
    <col collapsed="false" customWidth="true" hidden="false" outlineLevel="0" max="31" min="31" style="0" width="13"/>
    <col collapsed="false" customWidth="true" hidden="false" outlineLevel="0" max="32" min="32" style="0" width="12"/>
    <col collapsed="false" customWidth="true" hidden="false" outlineLevel="0" max="33" min="33" style="0" width="12.57"/>
    <col collapsed="false" customWidth="true" hidden="false" outlineLevel="0" max="34" min="34" style="0" width="12"/>
    <col collapsed="false" customWidth="true" hidden="false" outlineLevel="0" max="35" min="35" style="0" width="14.86"/>
    <col collapsed="false" customWidth="true" hidden="false" outlineLevel="0" max="36" min="36" style="0" width="9.57"/>
    <col collapsed="false" customWidth="true" hidden="false" outlineLevel="0" max="39" min="37" style="0" width="8.71"/>
    <col collapsed="false" customWidth="true" hidden="false" outlineLevel="0" max="40" min="40" style="0" width="9.14"/>
    <col collapsed="false" customWidth="true" hidden="false" outlineLevel="0" max="41" min="41" style="0" width="8.71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customFormat="false" ht="15" hidden="false" customHeight="true" outlineLevel="0" collapsed="false">
      <c r="A2" s="2" t="s">
        <v>1</v>
      </c>
      <c r="B2" s="3" t="s">
        <v>2</v>
      </c>
      <c r="C2" s="4" t="s">
        <v>3</v>
      </c>
      <c r="D2" s="4"/>
      <c r="E2" s="4"/>
      <c r="F2" s="5" t="s">
        <v>4</v>
      </c>
      <c r="G2" s="5"/>
      <c r="H2" s="5"/>
      <c r="I2" s="5"/>
      <c r="J2" s="5"/>
      <c r="K2" s="5"/>
      <c r="L2" s="6" t="s">
        <v>5</v>
      </c>
      <c r="M2" s="6" t="s">
        <v>6</v>
      </c>
      <c r="N2" s="6" t="s">
        <v>7</v>
      </c>
      <c r="O2" s="7" t="s">
        <v>8</v>
      </c>
      <c r="P2" s="7"/>
      <c r="Q2" s="7"/>
      <c r="R2" s="7"/>
      <c r="S2" s="7"/>
      <c r="T2" s="7"/>
      <c r="U2" s="7"/>
      <c r="V2" s="7"/>
      <c r="W2" s="7"/>
      <c r="X2" s="7"/>
      <c r="Y2" s="7"/>
      <c r="Z2" s="8" t="s">
        <v>9</v>
      </c>
      <c r="AA2" s="8"/>
      <c r="AB2" s="8"/>
      <c r="AC2" s="8"/>
      <c r="AD2" s="6" t="s">
        <v>10</v>
      </c>
      <c r="AE2" s="6" t="s">
        <v>11</v>
      </c>
      <c r="AF2" s="6" t="s">
        <v>12</v>
      </c>
      <c r="AG2" s="6" t="s">
        <v>13</v>
      </c>
      <c r="AH2" s="6" t="s">
        <v>14</v>
      </c>
      <c r="AI2" s="6" t="s">
        <v>15</v>
      </c>
      <c r="AJ2" s="6" t="s">
        <v>16</v>
      </c>
      <c r="AK2" s="6" t="s">
        <v>17</v>
      </c>
      <c r="AL2" s="6" t="s">
        <v>18</v>
      </c>
      <c r="AM2" s="6" t="s">
        <v>19</v>
      </c>
      <c r="AN2" s="6" t="s">
        <v>20</v>
      </c>
      <c r="AO2" s="9" t="s">
        <v>21</v>
      </c>
    </row>
    <row r="3" customFormat="false" ht="54.75" hidden="false" customHeight="true" outlineLevel="0" collapsed="false">
      <c r="A3" s="2"/>
      <c r="B3" s="3"/>
      <c r="C3" s="10" t="s">
        <v>22</v>
      </c>
      <c r="D3" s="10" t="s">
        <v>23</v>
      </c>
      <c r="E3" s="10" t="s">
        <v>24</v>
      </c>
      <c r="F3" s="11" t="s">
        <v>25</v>
      </c>
      <c r="G3" s="11" t="s">
        <v>26</v>
      </c>
      <c r="H3" s="11" t="s">
        <v>27</v>
      </c>
      <c r="I3" s="11" t="s">
        <v>28</v>
      </c>
      <c r="J3" s="11" t="s">
        <v>29</v>
      </c>
      <c r="K3" s="12" t="s">
        <v>30</v>
      </c>
      <c r="L3" s="6"/>
      <c r="M3" s="6"/>
      <c r="N3" s="6"/>
      <c r="O3" s="13" t="s">
        <v>31</v>
      </c>
      <c r="P3" s="13" t="s">
        <v>32</v>
      </c>
      <c r="Q3" s="13" t="s">
        <v>33</v>
      </c>
      <c r="R3" s="13" t="s">
        <v>34</v>
      </c>
      <c r="S3" s="13" t="s">
        <v>35</v>
      </c>
      <c r="T3" s="13" t="s">
        <v>36</v>
      </c>
      <c r="U3" s="13" t="s">
        <v>37</v>
      </c>
      <c r="V3" s="13" t="s">
        <v>38</v>
      </c>
      <c r="W3" s="13" t="s">
        <v>39</v>
      </c>
      <c r="X3" s="13" t="s">
        <v>40</v>
      </c>
      <c r="Y3" s="13" t="s">
        <v>41</v>
      </c>
      <c r="Z3" s="14" t="s">
        <v>32</v>
      </c>
      <c r="AA3" s="14" t="s">
        <v>42</v>
      </c>
      <c r="AB3" s="14" t="s">
        <v>43</v>
      </c>
      <c r="AC3" s="14" t="s">
        <v>41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9"/>
    </row>
    <row r="4" customFormat="false" ht="18" hidden="false" customHeight="true" outlineLevel="0" collapsed="false">
      <c r="A4" s="15" t="s">
        <v>44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</row>
    <row r="5" customFormat="false" ht="41.25" hidden="false" customHeight="true" outlineLevel="0" collapsed="false">
      <c r="A5" s="16" t="n">
        <v>1</v>
      </c>
      <c r="B5" s="16" t="s">
        <v>45</v>
      </c>
      <c r="C5" s="17" t="n">
        <v>0.7</v>
      </c>
      <c r="D5" s="17" t="n">
        <v>0.5</v>
      </c>
      <c r="E5" s="17" t="n">
        <v>0.1</v>
      </c>
      <c r="F5" s="18" t="n">
        <v>9</v>
      </c>
      <c r="G5" s="18" t="n">
        <v>16.2</v>
      </c>
      <c r="H5" s="19" t="n">
        <v>6</v>
      </c>
      <c r="I5" s="19" t="n">
        <v>1</v>
      </c>
      <c r="J5" s="19" t="n">
        <v>1</v>
      </c>
      <c r="K5" s="20" t="n">
        <f aca="false">IF(F5="", "", H5 - I5 - J5)</f>
        <v>4</v>
      </c>
      <c r="L5" s="16" t="n">
        <v>500</v>
      </c>
      <c r="M5" s="21" t="n">
        <f aca="false">IF(F5="", "", 5 * K5 * (F5 + G5) / (F5 * G5))</f>
        <v>3.45679012345679</v>
      </c>
      <c r="N5" s="21" t="n">
        <f aca="false">IF(F5="", "", (F5 * G5) / (K5 * (F5 + G5)))</f>
        <v>1.44642857142857</v>
      </c>
      <c r="O5" s="16" t="s">
        <v>46</v>
      </c>
      <c r="P5" s="16" t="s">
        <v>47</v>
      </c>
      <c r="Q5" s="16" t="s">
        <v>48</v>
      </c>
      <c r="R5" s="16" t="n">
        <v>12620</v>
      </c>
      <c r="S5" s="16" t="n">
        <v>80</v>
      </c>
      <c r="T5" s="16" t="n">
        <v>5000</v>
      </c>
      <c r="U5" s="16" t="n">
        <v>100000</v>
      </c>
      <c r="V5" s="16" t="n">
        <v>78.7</v>
      </c>
      <c r="W5" s="16" t="n">
        <v>0</v>
      </c>
      <c r="X5" s="16" t="n">
        <v>0.99</v>
      </c>
      <c r="Y5" s="22" t="s">
        <v>49</v>
      </c>
      <c r="Z5" s="16" t="s">
        <v>47</v>
      </c>
      <c r="AA5" s="16" t="s">
        <v>48</v>
      </c>
      <c r="AB5" s="16" t="n">
        <v>1</v>
      </c>
      <c r="AC5" s="22" t="s">
        <v>49</v>
      </c>
      <c r="AD5" s="16" t="n">
        <v>0.76</v>
      </c>
      <c r="AE5" s="16" t="n">
        <v>0.7</v>
      </c>
      <c r="AF5" s="21" t="n">
        <f aca="false">IF(F5="", "", IFERROR((L5 * F5 * G5) / (AD5 * AE5), ""))</f>
        <v>137030.07518797</v>
      </c>
      <c r="AG5" s="20" t="n">
        <f aca="false">ROUNDUP(AF5/(R5*AB5),0)</f>
        <v>11</v>
      </c>
      <c r="AH5" s="20" t="n">
        <v>3</v>
      </c>
      <c r="AI5" s="20" t="n">
        <v>4</v>
      </c>
      <c r="AJ5" s="20" t="n">
        <f aca="false">IF(F5="", "", IFERROR(G5 / AI5, ""))</f>
        <v>4.05</v>
      </c>
      <c r="AK5" s="20" t="n">
        <f aca="false">IF(F5="", "", IFERROR(F5 / AH5, ""))</f>
        <v>3</v>
      </c>
      <c r="AL5" s="20" t="n">
        <f aca="false">IF(F5="", "", IFERROR(AJ5 / 2, ""))</f>
        <v>2.025</v>
      </c>
      <c r="AM5" s="20" t="n">
        <f aca="false">IF(F5="", "", IFERROR(AK5 / 2, ""))</f>
        <v>1.5</v>
      </c>
      <c r="AN5" s="21" t="n">
        <f aca="false">AH5*AI5*AB5*(V5+W5)</f>
        <v>944.4</v>
      </c>
      <c r="AO5" s="21" t="n">
        <f aca="false">IF(F5="", "", IFERROR(AN5 / X5, ""))</f>
        <v>953.939393939394</v>
      </c>
    </row>
    <row r="6" customFormat="false" ht="41.25" hidden="false" customHeight="true" outlineLevel="0" collapsed="false">
      <c r="A6" s="23" t="n">
        <v>2</v>
      </c>
      <c r="B6" s="23" t="s">
        <v>50</v>
      </c>
      <c r="C6" s="24" t="n">
        <v>0.7</v>
      </c>
      <c r="D6" s="17" t="n">
        <v>0.5</v>
      </c>
      <c r="E6" s="24" t="n">
        <v>0.1</v>
      </c>
      <c r="F6" s="23" t="n">
        <v>8.2</v>
      </c>
      <c r="G6" s="25" t="n">
        <v>16.2</v>
      </c>
      <c r="H6" s="19" t="n">
        <v>6</v>
      </c>
      <c r="I6" s="19" t="n">
        <v>1</v>
      </c>
      <c r="J6" s="19" t="n">
        <v>1</v>
      </c>
      <c r="K6" s="20" t="n">
        <f aca="false">IF(F6="", "", H6 - I6 - J6)</f>
        <v>4</v>
      </c>
      <c r="L6" s="26" t="n">
        <v>750</v>
      </c>
      <c r="M6" s="27" t="n">
        <f aca="false">IF(F6="", "", 5 * K6 * (F6 + G6) / (F6 * G6))</f>
        <v>3.67359229147847</v>
      </c>
      <c r="N6" s="27" t="n">
        <f aca="false">IF(F6="", "", (F6 * G6) / (K6 * (F6 + G6)))</f>
        <v>1.36106557377049</v>
      </c>
      <c r="O6" s="16" t="s">
        <v>46</v>
      </c>
      <c r="P6" s="23" t="s">
        <v>47</v>
      </c>
      <c r="Q6" s="23" t="s">
        <v>48</v>
      </c>
      <c r="R6" s="23" t="n">
        <v>12620</v>
      </c>
      <c r="S6" s="23" t="n">
        <v>80</v>
      </c>
      <c r="T6" s="23" t="n">
        <v>5000</v>
      </c>
      <c r="U6" s="23" t="n">
        <v>100000</v>
      </c>
      <c r="V6" s="23" t="n">
        <v>78.7</v>
      </c>
      <c r="W6" s="23" t="n">
        <v>0</v>
      </c>
      <c r="X6" s="23" t="n">
        <v>0.99</v>
      </c>
      <c r="Y6" s="22" t="s">
        <v>49</v>
      </c>
      <c r="Z6" s="23" t="s">
        <v>47</v>
      </c>
      <c r="AA6" s="23" t="s">
        <v>48</v>
      </c>
      <c r="AB6" s="23" t="n">
        <v>1</v>
      </c>
      <c r="AC6" s="22" t="s">
        <v>49</v>
      </c>
      <c r="AD6" s="16" t="n">
        <v>0.74</v>
      </c>
      <c r="AE6" s="23" t="n">
        <v>0.7</v>
      </c>
      <c r="AF6" s="27" t="n">
        <f aca="false">IF(F6="", "", IFERROR((L6 * F6 * G6) / (AD6 * AE6), ""))</f>
        <v>192335.907335907</v>
      </c>
      <c r="AG6" s="28" t="n">
        <f aca="false">ROUNDUP(AF6/(R6*AB6),0)</f>
        <v>16</v>
      </c>
      <c r="AH6" s="28" t="n">
        <v>3</v>
      </c>
      <c r="AI6" s="28" t="n">
        <v>6</v>
      </c>
      <c r="AJ6" s="28" t="n">
        <f aca="false">IF(F6="", "", IFERROR(G6 / AI6, ""))</f>
        <v>2.7</v>
      </c>
      <c r="AK6" s="28" t="n">
        <f aca="false">IF(F6="", "", IFERROR(F6 / AH6, ""))</f>
        <v>2.73333333333333</v>
      </c>
      <c r="AL6" s="28" t="n">
        <f aca="false">IF(F6="", "", IFERROR(AJ6 / 2, ""))</f>
        <v>1.35</v>
      </c>
      <c r="AM6" s="28" t="n">
        <f aca="false">IF(F6="", "", IFERROR(AK6 / 2, ""))</f>
        <v>1.36666666666667</v>
      </c>
      <c r="AN6" s="27" t="n">
        <f aca="false">AH6*AI6*AB6*(V6+W6)</f>
        <v>1416.6</v>
      </c>
      <c r="AO6" s="27" t="n">
        <f aca="false">IF(F6="", "", IFERROR(AN6 / X6, ""))</f>
        <v>1430.90909090909</v>
      </c>
    </row>
    <row r="7" customFormat="false" ht="41.25" hidden="false" customHeight="true" outlineLevel="0" collapsed="false">
      <c r="A7" s="23" t="n">
        <v>3</v>
      </c>
      <c r="B7" s="23" t="s">
        <v>51</v>
      </c>
      <c r="C7" s="24" t="n">
        <v>0.7</v>
      </c>
      <c r="D7" s="17" t="n">
        <v>0.5</v>
      </c>
      <c r="E7" s="24" t="n">
        <v>0.1</v>
      </c>
      <c r="F7" s="25" t="n">
        <v>9</v>
      </c>
      <c r="G7" s="25" t="n">
        <v>16.6</v>
      </c>
      <c r="H7" s="19" t="n">
        <v>6</v>
      </c>
      <c r="I7" s="19" t="n">
        <v>1</v>
      </c>
      <c r="J7" s="19" t="n">
        <v>1</v>
      </c>
      <c r="K7" s="20" t="n">
        <f aca="false">IF(F7="", "", H7 - I7 - J7)</f>
        <v>4</v>
      </c>
      <c r="L7" s="23" t="n">
        <v>300</v>
      </c>
      <c r="M7" s="27" t="n">
        <f aca="false">IF(F7="", "", 5 * K7 * (F7 + G7) / (F7 * G7))</f>
        <v>3.42704149933066</v>
      </c>
      <c r="N7" s="27" t="n">
        <f aca="false">IF(F7="", "", (F7 * G7) / (K7 * (F7 + G7)))</f>
        <v>1.458984375</v>
      </c>
      <c r="O7" s="16" t="s">
        <v>46</v>
      </c>
      <c r="P7" s="23" t="s">
        <v>47</v>
      </c>
      <c r="Q7" s="23" t="s">
        <v>48</v>
      </c>
      <c r="R7" s="23" t="n">
        <v>12620</v>
      </c>
      <c r="S7" s="23" t="n">
        <v>80</v>
      </c>
      <c r="T7" s="23" t="n">
        <v>5000</v>
      </c>
      <c r="U7" s="23" t="n">
        <v>100000</v>
      </c>
      <c r="V7" s="23" t="n">
        <v>78.7</v>
      </c>
      <c r="W7" s="23" t="n">
        <v>0</v>
      </c>
      <c r="X7" s="23" t="n">
        <v>0.99</v>
      </c>
      <c r="Y7" s="22" t="s">
        <v>49</v>
      </c>
      <c r="Z7" s="23" t="s">
        <v>47</v>
      </c>
      <c r="AA7" s="23" t="s">
        <v>48</v>
      </c>
      <c r="AB7" s="23" t="n">
        <v>1</v>
      </c>
      <c r="AC7" s="22" t="s">
        <v>49</v>
      </c>
      <c r="AD7" s="16" t="n">
        <v>0.76</v>
      </c>
      <c r="AE7" s="23" t="n">
        <v>0.7</v>
      </c>
      <c r="AF7" s="27" t="n">
        <f aca="false">IF(F7="", "", IFERROR((L7 * F7 * G7) / (AD7 * AE7), ""))</f>
        <v>84248.1203007519</v>
      </c>
      <c r="AG7" s="28" t="n">
        <f aca="false">ROUNDUP(AF7/(R7*AB7),0)</f>
        <v>7</v>
      </c>
      <c r="AH7" s="28" t="n">
        <v>2</v>
      </c>
      <c r="AI7" s="28" t="n">
        <v>4</v>
      </c>
      <c r="AJ7" s="28" t="n">
        <f aca="false">IF(F7="", "", IFERROR(G7 / AI7, ""))</f>
        <v>4.15</v>
      </c>
      <c r="AK7" s="28" t="n">
        <f aca="false">IF(F7="", "", IFERROR(F7 / AH7, ""))</f>
        <v>4.5</v>
      </c>
      <c r="AL7" s="28" t="n">
        <f aca="false">IF(F7="", "", IFERROR(AJ7 / 2, ""))</f>
        <v>2.075</v>
      </c>
      <c r="AM7" s="28" t="n">
        <f aca="false">IF(F7="", "", IFERROR(AK7 / 2, ""))</f>
        <v>2.25</v>
      </c>
      <c r="AN7" s="27" t="n">
        <f aca="false">AH7*AI7*AB7*(V7+W7)</f>
        <v>629.6</v>
      </c>
      <c r="AO7" s="27" t="n">
        <f aca="false">IF(F7="", "", IFERROR(AN7 / X7, ""))</f>
        <v>635.959595959596</v>
      </c>
    </row>
    <row r="8" customFormat="false" ht="41.25" hidden="false" customHeight="true" outlineLevel="0" collapsed="false">
      <c r="A8" s="23" t="n">
        <v>4</v>
      </c>
      <c r="B8" s="23" t="s">
        <v>52</v>
      </c>
      <c r="C8" s="24" t="n">
        <v>0.7</v>
      </c>
      <c r="D8" s="17" t="n">
        <v>0.5</v>
      </c>
      <c r="E8" s="24" t="n">
        <v>0.1</v>
      </c>
      <c r="F8" s="25" t="n">
        <v>8.15</v>
      </c>
      <c r="G8" s="25" t="n">
        <v>16.7</v>
      </c>
      <c r="H8" s="19" t="n">
        <v>6</v>
      </c>
      <c r="I8" s="19" t="n">
        <v>1</v>
      </c>
      <c r="J8" s="19" t="n">
        <v>1</v>
      </c>
      <c r="K8" s="20" t="n">
        <f aca="false">IF(F8="", "", H8 - I8 - J8)</f>
        <v>4</v>
      </c>
      <c r="L8" s="23" t="n">
        <v>300</v>
      </c>
      <c r="M8" s="27" t="n">
        <f aca="false">IF(F8="", "", 5 * K8 * (F8 + G8) / (F8 * G8))</f>
        <v>3.65159252048051</v>
      </c>
      <c r="N8" s="27" t="n">
        <f aca="false">IF(F8="", "", (F8 * G8) / (K8 * (F8 + G8)))</f>
        <v>1.36926559356137</v>
      </c>
      <c r="O8" s="16" t="s">
        <v>46</v>
      </c>
      <c r="P8" s="23" t="s">
        <v>47</v>
      </c>
      <c r="Q8" s="23" t="s">
        <v>48</v>
      </c>
      <c r="R8" s="23" t="n">
        <v>12620</v>
      </c>
      <c r="S8" s="23" t="n">
        <v>80</v>
      </c>
      <c r="T8" s="23" t="n">
        <v>5000</v>
      </c>
      <c r="U8" s="23" t="n">
        <v>100000</v>
      </c>
      <c r="V8" s="23" t="n">
        <v>78.7</v>
      </c>
      <c r="W8" s="23" t="n">
        <v>0</v>
      </c>
      <c r="X8" s="23" t="n">
        <v>0.99</v>
      </c>
      <c r="Y8" s="22" t="s">
        <v>49</v>
      </c>
      <c r="Z8" s="23" t="s">
        <v>47</v>
      </c>
      <c r="AA8" s="23" t="s">
        <v>48</v>
      </c>
      <c r="AB8" s="23" t="n">
        <v>1</v>
      </c>
      <c r="AC8" s="22" t="s">
        <v>49</v>
      </c>
      <c r="AD8" s="16" t="n">
        <v>0.74</v>
      </c>
      <c r="AE8" s="23" t="n">
        <v>0.7</v>
      </c>
      <c r="AF8" s="27" t="n">
        <f aca="false">IF(F8="", "", IFERROR((L8 * F8 * G8) / (AD8 * AE8), ""))</f>
        <v>78825.2895752896</v>
      </c>
      <c r="AG8" s="28" t="n">
        <f aca="false">ROUNDUP(AF8/(R8*AB8),0)</f>
        <v>7</v>
      </c>
      <c r="AH8" s="28" t="n">
        <v>2</v>
      </c>
      <c r="AI8" s="28" t="n">
        <v>4</v>
      </c>
      <c r="AJ8" s="28" t="n">
        <f aca="false">IF(F8="", "", IFERROR(G8 / AI8, ""))</f>
        <v>4.175</v>
      </c>
      <c r="AK8" s="28" t="n">
        <f aca="false">IF(F8="", "", IFERROR(F8 / AH8, ""))</f>
        <v>4.075</v>
      </c>
      <c r="AL8" s="28" t="n">
        <f aca="false">IF(F8="", "", IFERROR(AJ8 / 2, ""))</f>
        <v>2.0875</v>
      </c>
      <c r="AM8" s="28" t="n">
        <f aca="false">IF(F8="", "", IFERROR(AK8 / 2, ""))</f>
        <v>2.0375</v>
      </c>
      <c r="AN8" s="27" t="n">
        <f aca="false">AH8*AI8*AB8*(V8+W8)</f>
        <v>629.6</v>
      </c>
      <c r="AO8" s="27" t="n">
        <f aca="false">IF(F8="", "", IFERROR(AN8 / X8, ""))</f>
        <v>635.959595959596</v>
      </c>
    </row>
    <row r="9" customFormat="false" ht="41.25" hidden="false" customHeight="true" outlineLevel="0" collapsed="false">
      <c r="A9" s="23" t="n">
        <v>5</v>
      </c>
      <c r="B9" s="23" t="s">
        <v>53</v>
      </c>
      <c r="C9" s="24" t="n">
        <v>0.7</v>
      </c>
      <c r="D9" s="17" t="n">
        <v>0.5</v>
      </c>
      <c r="E9" s="24" t="n">
        <v>0.1</v>
      </c>
      <c r="F9" s="29" t="n">
        <v>7.15</v>
      </c>
      <c r="G9" s="23" t="n">
        <v>13.45</v>
      </c>
      <c r="H9" s="19" t="n">
        <v>6</v>
      </c>
      <c r="I9" s="19" t="n">
        <v>1</v>
      </c>
      <c r="J9" s="19" t="n">
        <v>1</v>
      </c>
      <c r="K9" s="20" t="n">
        <f aca="false">IF(F9="", "", H9 - I9 - J9)</f>
        <v>4</v>
      </c>
      <c r="L9" s="23" t="n">
        <v>1000</v>
      </c>
      <c r="M9" s="27" t="n">
        <f aca="false">IF(F9="", "", 5 * K9 * (F9 + G9) / (F9 * G9))</f>
        <v>4.28419164478644</v>
      </c>
      <c r="N9" s="27" t="n">
        <f aca="false">IF(F9="", "", (F9 * G9) / (K9 * (F9 + G9)))</f>
        <v>1.16708131067961</v>
      </c>
      <c r="O9" s="16" t="s">
        <v>46</v>
      </c>
      <c r="P9" s="23" t="s">
        <v>47</v>
      </c>
      <c r="Q9" s="23" t="s">
        <v>48</v>
      </c>
      <c r="R9" s="23" t="n">
        <v>12620</v>
      </c>
      <c r="S9" s="23" t="n">
        <v>80</v>
      </c>
      <c r="T9" s="23" t="n">
        <v>5000</v>
      </c>
      <c r="U9" s="23" t="n">
        <v>100000</v>
      </c>
      <c r="V9" s="23" t="n">
        <v>78.7</v>
      </c>
      <c r="W9" s="23" t="n">
        <v>0</v>
      </c>
      <c r="X9" s="23" t="n">
        <v>0.99</v>
      </c>
      <c r="Y9" s="22" t="s">
        <v>49</v>
      </c>
      <c r="Z9" s="23" t="s">
        <v>47</v>
      </c>
      <c r="AA9" s="23" t="s">
        <v>48</v>
      </c>
      <c r="AB9" s="23" t="n">
        <v>1</v>
      </c>
      <c r="AC9" s="22" t="s">
        <v>49</v>
      </c>
      <c r="AD9" s="16" t="n">
        <v>0.69</v>
      </c>
      <c r="AE9" s="23" t="n">
        <v>0.7</v>
      </c>
      <c r="AF9" s="27" t="n">
        <f aca="false">IF(F9="", "", IFERROR((L9 * F9 * G9) / (AD9 * AE9), ""))</f>
        <v>199104.554865424</v>
      </c>
      <c r="AG9" s="28" t="n">
        <f aca="false">ROUNDUP(AF9/(R9*AB9),0)</f>
        <v>16</v>
      </c>
      <c r="AH9" s="28" t="n">
        <v>3</v>
      </c>
      <c r="AI9" s="28" t="n">
        <v>7</v>
      </c>
      <c r="AJ9" s="28" t="n">
        <f aca="false">IF(F9="", "", IFERROR(G9 / AI9, ""))</f>
        <v>1.92142857142857</v>
      </c>
      <c r="AK9" s="28" t="n">
        <f aca="false">IF(F9="", "", IFERROR(F9 / AH9, ""))</f>
        <v>2.38333333333333</v>
      </c>
      <c r="AL9" s="28" t="n">
        <f aca="false">IF(F9="", "", IFERROR(AJ9 / 2, ""))</f>
        <v>0.960714285714286</v>
      </c>
      <c r="AM9" s="28" t="n">
        <f aca="false">IF(F9="", "", IFERROR(AK9 / 2, ""))</f>
        <v>1.19166666666667</v>
      </c>
      <c r="AN9" s="27" t="n">
        <f aca="false">AH9*AI9*AB9*(V9+W9)</f>
        <v>1652.7</v>
      </c>
      <c r="AO9" s="27" t="n">
        <f aca="false">IF(F9="", "", IFERROR(AN9 / X9, ""))</f>
        <v>1669.39393939394</v>
      </c>
    </row>
    <row r="10" customFormat="false" ht="17.25" hidden="false" customHeight="true" outlineLevel="0" collapsed="false">
      <c r="A10" s="30" t="s">
        <v>54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</row>
    <row r="11" customFormat="false" ht="41.25" hidden="false" customHeight="true" outlineLevel="0" collapsed="false">
      <c r="A11" s="23" t="n">
        <v>6</v>
      </c>
      <c r="B11" s="23" t="s">
        <v>55</v>
      </c>
      <c r="C11" s="24" t="n">
        <v>0.7</v>
      </c>
      <c r="D11" s="24" t="n">
        <v>0.5</v>
      </c>
      <c r="E11" s="24" t="n">
        <v>0.1</v>
      </c>
      <c r="F11" s="25" t="n">
        <v>5.9</v>
      </c>
      <c r="G11" s="25" t="n">
        <v>9.2</v>
      </c>
      <c r="H11" s="29" t="n">
        <v>3</v>
      </c>
      <c r="I11" s="29" t="n">
        <v>0.7</v>
      </c>
      <c r="J11" s="29" t="n">
        <v>0.5</v>
      </c>
      <c r="K11" s="20" t="n">
        <f aca="false">IF(F11="", "", H11 - I11 - J11)</f>
        <v>1.8</v>
      </c>
      <c r="L11" s="23" t="n">
        <v>200</v>
      </c>
      <c r="M11" s="27" t="n">
        <f aca="false">IF(F11="", "", 5 * K11 * (F11 + G11) / (F11 * G11))</f>
        <v>2.50368459837878</v>
      </c>
      <c r="N11" s="27" t="n">
        <f aca="false">IF(F11="", "", (F11 * G11) / (K11 * (F11 + G11)))</f>
        <v>1.99705665930832</v>
      </c>
      <c r="O11" s="23" t="s">
        <v>56</v>
      </c>
      <c r="P11" s="23" t="s">
        <v>47</v>
      </c>
      <c r="Q11" s="23" t="s">
        <v>57</v>
      </c>
      <c r="R11" s="23" t="n">
        <v>4000</v>
      </c>
      <c r="S11" s="23" t="n">
        <v>80</v>
      </c>
      <c r="T11" s="23" t="n">
        <v>4000</v>
      </c>
      <c r="U11" s="23" t="n">
        <v>50000</v>
      </c>
      <c r="V11" s="23" t="n">
        <v>40</v>
      </c>
      <c r="W11" s="23" t="n">
        <v>0</v>
      </c>
      <c r="X11" s="23" t="n">
        <v>0.99</v>
      </c>
      <c r="Y11" s="22" t="s">
        <v>58</v>
      </c>
      <c r="Z11" s="23" t="s">
        <v>47</v>
      </c>
      <c r="AA11" s="23" t="s">
        <v>57</v>
      </c>
      <c r="AB11" s="23" t="n">
        <v>1</v>
      </c>
      <c r="AC11" s="31" t="s">
        <v>58</v>
      </c>
      <c r="AD11" s="23" t="n">
        <v>0.82</v>
      </c>
      <c r="AE11" s="23" t="n">
        <v>0.85</v>
      </c>
      <c r="AF11" s="27" t="n">
        <f aca="false">IF(F11="", "", IFERROR((L11 * F11 * G11) / (AD11 * AE11), ""))</f>
        <v>15575.3228120517</v>
      </c>
      <c r="AG11" s="28" t="n">
        <f aca="false">IF(F11="", "", IFERROR(ROUND(AF11 / (R11 * AB11), 0), ""))</f>
        <v>4</v>
      </c>
      <c r="AH11" s="28" t="n">
        <v>2</v>
      </c>
      <c r="AI11" s="28" t="n">
        <v>3</v>
      </c>
      <c r="AJ11" s="28" t="n">
        <f aca="false">IF(F11="", "", IFERROR(G11 / AI11, ""))</f>
        <v>3.06666666666667</v>
      </c>
      <c r="AK11" s="28" t="n">
        <f aca="false">IF(F11="", "", IFERROR(F11 / AH11, ""))</f>
        <v>2.95</v>
      </c>
      <c r="AL11" s="28" t="n">
        <f aca="false">IF(F11="", "", IFERROR(AJ11 / 2, ""))</f>
        <v>1.53333333333333</v>
      </c>
      <c r="AM11" s="28" t="n">
        <f aca="false">IF(F11="", "", IFERROR(AK11 / 2, ""))</f>
        <v>1.475</v>
      </c>
      <c r="AN11" s="28" t="n">
        <f aca="false">AH11*AI11*AB11*(V11+W11)</f>
        <v>240</v>
      </c>
      <c r="AO11" s="28" t="n">
        <f aca="false">IF(F11="", "", IFERROR(AN11 / X11, ""))</f>
        <v>242.424242424242</v>
      </c>
    </row>
    <row r="12" customFormat="false" ht="41.25" hidden="false" customHeight="true" outlineLevel="0" collapsed="false">
      <c r="A12" s="23" t="n">
        <v>7</v>
      </c>
      <c r="B12" s="23" t="s">
        <v>59</v>
      </c>
      <c r="C12" s="24" t="n">
        <v>0.7</v>
      </c>
      <c r="D12" s="24" t="n">
        <v>0.5</v>
      </c>
      <c r="E12" s="24" t="n">
        <v>0.1</v>
      </c>
      <c r="F12" s="25" t="n">
        <v>5.5</v>
      </c>
      <c r="G12" s="25" t="n">
        <v>7.7</v>
      </c>
      <c r="H12" s="29" t="n">
        <v>3</v>
      </c>
      <c r="I12" s="29" t="n">
        <v>0.7</v>
      </c>
      <c r="J12" s="29" t="n">
        <v>0.5</v>
      </c>
      <c r="K12" s="20" t="n">
        <f aca="false">IF(F12="", "", H12 - I12 - J12)</f>
        <v>1.8</v>
      </c>
      <c r="L12" s="23" t="n">
        <v>500</v>
      </c>
      <c r="M12" s="27" t="n">
        <f aca="false">IF(F12="", "", 5 * K12 * (F12 + G12) / (F12 * G12))</f>
        <v>2.80519480519481</v>
      </c>
      <c r="N12" s="27" t="n">
        <f aca="false">IF(F12="", "", (F12 * G12) / (K12 * (F12 + G12)))</f>
        <v>1.78240740740741</v>
      </c>
      <c r="O12" s="23" t="s">
        <v>56</v>
      </c>
      <c r="P12" s="23" t="s">
        <v>47</v>
      </c>
      <c r="Q12" s="23" t="s">
        <v>57</v>
      </c>
      <c r="R12" s="23" t="n">
        <v>4000</v>
      </c>
      <c r="S12" s="23" t="n">
        <v>80</v>
      </c>
      <c r="T12" s="23" t="n">
        <v>4000</v>
      </c>
      <c r="U12" s="23" t="n">
        <v>50000</v>
      </c>
      <c r="V12" s="23" t="n">
        <v>40</v>
      </c>
      <c r="W12" s="23" t="n">
        <v>0</v>
      </c>
      <c r="X12" s="23" t="n">
        <v>0.99</v>
      </c>
      <c r="Y12" s="22" t="s">
        <v>58</v>
      </c>
      <c r="Z12" s="23" t="s">
        <v>47</v>
      </c>
      <c r="AA12" s="23" t="s">
        <v>57</v>
      </c>
      <c r="AB12" s="23" t="n">
        <v>1</v>
      </c>
      <c r="AC12" s="31" t="s">
        <v>58</v>
      </c>
      <c r="AD12" s="23" t="n">
        <v>0.79</v>
      </c>
      <c r="AE12" s="23" t="n">
        <v>0.85</v>
      </c>
      <c r="AF12" s="27" t="n">
        <f aca="false">IF(F12="", "", IFERROR((L12 * F12 * G12) / (AD12 * AE12), ""))</f>
        <v>31533.8793745346</v>
      </c>
      <c r="AG12" s="28" t="n">
        <f aca="false">IF(F12="", "", IFERROR(ROUND(AF12 / (R12 * AB12), 0), ""))</f>
        <v>8</v>
      </c>
      <c r="AH12" s="28" t="n">
        <v>3</v>
      </c>
      <c r="AI12" s="28" t="n">
        <v>3</v>
      </c>
      <c r="AJ12" s="28" t="n">
        <f aca="false">IF(F12="", "", IFERROR(G12 / AI12, ""))</f>
        <v>2.56666666666667</v>
      </c>
      <c r="AK12" s="28" t="n">
        <f aca="false">IF(F12="", "", IFERROR(F12 / AH12, ""))</f>
        <v>1.83333333333333</v>
      </c>
      <c r="AL12" s="28" t="n">
        <f aca="false">IF(F12="", "", IFERROR(AJ12 / 2, ""))</f>
        <v>1.28333333333333</v>
      </c>
      <c r="AM12" s="28" t="n">
        <f aca="false">IF(F12="", "", IFERROR(AK12 / 2, ""))</f>
        <v>0.916666666666667</v>
      </c>
      <c r="AN12" s="28" t="n">
        <f aca="false">AH12*AI12*AB12*(V12+W12)</f>
        <v>360</v>
      </c>
      <c r="AO12" s="28" t="n">
        <f aca="false">IF(F12="", "", IFERROR(AN12 / X12, ""))</f>
        <v>363.636363636364</v>
      </c>
    </row>
    <row r="13" customFormat="false" ht="41.25" hidden="false" customHeight="true" outlineLevel="0" collapsed="false">
      <c r="A13" s="23" t="n">
        <v>8</v>
      </c>
      <c r="B13" s="23" t="s">
        <v>60</v>
      </c>
      <c r="C13" s="24" t="n">
        <v>0.7</v>
      </c>
      <c r="D13" s="24" t="n">
        <v>0.5</v>
      </c>
      <c r="E13" s="24" t="n">
        <v>0.1</v>
      </c>
      <c r="F13" s="25" t="n">
        <v>4</v>
      </c>
      <c r="G13" s="25" t="n">
        <v>4.8</v>
      </c>
      <c r="H13" s="29" t="n">
        <v>3</v>
      </c>
      <c r="I13" s="29" t="n">
        <v>0.7</v>
      </c>
      <c r="J13" s="29" t="n">
        <v>0.5</v>
      </c>
      <c r="K13" s="20" t="n">
        <f aca="false">IF(F13="", "", H13 - I13 - J13)</f>
        <v>1.8</v>
      </c>
      <c r="L13" s="23" t="n">
        <v>300</v>
      </c>
      <c r="M13" s="27" t="n">
        <f aca="false">IF(F13="", "", 5 * K13 * (F13 + G13) / (F13 * G13))</f>
        <v>4.125</v>
      </c>
      <c r="N13" s="27" t="n">
        <f aca="false">IF(F13="", "", (F13 * G13) / (K13 * (F13 + G13)))</f>
        <v>1.21212121212121</v>
      </c>
      <c r="O13" s="23" t="s">
        <v>56</v>
      </c>
      <c r="P13" s="23" t="s">
        <v>47</v>
      </c>
      <c r="Q13" s="23" t="s">
        <v>57</v>
      </c>
      <c r="R13" s="23" t="n">
        <v>4000</v>
      </c>
      <c r="S13" s="23" t="n">
        <v>80</v>
      </c>
      <c r="T13" s="23" t="n">
        <v>4000</v>
      </c>
      <c r="U13" s="23" t="n">
        <v>50000</v>
      </c>
      <c r="V13" s="23" t="n">
        <v>40</v>
      </c>
      <c r="W13" s="23" t="n">
        <v>0</v>
      </c>
      <c r="X13" s="23" t="n">
        <v>0.99</v>
      </c>
      <c r="Y13" s="22" t="s">
        <v>58</v>
      </c>
      <c r="Z13" s="23" t="s">
        <v>47</v>
      </c>
      <c r="AA13" s="23" t="s">
        <v>57</v>
      </c>
      <c r="AB13" s="23" t="n">
        <v>1</v>
      </c>
      <c r="AC13" s="31" t="s">
        <v>58</v>
      </c>
      <c r="AD13" s="25" t="n">
        <v>0.67</v>
      </c>
      <c r="AE13" s="23" t="n">
        <v>0.85</v>
      </c>
      <c r="AF13" s="28" t="n">
        <f aca="false">IF(F13="", "", IFERROR((L13 * F13 * G13) / (AD13 * AE13), ""))</f>
        <v>10114.1352063213</v>
      </c>
      <c r="AG13" s="28" t="n">
        <f aca="false">IF(F13="", "", IFERROR(ROUND(AF13 / (R13 * AB13), 0), ""))</f>
        <v>3</v>
      </c>
      <c r="AH13" s="28" t="n">
        <v>2</v>
      </c>
      <c r="AI13" s="28" t="n">
        <v>2</v>
      </c>
      <c r="AJ13" s="28" t="n">
        <f aca="false">IF(F13="", "", IFERROR(G13 / AI13, ""))</f>
        <v>2.4</v>
      </c>
      <c r="AK13" s="28" t="n">
        <f aca="false">IF(F13="", "", IFERROR(F13 / AH13, ""))</f>
        <v>2</v>
      </c>
      <c r="AL13" s="28" t="n">
        <f aca="false">IF(F13="", "", IFERROR(AJ13 / 2, ""))</f>
        <v>1.2</v>
      </c>
      <c r="AM13" s="28" t="n">
        <f aca="false">IF(F13="", "", IFERROR(AK13 / 2, ""))</f>
        <v>1</v>
      </c>
      <c r="AN13" s="28" t="n">
        <f aca="false">AH13*AI13*AB13*(V13+W13)</f>
        <v>160</v>
      </c>
      <c r="AO13" s="28" t="n">
        <f aca="false">IF(F13="", "", IFERROR(AN13 / X13, ""))</f>
        <v>161.616161616162</v>
      </c>
    </row>
    <row r="14" customFormat="false" ht="41.25" hidden="false" customHeight="true" outlineLevel="0" collapsed="false">
      <c r="A14" s="23" t="n">
        <v>9</v>
      </c>
      <c r="B14" s="23" t="s">
        <v>61</v>
      </c>
      <c r="C14" s="24" t="n">
        <v>0.7</v>
      </c>
      <c r="D14" s="24" t="n">
        <v>0.5</v>
      </c>
      <c r="E14" s="24" t="n">
        <v>0.1</v>
      </c>
      <c r="F14" s="25" t="n">
        <v>3.5</v>
      </c>
      <c r="G14" s="25" t="n">
        <v>4.8</v>
      </c>
      <c r="H14" s="29" t="n">
        <v>3</v>
      </c>
      <c r="I14" s="29" t="n">
        <v>0.7</v>
      </c>
      <c r="J14" s="29" t="n">
        <v>0.5</v>
      </c>
      <c r="K14" s="20" t="n">
        <f aca="false">IF(F14="", "", H14 - I14 - J14)</f>
        <v>1.8</v>
      </c>
      <c r="L14" s="23" t="n">
        <v>200</v>
      </c>
      <c r="M14" s="27" t="n">
        <f aca="false">IF(F14="", "", 5 * K14 * (F14 + G14) / (F14 * G14))</f>
        <v>4.44642857142857</v>
      </c>
      <c r="N14" s="27" t="n">
        <f aca="false">IF(F14="", "", (F14 * G14) / (K14 * (F14 + G14)))</f>
        <v>1.12449799196787</v>
      </c>
      <c r="O14" s="23" t="s">
        <v>56</v>
      </c>
      <c r="P14" s="23" t="s">
        <v>47</v>
      </c>
      <c r="Q14" s="23" t="s">
        <v>57</v>
      </c>
      <c r="R14" s="23" t="n">
        <v>4000</v>
      </c>
      <c r="S14" s="23" t="n">
        <v>80</v>
      </c>
      <c r="T14" s="23" t="n">
        <v>4000</v>
      </c>
      <c r="U14" s="23" t="n">
        <v>50000</v>
      </c>
      <c r="V14" s="23" t="n">
        <v>40</v>
      </c>
      <c r="W14" s="23" t="n">
        <v>0</v>
      </c>
      <c r="X14" s="23" t="n">
        <v>0.99</v>
      </c>
      <c r="Y14" s="22" t="s">
        <v>58</v>
      </c>
      <c r="Z14" s="23" t="s">
        <v>47</v>
      </c>
      <c r="AA14" s="23" t="s">
        <v>57</v>
      </c>
      <c r="AB14" s="23" t="n">
        <v>1</v>
      </c>
      <c r="AC14" s="31" t="s">
        <v>58</v>
      </c>
      <c r="AD14" s="25" t="n">
        <v>0.65</v>
      </c>
      <c r="AE14" s="23" t="n">
        <v>0.85</v>
      </c>
      <c r="AF14" s="28" t="n">
        <f aca="false">IF(F14="", "", IFERROR((L14 * F14 * G14) / (AD14 * AE14), ""))</f>
        <v>6081.44796380091</v>
      </c>
      <c r="AG14" s="28" t="n">
        <f aca="false">IF(F14="", "", IFERROR(ROUND(AF14 / (R14 * AB14), 0), ""))</f>
        <v>2</v>
      </c>
      <c r="AH14" s="28" t="n">
        <v>1</v>
      </c>
      <c r="AI14" s="28" t="n">
        <v>2</v>
      </c>
      <c r="AJ14" s="28" t="n">
        <f aca="false">IF(F14="", "", IFERROR(G14 / AI14, ""))</f>
        <v>2.4</v>
      </c>
      <c r="AK14" s="28" t="n">
        <f aca="false">IF(F14="", "", IFERROR(F14 / AH14, ""))</f>
        <v>3.5</v>
      </c>
      <c r="AL14" s="28" t="n">
        <f aca="false">IF(F14="", "", IFERROR(AJ14 / 2, ""))</f>
        <v>1.2</v>
      </c>
      <c r="AM14" s="28" t="n">
        <f aca="false">IF(F14="", "", IFERROR(AK14 / 2, ""))</f>
        <v>1.75</v>
      </c>
      <c r="AN14" s="28" t="n">
        <f aca="false">AH14*AI14*AB14*(V14+W14)</f>
        <v>80</v>
      </c>
      <c r="AO14" s="28" t="n">
        <f aca="false">IF(F14="", "", IFERROR(AN14 / X14, ""))</f>
        <v>80.8080808080808</v>
      </c>
    </row>
    <row r="15" customFormat="false" ht="25.5" hidden="false" customHeight="true" outlineLevel="0" collapsed="false">
      <c r="A15" s="23" t="n">
        <v>10</v>
      </c>
      <c r="B15" s="23" t="s">
        <v>62</v>
      </c>
      <c r="C15" s="24" t="n">
        <v>0.7</v>
      </c>
      <c r="D15" s="24" t="n">
        <v>0.5</v>
      </c>
      <c r="E15" s="24" t="n">
        <v>0.1</v>
      </c>
      <c r="F15" s="25" t="n">
        <v>2</v>
      </c>
      <c r="G15" s="25" t="n">
        <v>9</v>
      </c>
      <c r="H15" s="29" t="n">
        <v>3</v>
      </c>
      <c r="I15" s="29" t="n">
        <v>0.7</v>
      </c>
      <c r="J15" s="29" t="n">
        <v>0.5</v>
      </c>
      <c r="K15" s="20" t="n">
        <f aca="false">IF(F15="", "", H15 - I15 - J15)</f>
        <v>1.8</v>
      </c>
      <c r="L15" s="23" t="n">
        <v>200</v>
      </c>
      <c r="M15" s="27" t="n">
        <f aca="false">IF(F15="", "", 5 * K15 * (F15 + G15) / (F15 * G15))</f>
        <v>5.5</v>
      </c>
      <c r="N15" s="27" t="n">
        <f aca="false">IF(F15="", "", (F15 * G15) / (K15 * (F15 + G15)))</f>
        <v>0.909090909090909</v>
      </c>
      <c r="O15" s="23" t="s">
        <v>56</v>
      </c>
      <c r="P15" s="23" t="s">
        <v>47</v>
      </c>
      <c r="Q15" s="23" t="s">
        <v>57</v>
      </c>
      <c r="R15" s="23" t="n">
        <v>4000</v>
      </c>
      <c r="S15" s="23" t="n">
        <v>80</v>
      </c>
      <c r="T15" s="23" t="n">
        <v>4000</v>
      </c>
      <c r="U15" s="23" t="n">
        <v>50000</v>
      </c>
      <c r="V15" s="23" t="n">
        <v>40</v>
      </c>
      <c r="W15" s="23" t="n">
        <v>0</v>
      </c>
      <c r="X15" s="23" t="n">
        <v>0.99</v>
      </c>
      <c r="Y15" s="22" t="s">
        <v>58</v>
      </c>
      <c r="Z15" s="23" t="s">
        <v>47</v>
      </c>
      <c r="AA15" s="23" t="s">
        <v>57</v>
      </c>
      <c r="AB15" s="23" t="n">
        <v>1</v>
      </c>
      <c r="AC15" s="31" t="s">
        <v>58</v>
      </c>
      <c r="AD15" s="23" t="n">
        <v>0.58</v>
      </c>
      <c r="AE15" s="23" t="n">
        <v>0.85</v>
      </c>
      <c r="AF15" s="28" t="n">
        <f aca="false">IF(F15="", "", IFERROR((L15 * F15 * G15) / (AD15 * AE15), ""))</f>
        <v>7302.23123732252</v>
      </c>
      <c r="AG15" s="28" t="n">
        <f aca="false">IF(F15="", "", IFERROR(ROUND(AF15 / (R15 * AB15), 0), ""))</f>
        <v>2</v>
      </c>
      <c r="AH15" s="28" t="n">
        <v>1</v>
      </c>
      <c r="AI15" s="28" t="n">
        <v>3</v>
      </c>
      <c r="AJ15" s="28" t="n">
        <f aca="false">IF(F15="", "", IFERROR(G15 / AI15, ""))</f>
        <v>3</v>
      </c>
      <c r="AK15" s="28" t="n">
        <f aca="false">IF(F15="", "", IFERROR(F15 / AH15, ""))</f>
        <v>2</v>
      </c>
      <c r="AL15" s="28" t="n">
        <f aca="false">IF(F15="", "", IFERROR(AJ15 / 2, ""))</f>
        <v>1.5</v>
      </c>
      <c r="AM15" s="28" t="n">
        <f aca="false">IF(F15="", "", IFERROR(AK15 / 2, ""))</f>
        <v>1</v>
      </c>
      <c r="AN15" s="28" t="n">
        <f aca="false">AH15*AI15*AB15*(V15+W15)</f>
        <v>120</v>
      </c>
      <c r="AO15" s="28" t="n">
        <f aca="false">IF(F15="", "", IFERROR(AN15 / X15, ""))</f>
        <v>121.212121212121</v>
      </c>
    </row>
    <row r="16" customFormat="false" ht="41.25" hidden="false" customHeight="true" outlineLevel="0" collapsed="false">
      <c r="A16" s="23" t="n">
        <v>11</v>
      </c>
      <c r="B16" s="23" t="s">
        <v>63</v>
      </c>
      <c r="C16" s="24" t="n">
        <v>0.7</v>
      </c>
      <c r="D16" s="24" t="n">
        <v>0.5</v>
      </c>
      <c r="E16" s="24" t="n">
        <v>0.1</v>
      </c>
      <c r="F16" s="25" t="n">
        <v>3.57</v>
      </c>
      <c r="G16" s="25" t="n">
        <v>7.2</v>
      </c>
      <c r="H16" s="29" t="n">
        <v>3</v>
      </c>
      <c r="I16" s="29" t="n">
        <v>0.7</v>
      </c>
      <c r="J16" s="29" t="n">
        <v>0.5</v>
      </c>
      <c r="K16" s="20" t="n">
        <f aca="false">IF(F16="", "", H16 - I16 - J16)</f>
        <v>1.8</v>
      </c>
      <c r="L16" s="23" t="n">
        <v>200</v>
      </c>
      <c r="M16" s="28" t="n">
        <v>4</v>
      </c>
      <c r="N16" s="28" t="n">
        <f aca="false">IF(F16="", "", (F16 * G16) / (K16 * (F16 + G16)))</f>
        <v>1.32590529247911</v>
      </c>
      <c r="O16" s="23" t="s">
        <v>56</v>
      </c>
      <c r="P16" s="23" t="s">
        <v>47</v>
      </c>
      <c r="Q16" s="23" t="s">
        <v>57</v>
      </c>
      <c r="R16" s="23" t="n">
        <v>4000</v>
      </c>
      <c r="S16" s="23" t="n">
        <v>80</v>
      </c>
      <c r="T16" s="23" t="n">
        <v>4000</v>
      </c>
      <c r="U16" s="23" t="n">
        <v>50000</v>
      </c>
      <c r="V16" s="23" t="n">
        <v>40</v>
      </c>
      <c r="W16" s="23" t="n">
        <v>0</v>
      </c>
      <c r="X16" s="23" t="n">
        <v>0.99</v>
      </c>
      <c r="Y16" s="22" t="s">
        <v>58</v>
      </c>
      <c r="Z16" s="23" t="s">
        <v>47</v>
      </c>
      <c r="AA16" s="23" t="s">
        <v>57</v>
      </c>
      <c r="AB16" s="23" t="n">
        <v>1</v>
      </c>
      <c r="AC16" s="31" t="s">
        <v>58</v>
      </c>
      <c r="AD16" s="25" t="n">
        <v>0.68</v>
      </c>
      <c r="AE16" s="23" t="n">
        <v>0.85</v>
      </c>
      <c r="AF16" s="28" t="n">
        <f aca="false">IF(F16="", "", IFERROR((L16 * F16 * G16) / (AD16 * AE16), ""))</f>
        <v>8894.11764705882</v>
      </c>
      <c r="AG16" s="28" t="n">
        <f aca="false">IF(F16="", "", IFERROR(ROUND(AF16 / (R16 * AB16), 0), ""))</f>
        <v>2</v>
      </c>
      <c r="AH16" s="28" t="n">
        <v>1</v>
      </c>
      <c r="AI16" s="28" t="n">
        <v>2</v>
      </c>
      <c r="AJ16" s="28" t="n">
        <f aca="false">IF(F16="", "", IFERROR(G16 / AI16, ""))</f>
        <v>3.6</v>
      </c>
      <c r="AK16" s="28" t="n">
        <f aca="false">IF(F16="", "", IFERROR(F16 / AH16, ""))</f>
        <v>3.57</v>
      </c>
      <c r="AL16" s="28" t="n">
        <f aca="false">IF(F16="", "", IFERROR(AJ16 / 2, ""))</f>
        <v>1.8</v>
      </c>
      <c r="AM16" s="28" t="n">
        <f aca="false">IF(F16="", "", IFERROR(AK16 / 2, ""))</f>
        <v>1.785</v>
      </c>
      <c r="AN16" s="28" t="n">
        <f aca="false">AH16*AI16*AB16*(V16+W16)</f>
        <v>80</v>
      </c>
      <c r="AO16" s="28" t="n">
        <f aca="false">IF(F16="", "", IFERROR(AN16 / X16, ""))</f>
        <v>80.8080808080808</v>
      </c>
    </row>
    <row r="17" customFormat="false" ht="41.25" hidden="false" customHeight="true" outlineLevel="0" collapsed="false">
      <c r="A17" s="23" t="n">
        <v>12</v>
      </c>
      <c r="B17" s="23" t="s">
        <v>64</v>
      </c>
      <c r="C17" s="24" t="n">
        <v>0.7</v>
      </c>
      <c r="D17" s="24" t="n">
        <v>0.5</v>
      </c>
      <c r="E17" s="24" t="n">
        <v>0.1</v>
      </c>
      <c r="F17" s="25" t="n">
        <v>3.57</v>
      </c>
      <c r="G17" s="25" t="n">
        <v>7.2</v>
      </c>
      <c r="H17" s="29" t="n">
        <v>3</v>
      </c>
      <c r="I17" s="29" t="n">
        <v>0.7</v>
      </c>
      <c r="J17" s="29" t="n">
        <v>0.5</v>
      </c>
      <c r="K17" s="20" t="n">
        <f aca="false">IF(F17="", "", H17 - I17 - J17)</f>
        <v>1.8</v>
      </c>
      <c r="L17" s="23" t="n">
        <v>200</v>
      </c>
      <c r="M17" s="28" t="n">
        <v>4</v>
      </c>
      <c r="N17" s="28" t="n">
        <f aca="false">IF(F17="", "", (F17 * G17) / (K17 * (F17 + G17)))</f>
        <v>1.32590529247911</v>
      </c>
      <c r="O17" s="23" t="s">
        <v>56</v>
      </c>
      <c r="P17" s="23" t="s">
        <v>47</v>
      </c>
      <c r="Q17" s="23" t="s">
        <v>57</v>
      </c>
      <c r="R17" s="23" t="n">
        <v>4000</v>
      </c>
      <c r="S17" s="23" t="n">
        <v>80</v>
      </c>
      <c r="T17" s="23" t="n">
        <v>4000</v>
      </c>
      <c r="U17" s="23" t="n">
        <v>50000</v>
      </c>
      <c r="V17" s="23" t="n">
        <v>40</v>
      </c>
      <c r="W17" s="23" t="n">
        <v>0</v>
      </c>
      <c r="X17" s="23" t="n">
        <v>0.99</v>
      </c>
      <c r="Y17" s="22" t="s">
        <v>58</v>
      </c>
      <c r="Z17" s="23" t="s">
        <v>47</v>
      </c>
      <c r="AA17" s="23" t="s">
        <v>57</v>
      </c>
      <c r="AB17" s="23" t="n">
        <v>1</v>
      </c>
      <c r="AC17" s="31" t="s">
        <v>58</v>
      </c>
      <c r="AD17" s="25" t="n">
        <v>0.68</v>
      </c>
      <c r="AE17" s="23" t="n">
        <v>0.85</v>
      </c>
      <c r="AF17" s="28" t="n">
        <f aca="false">IF(F17="", "", IFERROR((L17 * F17 * G17) / (AD17 * AE17), ""))</f>
        <v>8894.11764705882</v>
      </c>
      <c r="AG17" s="28" t="n">
        <f aca="false">IF(F17="", "", IFERROR(ROUND(AF17 / (R17 * AB17), 0), ""))</f>
        <v>2</v>
      </c>
      <c r="AH17" s="28" t="n">
        <v>1</v>
      </c>
      <c r="AI17" s="28" t="n">
        <v>2</v>
      </c>
      <c r="AJ17" s="28" t="n">
        <f aca="false">IF(F17="", "", IFERROR(G17 / AI17, ""))</f>
        <v>3.6</v>
      </c>
      <c r="AK17" s="28" t="n">
        <f aca="false">IF(F17="", "", IFERROR(F17 / AH17, ""))</f>
        <v>3.57</v>
      </c>
      <c r="AL17" s="28" t="n">
        <f aca="false">IF(F17="", "", IFERROR(AJ17 / 2, ""))</f>
        <v>1.8</v>
      </c>
      <c r="AM17" s="28" t="n">
        <f aca="false">IF(F17="", "", IFERROR(AK17 / 2, ""))</f>
        <v>1.785</v>
      </c>
      <c r="AN17" s="28" t="n">
        <f aca="false">AH17*AI17*AB17*(V17+W17)</f>
        <v>80</v>
      </c>
      <c r="AO17" s="28" t="n">
        <f aca="false">IF(F17="", "", IFERROR(AN17 / X17, ""))</f>
        <v>80.8080808080808</v>
      </c>
    </row>
    <row r="18" customFormat="false" ht="41.25" hidden="false" customHeight="true" outlineLevel="0" collapsed="false">
      <c r="A18" s="23" t="n">
        <v>13</v>
      </c>
      <c r="B18" s="23" t="s">
        <v>65</v>
      </c>
      <c r="C18" s="24" t="n">
        <v>0.7</v>
      </c>
      <c r="D18" s="24" t="n">
        <v>0.5</v>
      </c>
      <c r="E18" s="24" t="n">
        <v>0.1</v>
      </c>
      <c r="F18" s="25" t="n">
        <v>3.5</v>
      </c>
      <c r="G18" s="25" t="n">
        <v>6</v>
      </c>
      <c r="H18" s="29" t="n">
        <v>3</v>
      </c>
      <c r="I18" s="29" t="n">
        <v>0.7</v>
      </c>
      <c r="J18" s="29" t="n">
        <v>0.5</v>
      </c>
      <c r="K18" s="20" t="n">
        <f aca="false">IF(F18="", "", H18 - I18 - J18)</f>
        <v>1.8</v>
      </c>
      <c r="L18" s="23" t="n">
        <v>200</v>
      </c>
      <c r="M18" s="28" t="n">
        <v>4</v>
      </c>
      <c r="N18" s="28" t="n">
        <f aca="false">IF(F18="", "", (F18 * G18) / (K18 * (F18 + G18)))</f>
        <v>1.2280701754386</v>
      </c>
      <c r="O18" s="23" t="s">
        <v>56</v>
      </c>
      <c r="P18" s="23" t="s">
        <v>47</v>
      </c>
      <c r="Q18" s="23" t="s">
        <v>57</v>
      </c>
      <c r="R18" s="23" t="n">
        <v>4000</v>
      </c>
      <c r="S18" s="23" t="n">
        <v>80</v>
      </c>
      <c r="T18" s="23" t="n">
        <v>4000</v>
      </c>
      <c r="U18" s="23" t="n">
        <v>50000</v>
      </c>
      <c r="V18" s="23" t="n">
        <v>40</v>
      </c>
      <c r="W18" s="23" t="n">
        <v>0</v>
      </c>
      <c r="X18" s="23" t="n">
        <v>0.99</v>
      </c>
      <c r="Y18" s="22" t="s">
        <v>58</v>
      </c>
      <c r="Z18" s="23" t="s">
        <v>47</v>
      </c>
      <c r="AA18" s="23" t="s">
        <v>57</v>
      </c>
      <c r="AB18" s="23" t="n">
        <v>1</v>
      </c>
      <c r="AC18" s="31" t="s">
        <v>58</v>
      </c>
      <c r="AD18" s="25" t="n">
        <v>0.68</v>
      </c>
      <c r="AE18" s="23" t="n">
        <v>0.85</v>
      </c>
      <c r="AF18" s="28" t="n">
        <f aca="false">IF(F18="", "", IFERROR((L18 * F18 * G18) / (AD18 * AE18), ""))</f>
        <v>7266.43598615917</v>
      </c>
      <c r="AG18" s="28" t="n">
        <f aca="false">IF(F18="", "", IFERROR(ROUND(AF18 / (R18 * AB18), 0), ""))</f>
        <v>2</v>
      </c>
      <c r="AH18" s="28" t="n">
        <v>1</v>
      </c>
      <c r="AI18" s="28" t="n">
        <v>2</v>
      </c>
      <c r="AJ18" s="28" t="n">
        <f aca="false">IF(F18="", "", IFERROR(G18 / AI18, ""))</f>
        <v>3</v>
      </c>
      <c r="AK18" s="28" t="n">
        <f aca="false">IF(F18="", "", IFERROR(F18 / AH18, ""))</f>
        <v>3.5</v>
      </c>
      <c r="AL18" s="28" t="n">
        <f aca="false">IF(F18="", "", IFERROR(AJ18 / 2, ""))</f>
        <v>1.5</v>
      </c>
      <c r="AM18" s="28" t="n">
        <f aca="false">IF(F18="", "", IFERROR(AK18 / 2, ""))</f>
        <v>1.75</v>
      </c>
      <c r="AN18" s="28" t="n">
        <f aca="false">AH18*AI18*AB18*(V18+W18)</f>
        <v>80</v>
      </c>
      <c r="AO18" s="28" t="n">
        <f aca="false">IF(F18="", "", IFERROR(AN18 / X18, ""))</f>
        <v>80.8080808080808</v>
      </c>
    </row>
    <row r="19" customFormat="false" ht="41.25" hidden="false" customHeight="true" outlineLevel="0" collapsed="false">
      <c r="A19" s="23" t="n">
        <v>14</v>
      </c>
      <c r="B19" s="23" t="s">
        <v>66</v>
      </c>
      <c r="C19" s="24" t="n">
        <v>0.7</v>
      </c>
      <c r="D19" s="24" t="n">
        <v>0.5</v>
      </c>
      <c r="E19" s="24" t="n">
        <v>0.1</v>
      </c>
      <c r="F19" s="25" t="n">
        <v>3.5</v>
      </c>
      <c r="G19" s="25" t="n">
        <v>6</v>
      </c>
      <c r="H19" s="29" t="n">
        <v>3</v>
      </c>
      <c r="I19" s="29" t="n">
        <v>0.7</v>
      </c>
      <c r="J19" s="29" t="n">
        <v>0.5</v>
      </c>
      <c r="K19" s="20" t="n">
        <f aca="false">IF(F19="", "", H19 - I19 - J19)</f>
        <v>1.8</v>
      </c>
      <c r="L19" s="23" t="n">
        <v>200</v>
      </c>
      <c r="M19" s="28" t="n">
        <v>4</v>
      </c>
      <c r="N19" s="28" t="n">
        <f aca="false">IF(F19="", "", (F19 * G19) / (K19 * (F19 + G19)))</f>
        <v>1.2280701754386</v>
      </c>
      <c r="O19" s="23" t="s">
        <v>56</v>
      </c>
      <c r="P19" s="23" t="s">
        <v>47</v>
      </c>
      <c r="Q19" s="23" t="s">
        <v>57</v>
      </c>
      <c r="R19" s="23" t="n">
        <v>4000</v>
      </c>
      <c r="S19" s="23" t="n">
        <v>80</v>
      </c>
      <c r="T19" s="23" t="n">
        <v>4000</v>
      </c>
      <c r="U19" s="23" t="n">
        <v>50000</v>
      </c>
      <c r="V19" s="23" t="n">
        <v>40</v>
      </c>
      <c r="W19" s="23" t="n">
        <v>0</v>
      </c>
      <c r="X19" s="23" t="n">
        <v>0.99</v>
      </c>
      <c r="Y19" s="22" t="s">
        <v>58</v>
      </c>
      <c r="Z19" s="23" t="s">
        <v>47</v>
      </c>
      <c r="AA19" s="23" t="s">
        <v>57</v>
      </c>
      <c r="AB19" s="23" t="n">
        <v>1</v>
      </c>
      <c r="AC19" s="31" t="s">
        <v>58</v>
      </c>
      <c r="AD19" s="25" t="n">
        <v>0.68</v>
      </c>
      <c r="AE19" s="23" t="n">
        <v>0.85</v>
      </c>
      <c r="AF19" s="28" t="n">
        <f aca="false">IF(F19="", "", IFERROR((L19 * F19 * G19) / (AD19 * AE19), ""))</f>
        <v>7266.43598615917</v>
      </c>
      <c r="AG19" s="28" t="n">
        <f aca="false">IF(F19="", "", IFERROR(ROUND(AF19 / (R19 * AB19), 0), ""))</f>
        <v>2</v>
      </c>
      <c r="AH19" s="28" t="n">
        <v>1</v>
      </c>
      <c r="AI19" s="28" t="n">
        <v>2</v>
      </c>
      <c r="AJ19" s="28" t="n">
        <f aca="false">IF(F19="", "", IFERROR(G19 / AI19, ""))</f>
        <v>3</v>
      </c>
      <c r="AK19" s="28" t="n">
        <f aca="false">IF(F19="", "", IFERROR(F19 / AH19, ""))</f>
        <v>3.5</v>
      </c>
      <c r="AL19" s="28" t="n">
        <f aca="false">IF(F19="", "", IFERROR(AJ19 / 2, ""))</f>
        <v>1.5</v>
      </c>
      <c r="AM19" s="28" t="n">
        <f aca="false">IF(F19="", "", IFERROR(AK19 / 2, ""))</f>
        <v>1.75</v>
      </c>
      <c r="AN19" s="28" t="n">
        <f aca="false">AH19*AI19*AB19*(V19+W19)</f>
        <v>80</v>
      </c>
      <c r="AO19" s="28" t="n">
        <f aca="false">IF(F19="", "", IFERROR(AN19 / X19, ""))</f>
        <v>80.8080808080808</v>
      </c>
    </row>
    <row r="20" customFormat="false" ht="41.25" hidden="false" customHeight="true" outlineLevel="0" collapsed="false">
      <c r="A20" s="23" t="n">
        <v>15</v>
      </c>
      <c r="B20" s="23" t="s">
        <v>67</v>
      </c>
      <c r="C20" s="24" t="n">
        <v>0.7</v>
      </c>
      <c r="D20" s="24" t="n">
        <v>0.5</v>
      </c>
      <c r="E20" s="24" t="n">
        <v>0.1</v>
      </c>
      <c r="F20" s="25" t="n">
        <v>4.7</v>
      </c>
      <c r="G20" s="25" t="n">
        <v>5.6</v>
      </c>
      <c r="H20" s="29" t="n">
        <v>3</v>
      </c>
      <c r="I20" s="29" t="n">
        <v>0.7</v>
      </c>
      <c r="J20" s="29" t="n">
        <v>0.5</v>
      </c>
      <c r="K20" s="20" t="n">
        <f aca="false">IF(F20="", "", H20 - I20 - J20)</f>
        <v>1.8</v>
      </c>
      <c r="L20" s="23" t="n">
        <v>500</v>
      </c>
      <c r="M20" s="28" t="n">
        <v>4</v>
      </c>
      <c r="N20" s="28" t="n">
        <f aca="false">IF(F20="", "", (F20 * G20) / (K20 * (F20 + G20)))</f>
        <v>1.41963322545847</v>
      </c>
      <c r="O20" s="23" t="s">
        <v>56</v>
      </c>
      <c r="P20" s="23" t="s">
        <v>47</v>
      </c>
      <c r="Q20" s="23" t="s">
        <v>57</v>
      </c>
      <c r="R20" s="23" t="n">
        <v>4000</v>
      </c>
      <c r="S20" s="23" t="n">
        <v>80</v>
      </c>
      <c r="T20" s="23" t="n">
        <v>4000</v>
      </c>
      <c r="U20" s="23" t="n">
        <v>50000</v>
      </c>
      <c r="V20" s="23" t="n">
        <v>40</v>
      </c>
      <c r="W20" s="23" t="n">
        <v>0</v>
      </c>
      <c r="X20" s="23" t="n">
        <v>0.99</v>
      </c>
      <c r="Y20" s="22" t="s">
        <v>58</v>
      </c>
      <c r="Z20" s="23" t="s">
        <v>47</v>
      </c>
      <c r="AA20" s="23" t="s">
        <v>57</v>
      </c>
      <c r="AB20" s="23" t="n">
        <v>1</v>
      </c>
      <c r="AC20" s="31" t="s">
        <v>58</v>
      </c>
      <c r="AD20" s="25" t="n">
        <v>0.68</v>
      </c>
      <c r="AE20" s="23" t="n">
        <v>0.85</v>
      </c>
      <c r="AF20" s="28" t="n">
        <f aca="false">IF(F20="", "", IFERROR((L20 * F20 * G20) / (AD20 * AE20), ""))</f>
        <v>22768.1660899654</v>
      </c>
      <c r="AG20" s="28" t="n">
        <f aca="false">IF(F20="", "", IFERROR(ROUND(AF20 / (R20 * AB20), 0), ""))</f>
        <v>6</v>
      </c>
      <c r="AH20" s="28" t="n">
        <v>2</v>
      </c>
      <c r="AI20" s="28" t="n">
        <v>3</v>
      </c>
      <c r="AJ20" s="28" t="n">
        <f aca="false">IF(F20="", "", IFERROR(G20 / AI20, ""))</f>
        <v>1.86666666666667</v>
      </c>
      <c r="AK20" s="28" t="n">
        <f aca="false">IF(F20="", "", IFERROR(F20 / AH20, ""))</f>
        <v>2.35</v>
      </c>
      <c r="AL20" s="28" t="n">
        <f aca="false">IF(F20="", "", IFERROR(AJ20 / 2, ""))</f>
        <v>0.933333333333333</v>
      </c>
      <c r="AM20" s="28" t="n">
        <f aca="false">IF(F20="", "", IFERROR(AK20 / 2, ""))</f>
        <v>1.175</v>
      </c>
      <c r="AN20" s="28" t="n">
        <f aca="false">AH20*AI20*AB20*(V20+W20)</f>
        <v>240</v>
      </c>
      <c r="AO20" s="28" t="n">
        <f aca="false">IF(F20="", "", IFERROR(AN20 / X20, ""))</f>
        <v>242.424242424242</v>
      </c>
    </row>
    <row r="21" customFormat="false" ht="41.25" hidden="false" customHeight="true" outlineLevel="0" collapsed="false">
      <c r="A21" s="23" t="n">
        <v>16</v>
      </c>
      <c r="B21" s="23" t="s">
        <v>68</v>
      </c>
      <c r="C21" s="24" t="n">
        <v>0.7</v>
      </c>
      <c r="D21" s="24" t="n">
        <v>0.5</v>
      </c>
      <c r="E21" s="24" t="n">
        <v>0.1</v>
      </c>
      <c r="F21" s="25" t="n">
        <v>2.7</v>
      </c>
      <c r="G21" s="25" t="n">
        <v>5.6</v>
      </c>
      <c r="H21" s="29" t="n">
        <v>3</v>
      </c>
      <c r="I21" s="29" t="n">
        <v>0.7</v>
      </c>
      <c r="J21" s="29" t="n">
        <v>0.5</v>
      </c>
      <c r="K21" s="20" t="n">
        <f aca="false">IF(F21="", "", H21 - I21 - J21)</f>
        <v>1.8</v>
      </c>
      <c r="L21" s="23" t="n">
        <v>500</v>
      </c>
      <c r="M21" s="28" t="n">
        <v>5</v>
      </c>
      <c r="N21" s="28" t="n">
        <f aca="false">IF(F21="", "", (F21 * G21) / (K21 * (F21 + G21)))</f>
        <v>1.01204819277108</v>
      </c>
      <c r="O21" s="23" t="s">
        <v>56</v>
      </c>
      <c r="P21" s="23" t="s">
        <v>47</v>
      </c>
      <c r="Q21" s="23" t="s">
        <v>57</v>
      </c>
      <c r="R21" s="23" t="n">
        <v>4000</v>
      </c>
      <c r="S21" s="23" t="n">
        <v>80</v>
      </c>
      <c r="T21" s="23" t="n">
        <v>4000</v>
      </c>
      <c r="U21" s="23" t="n">
        <v>50000</v>
      </c>
      <c r="V21" s="23" t="n">
        <v>40</v>
      </c>
      <c r="W21" s="23" t="n">
        <v>0</v>
      </c>
      <c r="X21" s="23" t="n">
        <v>0.99</v>
      </c>
      <c r="Y21" s="22" t="s">
        <v>58</v>
      </c>
      <c r="Z21" s="23" t="s">
        <v>47</v>
      </c>
      <c r="AA21" s="23" t="s">
        <v>57</v>
      </c>
      <c r="AB21" s="23" t="n">
        <v>1</v>
      </c>
      <c r="AC21" s="31" t="s">
        <v>58</v>
      </c>
      <c r="AD21" s="25" t="n">
        <v>0.61</v>
      </c>
      <c r="AE21" s="23" t="n">
        <v>0.85</v>
      </c>
      <c r="AF21" s="28" t="n">
        <f aca="false">IF(F21="", "", IFERROR((L21 * F21 * G21) / (AD21 * AE21), ""))</f>
        <v>14580.5207328833</v>
      </c>
      <c r="AG21" s="28" t="n">
        <f aca="false">IF(F21="", "", IFERROR(ROUND(AF21 / (R21 * AB21), 0), ""))</f>
        <v>4</v>
      </c>
      <c r="AH21" s="28" t="n">
        <v>1</v>
      </c>
      <c r="AI21" s="28" t="n">
        <v>4</v>
      </c>
      <c r="AJ21" s="28" t="n">
        <f aca="false">IF(F21="", "", IFERROR(G21 / AI21, ""))</f>
        <v>1.4</v>
      </c>
      <c r="AK21" s="28" t="n">
        <f aca="false">IF(F21="", "", IFERROR(F21 / AH21, ""))</f>
        <v>2.7</v>
      </c>
      <c r="AL21" s="28" t="n">
        <f aca="false">IF(F21="", "", IFERROR(AJ21 / 2, ""))</f>
        <v>0.7</v>
      </c>
      <c r="AM21" s="28" t="n">
        <f aca="false">IF(F21="", "", IFERROR(AK21 / 2, ""))</f>
        <v>1.35</v>
      </c>
      <c r="AN21" s="28" t="n">
        <f aca="false">AH21*AI21*AB21*(V21+W21)</f>
        <v>160</v>
      </c>
      <c r="AO21" s="28" t="n">
        <f aca="false">IF(F21="", "", IFERROR(AN21 / X21, ""))</f>
        <v>161.616161616162</v>
      </c>
    </row>
    <row r="22" customFormat="false" ht="41.25" hidden="false" customHeight="true" outlineLevel="0" collapsed="false">
      <c r="A22" s="23" t="n">
        <v>17</v>
      </c>
      <c r="B22" s="23" t="s">
        <v>69</v>
      </c>
      <c r="C22" s="24" t="n">
        <v>0.7</v>
      </c>
      <c r="D22" s="24" t="n">
        <v>0.5</v>
      </c>
      <c r="E22" s="24" t="n">
        <v>0.1</v>
      </c>
      <c r="F22" s="25" t="n">
        <v>4.5</v>
      </c>
      <c r="G22" s="25" t="n">
        <v>7.7</v>
      </c>
      <c r="H22" s="29" t="n">
        <v>3</v>
      </c>
      <c r="I22" s="29" t="n">
        <v>0.7</v>
      </c>
      <c r="J22" s="29" t="n">
        <v>0.5</v>
      </c>
      <c r="K22" s="20" t="n">
        <f aca="false">IF(F22="", "", H22 - I22 - J22)</f>
        <v>1.8</v>
      </c>
      <c r="L22" s="23" t="n">
        <v>500</v>
      </c>
      <c r="M22" s="28" t="n">
        <v>3</v>
      </c>
      <c r="N22" s="28" t="n">
        <f aca="false">IF(F22="", "", (F22 * G22) / (K22 * (F22 + G22)))</f>
        <v>1.57786885245902</v>
      </c>
      <c r="O22" s="23" t="s">
        <v>56</v>
      </c>
      <c r="P22" s="23" t="s">
        <v>47</v>
      </c>
      <c r="Q22" s="23" t="s">
        <v>57</v>
      </c>
      <c r="R22" s="23" t="n">
        <v>4000</v>
      </c>
      <c r="S22" s="23" t="n">
        <v>80</v>
      </c>
      <c r="T22" s="23" t="n">
        <v>4000</v>
      </c>
      <c r="U22" s="23" t="n">
        <v>50000</v>
      </c>
      <c r="V22" s="23" t="n">
        <v>40</v>
      </c>
      <c r="W22" s="23" t="n">
        <v>0</v>
      </c>
      <c r="X22" s="23" t="n">
        <v>0.99</v>
      </c>
      <c r="Y22" s="22" t="s">
        <v>58</v>
      </c>
      <c r="Z22" s="23" t="s">
        <v>47</v>
      </c>
      <c r="AA22" s="23" t="s">
        <v>57</v>
      </c>
      <c r="AB22" s="23" t="n">
        <v>1</v>
      </c>
      <c r="AC22" s="31" t="s">
        <v>58</v>
      </c>
      <c r="AD22" s="25" t="n">
        <v>0.77</v>
      </c>
      <c r="AE22" s="23" t="n">
        <v>0.85</v>
      </c>
      <c r="AF22" s="28" t="n">
        <f aca="false">IF(F22="", "", IFERROR((L22 * F22 * G22) / (AD22 * AE22), ""))</f>
        <v>26470.5882352941</v>
      </c>
      <c r="AG22" s="28" t="n">
        <f aca="false">IF(F22="", "", IFERROR(ROUND(AF22 / (R22 * AB22), 0), ""))</f>
        <v>7</v>
      </c>
      <c r="AH22" s="28" t="n">
        <v>2</v>
      </c>
      <c r="AI22" s="28" t="n">
        <v>4</v>
      </c>
      <c r="AJ22" s="28" t="n">
        <f aca="false">IF(F22="", "", IFERROR(G22 / AI22, ""))</f>
        <v>1.925</v>
      </c>
      <c r="AK22" s="28" t="n">
        <f aca="false">IF(F22="", "", IFERROR(F22 / AH22, ""))</f>
        <v>2.25</v>
      </c>
      <c r="AL22" s="28" t="n">
        <f aca="false">IF(F22="", "", IFERROR(AJ22 / 2, ""))</f>
        <v>0.9625</v>
      </c>
      <c r="AM22" s="28" t="n">
        <f aca="false">IF(F22="", "", IFERROR(AK22 / 2, ""))</f>
        <v>1.125</v>
      </c>
      <c r="AN22" s="28" t="n">
        <f aca="false">AH22*AI22*AB22*(V22+W22)</f>
        <v>320</v>
      </c>
      <c r="AO22" s="28" t="n">
        <f aca="false">IF(F22="", "", IFERROR(AN22 / X22, ""))</f>
        <v>323.232323232323</v>
      </c>
    </row>
    <row r="23" customFormat="false" ht="41.25" hidden="false" customHeight="true" outlineLevel="0" collapsed="false">
      <c r="A23" s="23" t="n">
        <v>18</v>
      </c>
      <c r="B23" s="23" t="s">
        <v>70</v>
      </c>
      <c r="C23" s="24" t="n">
        <v>0.7</v>
      </c>
      <c r="D23" s="24" t="n">
        <v>0.5</v>
      </c>
      <c r="E23" s="24" t="n">
        <v>0.1</v>
      </c>
      <c r="F23" s="25" t="n">
        <v>3.5</v>
      </c>
      <c r="G23" s="25" t="n">
        <v>7.7</v>
      </c>
      <c r="H23" s="29" t="n">
        <v>3</v>
      </c>
      <c r="I23" s="29" t="n">
        <v>0.7</v>
      </c>
      <c r="J23" s="29" t="n">
        <v>0.5</v>
      </c>
      <c r="K23" s="20" t="n">
        <f aca="false">IF(F23="", "", H23 - I23 - J23)</f>
        <v>1.8</v>
      </c>
      <c r="L23" s="23" t="n">
        <v>100</v>
      </c>
      <c r="M23" s="28" t="n">
        <v>4</v>
      </c>
      <c r="N23" s="28" t="n">
        <f aca="false">IF(F23="", "", (F23 * G23) / (K23 * (F23 + G23)))</f>
        <v>1.33680555555556</v>
      </c>
      <c r="O23" s="23" t="s">
        <v>56</v>
      </c>
      <c r="P23" s="23" t="s">
        <v>47</v>
      </c>
      <c r="Q23" s="23" t="s">
        <v>57</v>
      </c>
      <c r="R23" s="23" t="n">
        <v>4000</v>
      </c>
      <c r="S23" s="23" t="n">
        <v>80</v>
      </c>
      <c r="T23" s="23" t="n">
        <v>4000</v>
      </c>
      <c r="U23" s="23" t="n">
        <v>50000</v>
      </c>
      <c r="V23" s="23" t="n">
        <v>40</v>
      </c>
      <c r="W23" s="23" t="n">
        <v>0</v>
      </c>
      <c r="X23" s="23" t="n">
        <v>0.99</v>
      </c>
      <c r="Y23" s="22" t="s">
        <v>58</v>
      </c>
      <c r="Z23" s="23" t="s">
        <v>47</v>
      </c>
      <c r="AA23" s="23" t="s">
        <v>57</v>
      </c>
      <c r="AB23" s="23" t="n">
        <v>1</v>
      </c>
      <c r="AC23" s="31" t="s">
        <v>58</v>
      </c>
      <c r="AD23" s="25" t="n">
        <v>0.68</v>
      </c>
      <c r="AE23" s="23" t="n">
        <v>0.85</v>
      </c>
      <c r="AF23" s="28" t="n">
        <f aca="false">IF(F23="", "", IFERROR((L23 * F23 * G23) / (AD23 * AE23), ""))</f>
        <v>4662.62975778547</v>
      </c>
      <c r="AG23" s="28" t="n">
        <f aca="false">IF(F23="", "", IFERROR(ROUND(AF23 / (R23 * AB23), 0), ""))</f>
        <v>1</v>
      </c>
      <c r="AH23" s="28" t="n">
        <v>1</v>
      </c>
      <c r="AI23" s="28" t="n">
        <v>1</v>
      </c>
      <c r="AJ23" s="28" t="n">
        <f aca="false">IF(F23="", "", IFERROR(G23 / AI23, ""))</f>
        <v>7.7</v>
      </c>
      <c r="AK23" s="28" t="n">
        <f aca="false">IF(F23="", "", IFERROR(F23 / AH23, ""))</f>
        <v>3.5</v>
      </c>
      <c r="AL23" s="28" t="n">
        <f aca="false">IF(F23="", "", IFERROR(AJ23 / 2, ""))</f>
        <v>3.85</v>
      </c>
      <c r="AM23" s="28" t="n">
        <f aca="false">IF(F23="", "", IFERROR(AK23 / 2, ""))</f>
        <v>1.75</v>
      </c>
      <c r="AN23" s="28" t="n">
        <f aca="false">AH23*AI23*AB23*(V23+W23)</f>
        <v>40</v>
      </c>
      <c r="AO23" s="28" t="n">
        <f aca="false">IF(F23="", "", IFERROR(AN23 / X23, ""))</f>
        <v>40.4040404040404</v>
      </c>
    </row>
    <row r="24" customFormat="false" ht="41.25" hidden="false" customHeight="true" outlineLevel="0" collapsed="false">
      <c r="A24" s="23" t="n">
        <v>19</v>
      </c>
      <c r="B24" s="23" t="s">
        <v>71</v>
      </c>
      <c r="C24" s="24" t="n">
        <v>0.7</v>
      </c>
      <c r="D24" s="24" t="n">
        <v>0.5</v>
      </c>
      <c r="E24" s="24" t="n">
        <v>0.1</v>
      </c>
      <c r="F24" s="25" t="n">
        <v>2</v>
      </c>
      <c r="G24" s="25" t="n">
        <v>7.9</v>
      </c>
      <c r="H24" s="29" t="n">
        <v>3</v>
      </c>
      <c r="I24" s="29" t="n">
        <v>0.7</v>
      </c>
      <c r="J24" s="29" t="n">
        <v>0.5</v>
      </c>
      <c r="K24" s="20" t="n">
        <f aca="false">IF(F24="", "", H24 - I24 - J24)</f>
        <v>1.8</v>
      </c>
      <c r="L24" s="23" t="n">
        <v>100</v>
      </c>
      <c r="M24" s="28" t="n">
        <v>6</v>
      </c>
      <c r="N24" s="28" t="n">
        <f aca="false">IF(F24="", "", (F24 * G24) / (K24 * (F24 + G24)))</f>
        <v>0.886644219977553</v>
      </c>
      <c r="O24" s="23" t="s">
        <v>56</v>
      </c>
      <c r="P24" s="23" t="s">
        <v>47</v>
      </c>
      <c r="Q24" s="23" t="s">
        <v>57</v>
      </c>
      <c r="R24" s="23" t="n">
        <v>4000</v>
      </c>
      <c r="S24" s="23" t="n">
        <v>80</v>
      </c>
      <c r="T24" s="23" t="n">
        <v>4000</v>
      </c>
      <c r="U24" s="23" t="n">
        <v>50000</v>
      </c>
      <c r="V24" s="23" t="n">
        <v>40</v>
      </c>
      <c r="W24" s="23" t="n">
        <v>0</v>
      </c>
      <c r="X24" s="23" t="n">
        <v>0.99</v>
      </c>
      <c r="Y24" s="22" t="s">
        <v>58</v>
      </c>
      <c r="Z24" s="23" t="s">
        <v>47</v>
      </c>
      <c r="AA24" s="23" t="s">
        <v>57</v>
      </c>
      <c r="AB24" s="23" t="n">
        <v>1</v>
      </c>
      <c r="AC24" s="31" t="s">
        <v>58</v>
      </c>
      <c r="AD24" s="25" t="n">
        <v>0.55</v>
      </c>
      <c r="AE24" s="23" t="n">
        <v>0.85</v>
      </c>
      <c r="AF24" s="28" t="n">
        <f aca="false">IF(F24="", "", IFERROR((L24 * F24 * G24) / (AD24 * AE24), ""))</f>
        <v>3379.67914438503</v>
      </c>
      <c r="AG24" s="28" t="n">
        <f aca="false">IF(F24="", "", IFERROR(ROUND(AF24 / (R24 * AB24), 0), ""))</f>
        <v>1</v>
      </c>
      <c r="AH24" s="28" t="n">
        <v>1</v>
      </c>
      <c r="AI24" s="28" t="n">
        <v>2</v>
      </c>
      <c r="AJ24" s="28" t="n">
        <f aca="false">IF(F24="", "", IFERROR(G24 / AI24, ""))</f>
        <v>3.95</v>
      </c>
      <c r="AK24" s="28" t="n">
        <f aca="false">IF(F24="", "", IFERROR(F24 / AH24, ""))</f>
        <v>2</v>
      </c>
      <c r="AL24" s="28" t="n">
        <f aca="false">IF(F24="", "", IFERROR(AJ24 / 2, ""))</f>
        <v>1.975</v>
      </c>
      <c r="AM24" s="28" t="n">
        <f aca="false">IF(F24="", "", IFERROR(AK24 / 2, ""))</f>
        <v>1</v>
      </c>
      <c r="AN24" s="28" t="n">
        <f aca="false">AH24*AI24*AB24*(V24+W24)</f>
        <v>80</v>
      </c>
      <c r="AO24" s="28" t="n">
        <f aca="false">IF(F24="", "", IFERROR(AN24 / X24, ""))</f>
        <v>80.8080808080808</v>
      </c>
    </row>
    <row r="25" customFormat="false" ht="41.25" hidden="false" customHeight="true" outlineLevel="0" collapsed="false">
      <c r="A25" s="23" t="n">
        <v>20</v>
      </c>
      <c r="B25" s="23" t="s">
        <v>72</v>
      </c>
      <c r="C25" s="24" t="n">
        <v>0.7</v>
      </c>
      <c r="D25" s="24" t="n">
        <v>0.5</v>
      </c>
      <c r="E25" s="24" t="n">
        <v>0.1</v>
      </c>
      <c r="F25" s="25" t="n">
        <v>1.3</v>
      </c>
      <c r="G25" s="25" t="n">
        <v>28.4</v>
      </c>
      <c r="H25" s="29" t="n">
        <v>3</v>
      </c>
      <c r="I25" s="29" t="n">
        <v>0.7</v>
      </c>
      <c r="J25" s="29" t="n">
        <v>0.5</v>
      </c>
      <c r="K25" s="20" t="n">
        <f aca="false">IF(F25="", "", H25 - I25 - J25)</f>
        <v>1.8</v>
      </c>
      <c r="L25" s="23" t="n">
        <v>100</v>
      </c>
      <c r="M25" s="28" t="n">
        <v>7</v>
      </c>
      <c r="N25" s="28" t="n">
        <f aca="false">IF(F25="", "", (F25 * G25) / (K25 * (F25 + G25)))</f>
        <v>0.690609801720913</v>
      </c>
      <c r="O25" s="23" t="s">
        <v>56</v>
      </c>
      <c r="P25" s="23" t="s">
        <v>47</v>
      </c>
      <c r="Q25" s="23" t="s">
        <v>57</v>
      </c>
      <c r="R25" s="23" t="n">
        <v>4000</v>
      </c>
      <c r="S25" s="23" t="n">
        <v>80</v>
      </c>
      <c r="T25" s="23" t="n">
        <v>4000</v>
      </c>
      <c r="U25" s="23" t="n">
        <v>50000</v>
      </c>
      <c r="V25" s="23" t="n">
        <v>40</v>
      </c>
      <c r="W25" s="23" t="n">
        <v>0</v>
      </c>
      <c r="X25" s="23" t="n">
        <v>0.99</v>
      </c>
      <c r="Y25" s="22" t="s">
        <v>58</v>
      </c>
      <c r="Z25" s="23" t="s">
        <v>47</v>
      </c>
      <c r="AA25" s="23" t="s">
        <v>57</v>
      </c>
      <c r="AB25" s="23" t="n">
        <v>1</v>
      </c>
      <c r="AC25" s="31" t="s">
        <v>58</v>
      </c>
      <c r="AD25" s="25" t="n">
        <v>0.5</v>
      </c>
      <c r="AE25" s="23" t="n">
        <v>0.85</v>
      </c>
      <c r="AF25" s="28" t="n">
        <f aca="false">IF(F25="", "", IFERROR((L25 * F25 * G25) / (AD25 * AE25), ""))</f>
        <v>8687.05882352941</v>
      </c>
      <c r="AG25" s="28" t="n">
        <f aca="false">IF(F25="", "", IFERROR(ROUND(AF25 / (R25 * AB25), 0), ""))</f>
        <v>2</v>
      </c>
      <c r="AH25" s="28" t="n">
        <v>1</v>
      </c>
      <c r="AI25" s="28" t="n">
        <v>5</v>
      </c>
      <c r="AJ25" s="28" t="n">
        <f aca="false">IF(F25="", "", IFERROR(G25 / AI25, ""))</f>
        <v>5.68</v>
      </c>
      <c r="AK25" s="28" t="n">
        <f aca="false">IF(F25="", "", IFERROR(F25 / AH25, ""))</f>
        <v>1.3</v>
      </c>
      <c r="AL25" s="28" t="n">
        <f aca="false">IF(F25="", "", IFERROR(AJ25 / 2, ""))</f>
        <v>2.84</v>
      </c>
      <c r="AM25" s="28" t="n">
        <f aca="false">IF(F25="", "", IFERROR(AK25 / 2, ""))</f>
        <v>0.65</v>
      </c>
      <c r="AN25" s="28" t="n">
        <f aca="false">AH25*AI25*AB25*(V25+W25)</f>
        <v>200</v>
      </c>
      <c r="AO25" s="28" t="n">
        <f aca="false">IF(F25="", "", IFERROR(AN25 / X25, ""))</f>
        <v>202.020202020202</v>
      </c>
    </row>
    <row r="26" customFormat="false" ht="41.25" hidden="false" customHeight="true" outlineLevel="0" collapsed="false">
      <c r="A26" s="23" t="n">
        <v>21</v>
      </c>
      <c r="B26" s="23" t="s">
        <v>73</v>
      </c>
      <c r="C26" s="24" t="n">
        <v>0.7</v>
      </c>
      <c r="D26" s="24" t="n">
        <v>0.5</v>
      </c>
      <c r="E26" s="24" t="n">
        <v>0.1</v>
      </c>
      <c r="F26" s="25" t="n">
        <v>1</v>
      </c>
      <c r="G26" s="23" t="n">
        <v>5.1</v>
      </c>
      <c r="H26" s="29" t="n">
        <v>3</v>
      </c>
      <c r="I26" s="29" t="n">
        <v>0.7</v>
      </c>
      <c r="J26" s="29" t="n">
        <v>0.5</v>
      </c>
      <c r="K26" s="20" t="n">
        <f aca="false">IF(F26="", "", H26 - I26 - J26)</f>
        <v>1.8</v>
      </c>
      <c r="L26" s="23" t="n">
        <v>100</v>
      </c>
      <c r="M26" s="28" t="n">
        <v>13</v>
      </c>
      <c r="N26" s="28" t="n">
        <f aca="false">IF(F26="", "", (F26 * G26) / (K26 * (F26 + G26)))</f>
        <v>0.46448087431694</v>
      </c>
      <c r="O26" s="23" t="s">
        <v>56</v>
      </c>
      <c r="P26" s="23" t="s">
        <v>47</v>
      </c>
      <c r="Q26" s="23" t="s">
        <v>57</v>
      </c>
      <c r="R26" s="23" t="n">
        <v>4000</v>
      </c>
      <c r="S26" s="23" t="n">
        <v>80</v>
      </c>
      <c r="T26" s="23" t="n">
        <v>4000</v>
      </c>
      <c r="U26" s="23" t="n">
        <v>50000</v>
      </c>
      <c r="V26" s="23" t="n">
        <v>40</v>
      </c>
      <c r="W26" s="23" t="n">
        <v>0</v>
      </c>
      <c r="X26" s="23" t="n">
        <v>0.99</v>
      </c>
      <c r="Y26" s="22" t="s">
        <v>58</v>
      </c>
      <c r="Z26" s="23" t="s">
        <v>47</v>
      </c>
      <c r="AA26" s="23" t="s">
        <v>57</v>
      </c>
      <c r="AB26" s="23" t="n">
        <v>1</v>
      </c>
      <c r="AC26" s="31" t="s">
        <v>58</v>
      </c>
      <c r="AD26" s="25" t="n">
        <v>0.28</v>
      </c>
      <c r="AE26" s="23" t="n">
        <v>0.85</v>
      </c>
      <c r="AF26" s="28" t="n">
        <f aca="false">IF(F26="", "", IFERROR((L26 * F26 * G26) / (AD26 * AE26), ""))</f>
        <v>2142.85714285714</v>
      </c>
      <c r="AG26" s="28" t="n">
        <f aca="false">IF(F26="", "", IFERROR(ROUND(AF26 / (R26 * AB26), 0), ""))</f>
        <v>1</v>
      </c>
      <c r="AH26" s="28" t="n">
        <v>1</v>
      </c>
      <c r="AI26" s="28" t="n">
        <v>2</v>
      </c>
      <c r="AJ26" s="28" t="n">
        <f aca="false">IF(F26="", "", IFERROR(G26 / AI26, ""))</f>
        <v>2.55</v>
      </c>
      <c r="AK26" s="28" t="n">
        <f aca="false">IF(F26="", "", IFERROR(F26 / AH26, ""))</f>
        <v>1</v>
      </c>
      <c r="AL26" s="28" t="n">
        <f aca="false">IF(F26="", "", IFERROR(AJ26 / 2, ""))</f>
        <v>1.275</v>
      </c>
      <c r="AM26" s="28" t="n">
        <f aca="false">IF(F26="", "", IFERROR(AK26 / 2, ""))</f>
        <v>0.5</v>
      </c>
      <c r="AN26" s="28" t="n">
        <f aca="false">AH26*AI26*AB26*(V26+W26)</f>
        <v>80</v>
      </c>
      <c r="AO26" s="28" t="n">
        <f aca="false">IF(F26="", "", IFERROR(AN26 / X26, ""))</f>
        <v>80.8080808080808</v>
      </c>
    </row>
    <row r="27" customFormat="false" ht="41.25" hidden="false" customHeight="true" outlineLevel="0" collapsed="false">
      <c r="A27" s="23" t="n">
        <v>22</v>
      </c>
      <c r="B27" s="23" t="s">
        <v>74</v>
      </c>
      <c r="C27" s="24" t="n">
        <v>0.7</v>
      </c>
      <c r="D27" s="23" t="n">
        <v>0.5</v>
      </c>
      <c r="E27" s="23" t="n">
        <v>0.1</v>
      </c>
      <c r="F27" s="25" t="n">
        <v>5.6</v>
      </c>
      <c r="G27" s="25" t="n">
        <v>7.7</v>
      </c>
      <c r="H27" s="29" t="n">
        <v>3</v>
      </c>
      <c r="I27" s="29" t="n">
        <v>0.7</v>
      </c>
      <c r="J27" s="29" t="n">
        <v>0.5</v>
      </c>
      <c r="K27" s="20" t="n">
        <f aca="false">IF(F27="", "", H27 - I27 - J27)</f>
        <v>1.8</v>
      </c>
      <c r="L27" s="23" t="n">
        <v>100</v>
      </c>
      <c r="M27" s="28" t="n">
        <f aca="false">IF(F27="", "", 5 * K27 * (F27 + G27) / (F27 * G27))</f>
        <v>2.77597402597403</v>
      </c>
      <c r="N27" s="28" t="n">
        <f aca="false">IF(F27="", "", (F27 * G27) / (K27 * (F27 + G27)))</f>
        <v>1.80116959064328</v>
      </c>
      <c r="O27" s="23" t="s">
        <v>56</v>
      </c>
      <c r="P27" s="23" t="s">
        <v>47</v>
      </c>
      <c r="Q27" s="23" t="s">
        <v>57</v>
      </c>
      <c r="R27" s="23" t="n">
        <v>4000</v>
      </c>
      <c r="S27" s="23" t="n">
        <v>80</v>
      </c>
      <c r="T27" s="23" t="n">
        <v>4000</v>
      </c>
      <c r="U27" s="23" t="n">
        <v>50000</v>
      </c>
      <c r="V27" s="23" t="n">
        <v>40</v>
      </c>
      <c r="W27" s="23" t="n">
        <v>0</v>
      </c>
      <c r="X27" s="23" t="n">
        <v>0.99</v>
      </c>
      <c r="Y27" s="16" t="s">
        <v>58</v>
      </c>
      <c r="Z27" s="23" t="s">
        <v>47</v>
      </c>
      <c r="AA27" s="23" t="s">
        <v>57</v>
      </c>
      <c r="AB27" s="23" t="n">
        <v>1</v>
      </c>
      <c r="AC27" s="23" t="s">
        <v>58</v>
      </c>
      <c r="AD27" s="23" t="n">
        <v>0.79</v>
      </c>
      <c r="AE27" s="23" t="n">
        <v>0.85</v>
      </c>
      <c r="AF27" s="28" t="n">
        <f aca="false">IF(F27="", "", IFERROR((L27 * F27 * G27) / (AD27 * AE27), ""))</f>
        <v>6421.44452717796</v>
      </c>
      <c r="AG27" s="28" t="n">
        <f aca="false">IF(F27="", "", IFERROR(ROUND(AF27 / (R27 * AB27), 0), ""))</f>
        <v>2</v>
      </c>
      <c r="AH27" s="28" t="n">
        <v>1</v>
      </c>
      <c r="AI27" s="28" t="n">
        <v>2</v>
      </c>
      <c r="AJ27" s="28" t="n">
        <f aca="false">IF(F27="", "", IFERROR(G27 / AI27, ""))</f>
        <v>3.85</v>
      </c>
      <c r="AK27" s="28" t="n">
        <f aca="false">IF(F27="", "", IFERROR(F27 / AH27, ""))</f>
        <v>5.6</v>
      </c>
      <c r="AL27" s="28" t="n">
        <f aca="false">IF(F27="", "", IFERROR(AJ27 / 2, ""))</f>
        <v>1.925</v>
      </c>
      <c r="AM27" s="28" t="n">
        <f aca="false">IF(F27="", "", IFERROR(AK27 / 2, ""))</f>
        <v>2.8</v>
      </c>
      <c r="AN27" s="28" t="n">
        <f aca="false">AH27*AI27*AB27*(V27+W27)</f>
        <v>80</v>
      </c>
      <c r="AO27" s="28" t="n">
        <f aca="false">IF(F27="", "", IFERROR(AN27 / X27, ""))</f>
        <v>80.8080808080808</v>
      </c>
    </row>
    <row r="28" customFormat="false" ht="15" hidden="false" customHeight="true" outlineLevel="0" collapsed="false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</row>
    <row r="29" customFormat="false" ht="15" hidden="false" customHeight="true" outlineLevel="0" collapsed="false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</row>
    <row r="30" customFormat="false" ht="15" hidden="false" customHeight="true" outlineLevel="0" collapsed="false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</row>
    <row r="31" customFormat="false" ht="15" hidden="false" customHeight="true" outlineLevel="0" collapsed="false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</row>
    <row r="32" customFormat="false" ht="15" hidden="false" customHeight="true" outlineLevel="0" collapsed="false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</row>
    <row r="33" customFormat="false" ht="15" hidden="false" customHeight="true" outlineLevel="0" collapsed="false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</row>
    <row r="34" customFormat="false" ht="15.75" hidden="false" customHeight="true" outlineLevel="0" collapsed="false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</row>
    <row r="35" customFormat="false" ht="15.75" hidden="false" customHeight="true" outlineLevel="0" collapsed="false">
      <c r="A35" s="32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</row>
    <row r="36" customFormat="false" ht="15.75" hidden="false" customHeight="true" outlineLevel="0" collapsed="false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</row>
    <row r="37" customFormat="false" ht="15.75" hidden="false" customHeight="true" outlineLevel="0" collapsed="false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</row>
    <row r="38" customFormat="false" ht="15.75" hidden="false" customHeight="true" outlineLevel="0" collapsed="false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</row>
    <row r="39" customFormat="false" ht="15.75" hidden="false" customHeight="true" outlineLevel="0" collapsed="false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</row>
    <row r="40" customFormat="false" ht="15.75" hidden="false" customHeight="true" outlineLevel="0" collapsed="false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</row>
    <row r="41" customFormat="false" ht="15.75" hidden="false" customHeight="true" outlineLevel="0" collapsed="false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</row>
    <row r="42" customFormat="false" ht="21.75" hidden="false" customHeight="true" outlineLevel="0" collapsed="false">
      <c r="A42" s="32"/>
      <c r="B42" s="3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</row>
    <row r="43" customFormat="false" ht="15.75" hidden="false" customHeight="true" outlineLevel="0" collapsed="false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</row>
    <row r="44" customFormat="false" ht="15.75" hidden="false" customHeight="true" outlineLevel="0" collapsed="false">
      <c r="A44" s="32"/>
      <c r="B44" s="33"/>
      <c r="C44" s="33"/>
      <c r="D44" s="33"/>
      <c r="E44" s="33"/>
      <c r="F44" s="33"/>
      <c r="G44" s="33"/>
      <c r="H44" s="33"/>
      <c r="I44" s="33"/>
      <c r="J44" s="33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</row>
    <row r="45" customFormat="false" ht="15.75" hidden="false" customHeight="true" outlineLevel="0" collapsed="false">
      <c r="A45" s="32"/>
      <c r="B45" s="33"/>
      <c r="C45" s="33"/>
      <c r="D45" s="33"/>
      <c r="E45" s="33"/>
      <c r="F45" s="33"/>
      <c r="G45" s="33"/>
      <c r="H45" s="33"/>
      <c r="I45" s="33"/>
      <c r="J45" s="33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</row>
    <row r="46" customFormat="false" ht="15.75" hidden="false" customHeight="true" outlineLevel="0" collapsed="false">
      <c r="A46" s="32"/>
      <c r="B46" s="33"/>
      <c r="C46" s="33"/>
      <c r="D46" s="33"/>
      <c r="E46" s="33"/>
      <c r="F46" s="33"/>
      <c r="G46" s="33"/>
      <c r="H46" s="33"/>
      <c r="I46" s="33"/>
      <c r="J46" s="33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</row>
    <row r="47" customFormat="false" ht="15.75" hidden="false" customHeight="true" outlineLevel="0" collapsed="false">
      <c r="A47" s="32"/>
      <c r="B47" s="33"/>
      <c r="C47" s="33"/>
      <c r="D47" s="33"/>
      <c r="E47" s="33"/>
      <c r="F47" s="33"/>
      <c r="G47" s="33"/>
      <c r="H47" s="33"/>
      <c r="I47" s="33"/>
      <c r="J47" s="33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</row>
    <row r="48" customFormat="false" ht="15.75" hidden="false" customHeight="true" outlineLevel="0" collapsed="false">
      <c r="A48" s="32"/>
      <c r="B48" s="33"/>
      <c r="C48" s="33"/>
      <c r="D48" s="33"/>
      <c r="E48" s="33"/>
      <c r="F48" s="33"/>
      <c r="G48" s="33"/>
      <c r="H48" s="33"/>
      <c r="I48" s="33"/>
      <c r="J48" s="33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</row>
    <row r="49" customFormat="false" ht="15.75" hidden="false" customHeight="true" outlineLevel="0" collapsed="false">
      <c r="A49" s="32"/>
      <c r="B49" s="33"/>
      <c r="C49" s="33"/>
      <c r="D49" s="33"/>
      <c r="E49" s="33"/>
      <c r="F49" s="33"/>
      <c r="G49" s="33"/>
      <c r="H49" s="33"/>
      <c r="I49" s="33"/>
      <c r="J49" s="33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</row>
    <row r="50" customFormat="false" ht="15.75" hidden="false" customHeight="true" outlineLevel="0" collapsed="false">
      <c r="A50" s="32"/>
      <c r="B50" s="33"/>
      <c r="C50" s="33"/>
      <c r="D50" s="33"/>
      <c r="E50" s="33"/>
      <c r="F50" s="33"/>
      <c r="G50" s="33"/>
      <c r="H50" s="33"/>
      <c r="I50" s="33"/>
      <c r="J50" s="33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</row>
    <row r="51" customFormat="false" ht="15.75" hidden="false" customHeight="true" outlineLevel="0" collapsed="false">
      <c r="A51" s="32"/>
      <c r="B51" s="33"/>
      <c r="C51" s="33"/>
      <c r="D51" s="33"/>
      <c r="E51" s="33"/>
      <c r="F51" s="33"/>
      <c r="G51" s="33"/>
      <c r="H51" s="33"/>
      <c r="I51" s="33"/>
      <c r="J51" s="33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</row>
    <row r="52" customFormat="false" ht="15.75" hidden="false" customHeight="true" outlineLevel="0" collapsed="false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</row>
    <row r="53" customFormat="false" ht="15.75" hidden="false" customHeight="true" outlineLevel="0" collapsed="false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</row>
    <row r="54" customFormat="false" ht="15.75" hidden="false" customHeight="true" outlineLevel="0" collapsed="false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</row>
    <row r="55" customFormat="false" ht="15.75" hidden="false" customHeight="true" outlineLevel="0" collapsed="false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</row>
    <row r="56" customFormat="false" ht="15.75" hidden="false" customHeight="true" outlineLevel="0" collapsed="false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</row>
    <row r="57" customFormat="false" ht="15.75" hidden="false" customHeight="true" outlineLevel="0" collapsed="false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</row>
    <row r="58" customFormat="false" ht="15.75" hidden="false" customHeight="true" outlineLevel="0" collapsed="false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</row>
    <row r="59" customFormat="false" ht="15.75" hidden="false" customHeight="true" outlineLevel="0" collapsed="false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</row>
    <row r="60" customFormat="false" ht="15.75" hidden="false" customHeight="true" outlineLevel="0" collapsed="false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</row>
    <row r="61" customFormat="false" ht="15.75" hidden="false" customHeight="true" outlineLevel="0" collapsed="false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</row>
    <row r="62" customFormat="false" ht="15.75" hidden="false" customHeight="true" outlineLevel="0" collapsed="false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</row>
    <row r="63" customFormat="false" ht="15.75" hidden="false" customHeight="true" outlineLevel="0" collapsed="false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</row>
    <row r="64" customFormat="false" ht="15.75" hidden="false" customHeight="true" outlineLevel="0" collapsed="false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</row>
    <row r="65" customFormat="false" ht="15.75" hidden="false" customHeight="true" outlineLevel="0" collapsed="false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</row>
    <row r="66" customFormat="false" ht="15.75" hidden="false" customHeight="true" outlineLevel="0" collapsed="false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</row>
    <row r="67" customFormat="false" ht="15.75" hidden="false" customHeight="true" outlineLevel="0" collapsed="false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</row>
    <row r="68" customFormat="false" ht="15.75" hidden="false" customHeight="true" outlineLevel="0" collapsed="false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</row>
    <row r="69" customFormat="false" ht="15.75" hidden="false" customHeight="true" outlineLevel="0" collapsed="false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</row>
    <row r="70" customFormat="false" ht="15.75" hidden="false" customHeight="true" outlineLevel="0" collapsed="false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</row>
    <row r="71" customFormat="false" ht="15.75" hidden="false" customHeight="true" outlineLevel="0" collapsed="false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</row>
    <row r="72" customFormat="false" ht="15.75" hidden="false" customHeight="true" outlineLevel="0" collapsed="false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</row>
    <row r="73" customFormat="false" ht="15.75" hidden="false" customHeight="true" outlineLevel="0" collapsed="false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</row>
    <row r="74" customFormat="false" ht="15.75" hidden="false" customHeight="true" outlineLevel="0" collapsed="false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</row>
    <row r="75" customFormat="false" ht="15.75" hidden="false" customHeight="true" outlineLevel="0" collapsed="false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</row>
    <row r="76" customFormat="false" ht="15.75" hidden="false" customHeight="true" outlineLevel="0" collapsed="false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</row>
    <row r="77" customFormat="false" ht="15.75" hidden="false" customHeight="true" outlineLevel="0" collapsed="false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</row>
    <row r="78" customFormat="false" ht="15.75" hidden="false" customHeight="true" outlineLevel="0" collapsed="false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</row>
    <row r="79" customFormat="false" ht="15.75" hidden="false" customHeight="true" outlineLevel="0" collapsed="false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</row>
    <row r="80" customFormat="false" ht="15.75" hidden="false" customHeight="true" outlineLevel="0" collapsed="false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</row>
    <row r="81" customFormat="false" ht="15.75" hidden="false" customHeight="true" outlineLevel="0" collapsed="false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</row>
    <row r="82" customFormat="false" ht="15.75" hidden="false" customHeight="true" outlineLevel="0" collapsed="false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</row>
    <row r="83" customFormat="false" ht="15.75" hidden="false" customHeight="true" outlineLevel="0" collapsed="false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</row>
    <row r="84" customFormat="false" ht="15.75" hidden="false" customHeight="true" outlineLevel="0" collapsed="false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</row>
    <row r="85" customFormat="false" ht="15.75" hidden="false" customHeight="true" outlineLevel="0" collapsed="false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</row>
    <row r="86" customFormat="false" ht="15.75" hidden="false" customHeight="true" outlineLevel="0" collapsed="false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</row>
    <row r="87" customFormat="false" ht="15.75" hidden="false" customHeight="true" outlineLevel="0" collapsed="false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</row>
    <row r="88" customFormat="false" ht="15.75" hidden="false" customHeight="true" outlineLevel="0" collapsed="false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</row>
    <row r="89" customFormat="false" ht="15.75" hidden="false" customHeight="true" outlineLevel="0" collapsed="false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</row>
    <row r="90" customFormat="false" ht="15.75" hidden="false" customHeight="true" outlineLevel="0" collapsed="false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</row>
    <row r="91" customFormat="false" ht="15.75" hidden="false" customHeight="true" outlineLevel="0" collapsed="false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</row>
    <row r="92" customFormat="false" ht="15.75" hidden="false" customHeight="true" outlineLevel="0" collapsed="false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</row>
    <row r="93" customFormat="false" ht="15.75" hidden="false" customHeight="true" outlineLevel="0" collapsed="false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</row>
    <row r="94" customFormat="false" ht="15.75" hidden="false" customHeight="true" outlineLevel="0" collapsed="false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</row>
    <row r="95" customFormat="false" ht="15.75" hidden="false" customHeight="true" outlineLevel="0" collapsed="false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</row>
    <row r="96" customFormat="false" ht="15.75" hidden="false" customHeight="true" outlineLevel="0" collapsed="false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</row>
    <row r="97" customFormat="false" ht="15.75" hidden="false" customHeight="true" outlineLevel="0" collapsed="false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</row>
    <row r="98" customFormat="false" ht="15.75" hidden="false" customHeight="true" outlineLevel="0" collapsed="false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</row>
    <row r="99" customFormat="false" ht="15.75" hidden="false" customHeight="true" outlineLevel="0" collapsed="false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</row>
    <row r="100" customFormat="false" ht="15.75" hidden="false" customHeight="true" outlineLevel="0" collapsed="false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</row>
    <row r="101" customFormat="false" ht="15.75" hidden="false" customHeight="true" outlineLevel="0" collapsed="false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</row>
    <row r="102" customFormat="false" ht="15.75" hidden="false" customHeight="true" outlineLevel="0" collapsed="false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</row>
    <row r="103" customFormat="false" ht="15.75" hidden="false" customHeight="true" outlineLevel="0" collapsed="false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</row>
    <row r="104" customFormat="false" ht="15.75" hidden="false" customHeight="true" outlineLevel="0" collapsed="false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</row>
    <row r="105" customFormat="false" ht="15.75" hidden="false" customHeight="true" outlineLevel="0" collapsed="false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</row>
    <row r="106" customFormat="false" ht="15.75" hidden="false" customHeight="true" outlineLevel="0" collapsed="false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</row>
    <row r="107" customFormat="false" ht="15.75" hidden="false" customHeight="true" outlineLevel="0" collapsed="false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</row>
    <row r="108" customFormat="false" ht="15.75" hidden="false" customHeight="true" outlineLevel="0" collapsed="false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</row>
    <row r="109" customFormat="false" ht="15.75" hidden="false" customHeight="true" outlineLevel="0" collapsed="false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</row>
    <row r="110" customFormat="false" ht="15.75" hidden="false" customHeight="true" outlineLevel="0" collapsed="false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</row>
    <row r="111" customFormat="false" ht="15.75" hidden="false" customHeight="true" outlineLevel="0" collapsed="false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</row>
    <row r="112" customFormat="false" ht="15.75" hidden="false" customHeight="true" outlineLevel="0" collapsed="false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</row>
    <row r="113" customFormat="false" ht="15.75" hidden="false" customHeight="true" outlineLevel="0" collapsed="false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</row>
    <row r="114" customFormat="false" ht="15.75" hidden="false" customHeight="true" outlineLevel="0" collapsed="false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</row>
    <row r="115" customFormat="false" ht="15.75" hidden="false" customHeight="true" outlineLevel="0" collapsed="false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</row>
    <row r="116" customFormat="false" ht="15.75" hidden="false" customHeight="true" outlineLevel="0" collapsed="false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</row>
    <row r="117" customFormat="false" ht="15.75" hidden="false" customHeight="true" outlineLevel="0" collapsed="false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</row>
    <row r="118" customFormat="false" ht="15.75" hidden="false" customHeight="true" outlineLevel="0" collapsed="false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</row>
    <row r="119" customFormat="false" ht="15.75" hidden="false" customHeight="true" outlineLevel="0" collapsed="false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</row>
    <row r="120" customFormat="false" ht="15.75" hidden="false" customHeight="true" outlineLevel="0" collapsed="false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</row>
    <row r="121" customFormat="false" ht="15.75" hidden="false" customHeight="true" outlineLevel="0" collapsed="false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</row>
    <row r="122" customFormat="false" ht="15.75" hidden="false" customHeight="true" outlineLevel="0" collapsed="false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</row>
    <row r="123" customFormat="false" ht="15.75" hidden="false" customHeight="true" outlineLevel="0" collapsed="false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</row>
    <row r="124" customFormat="false" ht="15.75" hidden="false" customHeight="true" outlineLevel="0" collapsed="false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</row>
    <row r="125" customFormat="false" ht="15.75" hidden="false" customHeight="true" outlineLevel="0" collapsed="false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</row>
    <row r="126" customFormat="false" ht="15.75" hidden="false" customHeight="true" outlineLevel="0" collapsed="false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</row>
    <row r="127" customFormat="false" ht="15.75" hidden="false" customHeight="true" outlineLevel="0" collapsed="false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</row>
    <row r="128" customFormat="false" ht="15.75" hidden="false" customHeight="true" outlineLevel="0" collapsed="false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</row>
    <row r="129" customFormat="false" ht="15.75" hidden="false" customHeight="true" outlineLevel="0" collapsed="false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</row>
    <row r="130" customFormat="false" ht="15.75" hidden="false" customHeight="true" outlineLevel="0" collapsed="false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</row>
    <row r="131" customFormat="false" ht="15.75" hidden="false" customHeight="true" outlineLevel="0" collapsed="false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</row>
    <row r="132" customFormat="false" ht="15.75" hidden="false" customHeight="true" outlineLevel="0" collapsed="false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</row>
    <row r="133" customFormat="false" ht="15.75" hidden="false" customHeight="true" outlineLevel="0" collapsed="false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</row>
    <row r="134" customFormat="false" ht="15.75" hidden="false" customHeight="true" outlineLevel="0" collapsed="false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</row>
    <row r="135" customFormat="false" ht="15.75" hidden="false" customHeight="true" outlineLevel="0" collapsed="false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</row>
    <row r="136" customFormat="false" ht="15.75" hidden="false" customHeight="true" outlineLevel="0" collapsed="false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</row>
    <row r="137" customFormat="false" ht="15.75" hidden="false" customHeight="true" outlineLevel="0" collapsed="false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</row>
    <row r="138" customFormat="false" ht="15.75" hidden="false" customHeight="true" outlineLevel="0" collapsed="false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</row>
    <row r="139" customFormat="false" ht="15.75" hidden="false" customHeight="true" outlineLevel="0" collapsed="false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</row>
    <row r="140" customFormat="false" ht="15.75" hidden="false" customHeight="true" outlineLevel="0" collapsed="false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</row>
    <row r="141" customFormat="false" ht="15.75" hidden="false" customHeight="true" outlineLevel="0" collapsed="false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</row>
    <row r="142" customFormat="false" ht="15.75" hidden="false" customHeight="true" outlineLevel="0" collapsed="false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</row>
    <row r="143" customFormat="false" ht="15.75" hidden="false" customHeight="true" outlineLevel="0" collapsed="false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</row>
    <row r="144" customFormat="false" ht="15.75" hidden="false" customHeight="true" outlineLevel="0" collapsed="false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</row>
    <row r="145" customFormat="false" ht="15.75" hidden="false" customHeight="true" outlineLevel="0" collapsed="false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</row>
    <row r="146" customFormat="false" ht="15.75" hidden="false" customHeight="true" outlineLevel="0" collapsed="false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</row>
    <row r="147" customFormat="false" ht="15.75" hidden="false" customHeight="true" outlineLevel="0" collapsed="false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</row>
    <row r="148" customFormat="false" ht="15.75" hidden="false" customHeight="true" outlineLevel="0" collapsed="false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</row>
    <row r="149" customFormat="false" ht="15.75" hidden="false" customHeight="true" outlineLevel="0" collapsed="false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</row>
    <row r="150" customFormat="false" ht="15.75" hidden="false" customHeight="true" outlineLevel="0" collapsed="false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</row>
    <row r="151" customFormat="false" ht="15.75" hidden="false" customHeight="true" outlineLevel="0" collapsed="false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</row>
    <row r="152" customFormat="false" ht="15.75" hidden="false" customHeight="true" outlineLevel="0" collapsed="false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</row>
    <row r="153" customFormat="false" ht="15.75" hidden="false" customHeight="true" outlineLevel="0" collapsed="false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</row>
    <row r="154" customFormat="false" ht="15.75" hidden="false" customHeight="true" outlineLevel="0" collapsed="false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</row>
    <row r="155" customFormat="false" ht="15.75" hidden="false" customHeight="true" outlineLevel="0" collapsed="false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</row>
    <row r="156" customFormat="false" ht="15.75" hidden="false" customHeight="true" outlineLevel="0" collapsed="false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</row>
    <row r="157" customFormat="false" ht="15.75" hidden="false" customHeight="true" outlineLevel="0" collapsed="false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</row>
    <row r="158" customFormat="false" ht="15.75" hidden="false" customHeight="true" outlineLevel="0" collapsed="false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</row>
    <row r="159" customFormat="false" ht="15.75" hidden="false" customHeight="true" outlineLevel="0" collapsed="false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</row>
    <row r="160" customFormat="false" ht="15.75" hidden="false" customHeight="true" outlineLevel="0" collapsed="false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</row>
    <row r="161" customFormat="false" ht="15.75" hidden="false" customHeight="true" outlineLevel="0" collapsed="false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</row>
    <row r="162" customFormat="false" ht="15.75" hidden="false" customHeight="true" outlineLevel="0" collapsed="false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</row>
    <row r="163" customFormat="false" ht="15.75" hidden="false" customHeight="true" outlineLevel="0" collapsed="false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</row>
    <row r="164" customFormat="false" ht="15.75" hidden="false" customHeight="true" outlineLevel="0" collapsed="false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</row>
    <row r="165" customFormat="false" ht="15.75" hidden="false" customHeight="true" outlineLevel="0" collapsed="false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</row>
    <row r="166" customFormat="false" ht="15.75" hidden="false" customHeight="true" outlineLevel="0" collapsed="false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</row>
    <row r="167" customFormat="false" ht="15.75" hidden="false" customHeight="true" outlineLevel="0" collapsed="false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</row>
    <row r="168" customFormat="false" ht="15.75" hidden="false" customHeight="true" outlineLevel="0" collapsed="false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</row>
    <row r="169" customFormat="false" ht="15.75" hidden="false" customHeight="true" outlineLevel="0" collapsed="false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</row>
    <row r="170" customFormat="false" ht="15.75" hidden="false" customHeight="true" outlineLevel="0" collapsed="false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</row>
    <row r="171" customFormat="false" ht="15.75" hidden="false" customHeight="true" outlineLevel="0" collapsed="false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</row>
    <row r="172" customFormat="false" ht="15.75" hidden="false" customHeight="true" outlineLevel="0" collapsed="false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</row>
    <row r="173" customFormat="false" ht="15.75" hidden="false" customHeight="true" outlineLevel="0" collapsed="false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</row>
    <row r="174" customFormat="false" ht="15.75" hidden="false" customHeight="true" outlineLevel="0" collapsed="false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</row>
    <row r="175" customFormat="false" ht="15.75" hidden="false" customHeight="true" outlineLevel="0" collapsed="false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</row>
    <row r="176" customFormat="false" ht="15.75" hidden="false" customHeight="true" outlineLevel="0" collapsed="false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</row>
    <row r="177" customFormat="false" ht="15.75" hidden="false" customHeight="true" outlineLevel="0" collapsed="false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</row>
    <row r="178" customFormat="false" ht="15.75" hidden="false" customHeight="true" outlineLevel="0" collapsed="false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</row>
    <row r="179" customFormat="false" ht="15.75" hidden="false" customHeight="true" outlineLevel="0" collapsed="false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</row>
    <row r="180" customFormat="false" ht="15.75" hidden="false" customHeight="true" outlineLevel="0" collapsed="false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</row>
    <row r="181" customFormat="false" ht="15.75" hidden="false" customHeight="true" outlineLevel="0" collapsed="false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</row>
    <row r="182" customFormat="false" ht="15.75" hidden="false" customHeight="true" outlineLevel="0" collapsed="false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</row>
    <row r="183" customFormat="false" ht="15.75" hidden="false" customHeight="true" outlineLevel="0" collapsed="false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</row>
    <row r="184" customFormat="false" ht="15.75" hidden="false" customHeight="true" outlineLevel="0" collapsed="false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</row>
    <row r="185" customFormat="false" ht="15.75" hidden="false" customHeight="true" outlineLevel="0" collapsed="false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</row>
    <row r="186" customFormat="false" ht="15.75" hidden="false" customHeight="true" outlineLevel="0" collapsed="false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</row>
    <row r="187" customFormat="false" ht="15.75" hidden="false" customHeight="true" outlineLevel="0" collapsed="false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</row>
    <row r="188" customFormat="false" ht="15.75" hidden="false" customHeight="true" outlineLevel="0" collapsed="false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</row>
    <row r="189" customFormat="false" ht="15.75" hidden="false" customHeight="true" outlineLevel="0" collapsed="false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</row>
    <row r="190" customFormat="false" ht="15.75" hidden="false" customHeight="true" outlineLevel="0" collapsed="false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</row>
    <row r="191" customFormat="false" ht="15.75" hidden="false" customHeight="true" outlineLevel="0" collapsed="false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</row>
    <row r="192" customFormat="false" ht="15.75" hidden="false" customHeight="true" outlineLevel="0" collapsed="false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</row>
    <row r="193" customFormat="false" ht="15.75" hidden="false" customHeight="true" outlineLevel="0" collapsed="false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</row>
    <row r="194" customFormat="false" ht="15.75" hidden="false" customHeight="true" outlineLevel="0" collapsed="false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</row>
    <row r="195" customFormat="false" ht="15.75" hidden="false" customHeight="true" outlineLevel="0" collapsed="false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</row>
    <row r="196" customFormat="false" ht="15.75" hidden="false" customHeight="true" outlineLevel="0" collapsed="false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</row>
    <row r="197" customFormat="false" ht="15.75" hidden="false" customHeight="true" outlineLevel="0" collapsed="false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</row>
    <row r="198" customFormat="false" ht="15.75" hidden="false" customHeight="true" outlineLevel="0" collapsed="false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</row>
    <row r="199" customFormat="false" ht="15.75" hidden="false" customHeight="true" outlineLevel="0" collapsed="false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</row>
    <row r="200" customFormat="false" ht="15.75" hidden="false" customHeight="true" outlineLevel="0" collapsed="false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</row>
    <row r="201" customFormat="false" ht="15.75" hidden="false" customHeight="true" outlineLevel="0" collapsed="false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</row>
    <row r="202" customFormat="false" ht="15.75" hidden="false" customHeight="true" outlineLevel="0" collapsed="false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</row>
    <row r="203" customFormat="false" ht="15.75" hidden="false" customHeight="true" outlineLevel="0" collapsed="false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</row>
    <row r="204" customFormat="false" ht="15.75" hidden="false" customHeight="true" outlineLevel="0" collapsed="false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</row>
    <row r="205" customFormat="false" ht="15.75" hidden="false" customHeight="true" outlineLevel="0" collapsed="false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</row>
    <row r="206" customFormat="false" ht="15.75" hidden="false" customHeight="true" outlineLevel="0" collapsed="false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</row>
    <row r="207" customFormat="false" ht="15.75" hidden="false" customHeight="true" outlineLevel="0" collapsed="false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</row>
    <row r="208" customFormat="false" ht="15.75" hidden="false" customHeight="true" outlineLevel="0" collapsed="false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</row>
    <row r="209" customFormat="false" ht="15.75" hidden="false" customHeight="true" outlineLevel="0" collapsed="false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</row>
    <row r="210" customFormat="false" ht="15.75" hidden="false" customHeight="true" outlineLevel="0" collapsed="false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</row>
    <row r="211" customFormat="false" ht="15.75" hidden="false" customHeight="true" outlineLevel="0" collapsed="false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</row>
    <row r="212" customFormat="false" ht="15.75" hidden="false" customHeight="true" outlineLevel="0" collapsed="false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</row>
    <row r="213" customFormat="false" ht="15.75" hidden="false" customHeight="true" outlineLevel="0" collapsed="false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</row>
    <row r="214" customFormat="false" ht="15.75" hidden="false" customHeight="true" outlineLevel="0" collapsed="false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</row>
    <row r="215" customFormat="false" ht="15.75" hidden="false" customHeight="true" outlineLevel="0" collapsed="false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</row>
    <row r="216" customFormat="false" ht="15.75" hidden="false" customHeight="true" outlineLevel="0" collapsed="false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</row>
    <row r="217" customFormat="false" ht="15.75" hidden="false" customHeight="true" outlineLevel="0" collapsed="false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</row>
    <row r="218" customFormat="false" ht="15.75" hidden="false" customHeight="true" outlineLevel="0" collapsed="false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</row>
    <row r="219" customFormat="false" ht="15.75" hidden="false" customHeight="true" outlineLevel="0" collapsed="false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</row>
    <row r="220" customFormat="false" ht="15.75" hidden="false" customHeight="true" outlineLevel="0" collapsed="false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</row>
    <row r="221" customFormat="false" ht="15.75" hidden="false" customHeight="true" outlineLevel="0" collapsed="false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</row>
    <row r="222" customFormat="false" ht="15.75" hidden="false" customHeight="true" outlineLevel="0" collapsed="false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</row>
    <row r="223" customFormat="false" ht="15.75" hidden="false" customHeight="true" outlineLevel="0" collapsed="false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</row>
    <row r="224" customFormat="false" ht="15.75" hidden="false" customHeight="true" outlineLevel="0" collapsed="false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</row>
    <row r="225" customFormat="false" ht="15.75" hidden="false" customHeight="true" outlineLevel="0" collapsed="false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</row>
    <row r="226" customFormat="false" ht="15.75" hidden="false" customHeight="true" outlineLevel="0" collapsed="false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</row>
    <row r="227" customFormat="false" ht="15.75" hidden="false" customHeight="true" outlineLevel="0" collapsed="false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</row>
    <row r="228" customFormat="false" ht="15.75" hidden="false" customHeight="true" outlineLevel="0" collapsed="false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</row>
    <row r="229" customFormat="false" ht="15.75" hidden="false" customHeight="true" outlineLevel="0" collapsed="false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</row>
    <row r="230" customFormat="false" ht="15.75" hidden="false" customHeight="true" outlineLevel="0" collapsed="false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</row>
    <row r="231" customFormat="false" ht="15.75" hidden="false" customHeight="true" outlineLevel="0" collapsed="false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</row>
    <row r="232" customFormat="false" ht="15.75" hidden="false" customHeight="true" outlineLevel="0" collapsed="false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</row>
    <row r="233" customFormat="false" ht="15.75" hidden="false" customHeight="true" outlineLevel="0" collapsed="false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</row>
    <row r="234" customFormat="false" ht="15.75" hidden="false" customHeight="true" outlineLevel="0" collapsed="false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</row>
    <row r="235" customFormat="false" ht="15.75" hidden="false" customHeight="true" outlineLevel="0" collapsed="false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</row>
    <row r="236" customFormat="false" ht="15.75" hidden="false" customHeight="true" outlineLevel="0" collapsed="false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</row>
    <row r="237" customFormat="false" ht="15.75" hidden="false" customHeight="true" outlineLevel="0" collapsed="false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</row>
    <row r="238" customFormat="false" ht="15.75" hidden="false" customHeight="true" outlineLevel="0" collapsed="false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</row>
    <row r="239" customFormat="false" ht="15.75" hidden="false" customHeight="true" outlineLevel="0" collapsed="false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</row>
    <row r="240" customFormat="false" ht="15.75" hidden="false" customHeight="true" outlineLevel="0" collapsed="false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</row>
    <row r="241" customFormat="false" ht="15.75" hidden="false" customHeight="true" outlineLevel="0" collapsed="false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</row>
    <row r="242" customFormat="false" ht="15.75" hidden="false" customHeight="true" outlineLevel="0" collapsed="false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</row>
    <row r="243" customFormat="false" ht="15.75" hidden="false" customHeight="true" outlineLevel="0" collapsed="false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</row>
    <row r="244" customFormat="false" ht="15.75" hidden="false" customHeight="true" outlineLevel="0" collapsed="false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</row>
    <row r="245" customFormat="false" ht="15.75" hidden="false" customHeight="true" outlineLevel="0" collapsed="false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</row>
    <row r="246" customFormat="false" ht="15.75" hidden="false" customHeight="true" outlineLevel="0" collapsed="false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</row>
    <row r="247" customFormat="false" ht="15.75" hidden="false" customHeight="true" outlineLevel="0" collapsed="false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</row>
    <row r="248" customFormat="false" ht="15.75" hidden="false" customHeight="true" outlineLevel="0" collapsed="false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</row>
    <row r="249" customFormat="false" ht="15.75" hidden="false" customHeight="true" outlineLevel="0" collapsed="false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</row>
    <row r="250" customFormat="false" ht="15.75" hidden="false" customHeight="true" outlineLevel="0" collapsed="false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</row>
    <row r="251" customFormat="false" ht="15.75" hidden="false" customHeight="true" outlineLevel="0" collapsed="false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</row>
    <row r="252" customFormat="false" ht="15.75" hidden="false" customHeight="true" outlineLevel="0" collapsed="false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</row>
    <row r="253" customFormat="false" ht="15.75" hidden="false" customHeight="true" outlineLevel="0" collapsed="false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</row>
    <row r="254" customFormat="false" ht="15.75" hidden="false" customHeight="true" outlineLevel="0" collapsed="false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</row>
    <row r="255" customFormat="false" ht="15.75" hidden="false" customHeight="true" outlineLevel="0" collapsed="false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</row>
    <row r="256" customFormat="false" ht="15.75" hidden="false" customHeight="true" outlineLevel="0" collapsed="false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</row>
    <row r="257" customFormat="false" ht="15.75" hidden="false" customHeight="true" outlineLevel="0" collapsed="false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</row>
    <row r="258" customFormat="false" ht="15.75" hidden="false" customHeight="true" outlineLevel="0" collapsed="false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</row>
    <row r="259" customFormat="false" ht="15.75" hidden="false" customHeight="true" outlineLevel="0" collapsed="false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</row>
    <row r="260" customFormat="false" ht="15.75" hidden="false" customHeight="true" outlineLevel="0" collapsed="false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</row>
    <row r="261" customFormat="false" ht="15.75" hidden="false" customHeight="true" outlineLevel="0" collapsed="false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</row>
    <row r="262" customFormat="false" ht="15.75" hidden="false" customHeight="true" outlineLevel="0" collapsed="false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</row>
    <row r="263" customFormat="false" ht="15.75" hidden="false" customHeight="true" outlineLevel="0" collapsed="false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</row>
    <row r="264" customFormat="false" ht="15.75" hidden="false" customHeight="true" outlineLevel="0" collapsed="false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</row>
    <row r="265" customFormat="false" ht="15.75" hidden="false" customHeight="true" outlineLevel="0" collapsed="false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</row>
    <row r="266" customFormat="false" ht="15.75" hidden="false" customHeight="true" outlineLevel="0" collapsed="false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</row>
    <row r="267" customFormat="false" ht="15.75" hidden="false" customHeight="true" outlineLevel="0" collapsed="false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</row>
    <row r="268" customFormat="false" ht="15.75" hidden="false" customHeight="true" outlineLevel="0" collapsed="false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</row>
    <row r="269" customFormat="false" ht="15.75" hidden="false" customHeight="true" outlineLevel="0" collapsed="false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</row>
    <row r="270" customFormat="false" ht="15.75" hidden="false" customHeight="true" outlineLevel="0" collapsed="false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</row>
    <row r="271" customFormat="false" ht="15.75" hidden="false" customHeight="true" outlineLevel="0" collapsed="false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</row>
    <row r="272" customFormat="false" ht="15.75" hidden="false" customHeight="true" outlineLevel="0" collapsed="false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</row>
    <row r="273" customFormat="false" ht="15.75" hidden="false" customHeight="true" outlineLevel="0" collapsed="false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</row>
    <row r="274" customFormat="false" ht="15.75" hidden="false" customHeight="true" outlineLevel="0" collapsed="false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</row>
    <row r="275" customFormat="false" ht="15.75" hidden="false" customHeight="true" outlineLevel="0" collapsed="false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</row>
    <row r="276" customFormat="false" ht="15.75" hidden="false" customHeight="true" outlineLevel="0" collapsed="false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</row>
    <row r="277" customFormat="false" ht="15.75" hidden="false" customHeight="true" outlineLevel="0" collapsed="false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</row>
    <row r="278" customFormat="false" ht="15.75" hidden="false" customHeight="true" outlineLevel="0" collapsed="false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</row>
    <row r="279" customFormat="false" ht="15.75" hidden="false" customHeight="true" outlineLevel="0" collapsed="false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</row>
    <row r="280" customFormat="false" ht="15.75" hidden="false" customHeight="true" outlineLevel="0" collapsed="false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</row>
    <row r="281" customFormat="false" ht="15.75" hidden="false" customHeight="true" outlineLevel="0" collapsed="false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</row>
    <row r="282" customFormat="false" ht="15.75" hidden="false" customHeight="true" outlineLevel="0" collapsed="false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</row>
    <row r="283" customFormat="false" ht="15.75" hidden="false" customHeight="true" outlineLevel="0" collapsed="false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</row>
    <row r="284" customFormat="false" ht="15.75" hidden="false" customHeight="true" outlineLevel="0" collapsed="false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</row>
    <row r="285" customFormat="false" ht="15.75" hidden="false" customHeight="true" outlineLevel="0" collapsed="false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</row>
    <row r="286" customFormat="false" ht="15.75" hidden="false" customHeight="true" outlineLevel="0" collapsed="false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</row>
    <row r="287" customFormat="false" ht="15.75" hidden="false" customHeight="true" outlineLevel="0" collapsed="false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</row>
    <row r="288" customFormat="false" ht="15.75" hidden="false" customHeight="true" outlineLevel="0" collapsed="false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</row>
    <row r="289" customFormat="false" ht="15.75" hidden="false" customHeight="true" outlineLevel="0" collapsed="false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</row>
    <row r="290" customFormat="false" ht="15.75" hidden="false" customHeight="true" outlineLevel="0" collapsed="false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</row>
    <row r="291" customFormat="false" ht="15.75" hidden="false" customHeight="true" outlineLevel="0" collapsed="false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</row>
    <row r="292" customFormat="false" ht="15.75" hidden="false" customHeight="true" outlineLevel="0" collapsed="false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</row>
    <row r="293" customFormat="false" ht="15.75" hidden="false" customHeight="true" outlineLevel="0" collapsed="false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</row>
    <row r="294" customFormat="false" ht="15.75" hidden="false" customHeight="true" outlineLevel="0" collapsed="false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</row>
    <row r="295" customFormat="false" ht="15.75" hidden="false" customHeight="true" outlineLevel="0" collapsed="false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</row>
    <row r="296" customFormat="false" ht="15.75" hidden="false" customHeight="true" outlineLevel="0" collapsed="false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</row>
    <row r="297" customFormat="false" ht="15.75" hidden="false" customHeight="true" outlineLevel="0" collapsed="false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</row>
    <row r="298" customFormat="false" ht="15.75" hidden="false" customHeight="true" outlineLevel="0" collapsed="false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</row>
    <row r="299" customFormat="false" ht="15.75" hidden="false" customHeight="true" outlineLevel="0" collapsed="false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</row>
    <row r="300" customFormat="false" ht="15.75" hidden="false" customHeight="true" outlineLevel="0" collapsed="false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</row>
    <row r="301" customFormat="false" ht="15.75" hidden="false" customHeight="true" outlineLevel="0" collapsed="false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</row>
    <row r="302" customFormat="false" ht="15.75" hidden="false" customHeight="true" outlineLevel="0" collapsed="false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</row>
    <row r="303" customFormat="false" ht="15.75" hidden="false" customHeight="true" outlineLevel="0" collapsed="false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</row>
    <row r="304" customFormat="false" ht="15.75" hidden="false" customHeight="true" outlineLevel="0" collapsed="false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</row>
    <row r="305" customFormat="false" ht="15.75" hidden="false" customHeight="true" outlineLevel="0" collapsed="false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</row>
    <row r="306" customFormat="false" ht="15.75" hidden="false" customHeight="true" outlineLevel="0" collapsed="false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</row>
    <row r="307" customFormat="false" ht="15.75" hidden="false" customHeight="true" outlineLevel="0" collapsed="false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</row>
    <row r="308" customFormat="false" ht="15.75" hidden="false" customHeight="true" outlineLevel="0" collapsed="false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</row>
    <row r="309" customFormat="false" ht="15.75" hidden="false" customHeight="true" outlineLevel="0" collapsed="false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</row>
    <row r="310" customFormat="false" ht="15.75" hidden="false" customHeight="true" outlineLevel="0" collapsed="false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</row>
    <row r="311" customFormat="false" ht="15.75" hidden="false" customHeight="true" outlineLevel="0" collapsed="false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</row>
    <row r="312" customFormat="false" ht="15.75" hidden="false" customHeight="true" outlineLevel="0" collapsed="false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</row>
    <row r="313" customFormat="false" ht="15.75" hidden="false" customHeight="true" outlineLevel="0" collapsed="false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</row>
    <row r="314" customFormat="false" ht="15.75" hidden="false" customHeight="true" outlineLevel="0" collapsed="false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</row>
    <row r="315" customFormat="false" ht="15.75" hidden="false" customHeight="true" outlineLevel="0" collapsed="false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</row>
    <row r="316" customFormat="false" ht="15.75" hidden="false" customHeight="true" outlineLevel="0" collapsed="false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</row>
    <row r="317" customFormat="false" ht="15.75" hidden="false" customHeight="true" outlineLevel="0" collapsed="false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</row>
    <row r="318" customFormat="false" ht="15.75" hidden="false" customHeight="true" outlineLevel="0" collapsed="false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</row>
    <row r="319" customFormat="false" ht="15.75" hidden="false" customHeight="true" outlineLevel="0" collapsed="false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</row>
    <row r="320" customFormat="false" ht="15.75" hidden="false" customHeight="true" outlineLevel="0" collapsed="false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</row>
    <row r="321" customFormat="false" ht="15.75" hidden="false" customHeight="true" outlineLevel="0" collapsed="false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</row>
    <row r="322" customFormat="false" ht="15.75" hidden="false" customHeight="true" outlineLevel="0" collapsed="false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</row>
    <row r="323" customFormat="false" ht="15.75" hidden="false" customHeight="true" outlineLevel="0" collapsed="false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</row>
    <row r="324" customFormat="false" ht="15.75" hidden="false" customHeight="true" outlineLevel="0" collapsed="false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</row>
    <row r="325" customFormat="false" ht="15.75" hidden="false" customHeight="true" outlineLevel="0" collapsed="false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</row>
    <row r="326" customFormat="false" ht="15.75" hidden="false" customHeight="true" outlineLevel="0" collapsed="false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</row>
    <row r="327" customFormat="false" ht="15.75" hidden="false" customHeight="true" outlineLevel="0" collapsed="false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</row>
    <row r="328" customFormat="false" ht="15.75" hidden="false" customHeight="true" outlineLevel="0" collapsed="false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</row>
    <row r="329" customFormat="false" ht="15.75" hidden="false" customHeight="true" outlineLevel="0" collapsed="false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</row>
    <row r="330" customFormat="false" ht="15.75" hidden="false" customHeight="true" outlineLevel="0" collapsed="false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</row>
    <row r="331" customFormat="false" ht="15.75" hidden="false" customHeight="true" outlineLevel="0" collapsed="false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</row>
    <row r="332" customFormat="false" ht="15.75" hidden="false" customHeight="true" outlineLevel="0" collapsed="false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</row>
    <row r="333" customFormat="false" ht="15.75" hidden="false" customHeight="true" outlineLevel="0" collapsed="false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</row>
    <row r="334" customFormat="false" ht="15.75" hidden="false" customHeight="true" outlineLevel="0" collapsed="false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</row>
    <row r="335" customFormat="false" ht="15.75" hidden="false" customHeight="true" outlineLevel="0" collapsed="false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</row>
    <row r="336" customFormat="false" ht="15.75" hidden="false" customHeight="true" outlineLevel="0" collapsed="false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</row>
    <row r="337" customFormat="false" ht="15.75" hidden="false" customHeight="true" outlineLevel="0" collapsed="false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</row>
    <row r="338" customFormat="false" ht="15.75" hidden="false" customHeight="true" outlineLevel="0" collapsed="false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</row>
    <row r="339" customFormat="false" ht="15.75" hidden="false" customHeight="true" outlineLevel="0" collapsed="false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</row>
    <row r="340" customFormat="false" ht="15.75" hidden="false" customHeight="true" outlineLevel="0" collapsed="false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</row>
    <row r="341" customFormat="false" ht="15.75" hidden="false" customHeight="true" outlineLevel="0" collapsed="false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</row>
    <row r="342" customFormat="false" ht="15.75" hidden="false" customHeight="true" outlineLevel="0" collapsed="false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</row>
    <row r="343" customFormat="false" ht="15.75" hidden="false" customHeight="true" outlineLevel="0" collapsed="false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</row>
    <row r="344" customFormat="false" ht="15.75" hidden="false" customHeight="true" outlineLevel="0" collapsed="false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</row>
    <row r="345" customFormat="false" ht="15.75" hidden="false" customHeight="true" outlineLevel="0" collapsed="false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</row>
    <row r="346" customFormat="false" ht="15.75" hidden="false" customHeight="true" outlineLevel="0" collapsed="false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</row>
    <row r="347" customFormat="false" ht="15.75" hidden="false" customHeight="true" outlineLevel="0" collapsed="false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</row>
    <row r="348" customFormat="false" ht="15.75" hidden="false" customHeight="true" outlineLevel="0" collapsed="false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</row>
    <row r="349" customFormat="false" ht="15.75" hidden="false" customHeight="true" outlineLevel="0" collapsed="false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</row>
    <row r="350" customFormat="false" ht="15.75" hidden="false" customHeight="true" outlineLevel="0" collapsed="false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</row>
    <row r="351" customFormat="false" ht="15.75" hidden="false" customHeight="true" outlineLevel="0" collapsed="false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</row>
    <row r="352" customFormat="false" ht="15.75" hidden="false" customHeight="true" outlineLevel="0" collapsed="false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</row>
    <row r="353" customFormat="false" ht="15.75" hidden="false" customHeight="true" outlineLevel="0" collapsed="false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</row>
    <row r="354" customFormat="false" ht="15.75" hidden="false" customHeight="true" outlineLevel="0" collapsed="false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</row>
    <row r="355" customFormat="false" ht="15.75" hidden="false" customHeight="true" outlineLevel="0" collapsed="false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</row>
    <row r="356" customFormat="false" ht="15.75" hidden="false" customHeight="true" outlineLevel="0" collapsed="false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</row>
    <row r="357" customFormat="false" ht="15.75" hidden="false" customHeight="true" outlineLevel="0" collapsed="false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</row>
    <row r="358" customFormat="false" ht="15.75" hidden="false" customHeight="true" outlineLevel="0" collapsed="false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</row>
    <row r="359" customFormat="false" ht="15.75" hidden="false" customHeight="true" outlineLevel="0" collapsed="false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</row>
    <row r="360" customFormat="false" ht="15.75" hidden="false" customHeight="true" outlineLevel="0" collapsed="false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</row>
    <row r="361" customFormat="false" ht="15.75" hidden="false" customHeight="true" outlineLevel="0" collapsed="false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</row>
    <row r="362" customFormat="false" ht="15.75" hidden="false" customHeight="true" outlineLevel="0" collapsed="false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</row>
    <row r="363" customFormat="false" ht="15.75" hidden="false" customHeight="true" outlineLevel="0" collapsed="false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</row>
    <row r="364" customFormat="false" ht="15.75" hidden="false" customHeight="true" outlineLevel="0" collapsed="false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</row>
    <row r="365" customFormat="false" ht="15.75" hidden="false" customHeight="true" outlineLevel="0" collapsed="false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</row>
    <row r="366" customFormat="false" ht="15.75" hidden="false" customHeight="true" outlineLevel="0" collapsed="false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</row>
    <row r="367" customFormat="false" ht="15.75" hidden="false" customHeight="true" outlineLevel="0" collapsed="false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</row>
    <row r="368" customFormat="false" ht="15.75" hidden="false" customHeight="true" outlineLevel="0" collapsed="false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</row>
    <row r="369" customFormat="false" ht="15.75" hidden="false" customHeight="true" outlineLevel="0" collapsed="false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</row>
    <row r="370" customFormat="false" ht="15.75" hidden="false" customHeight="true" outlineLevel="0" collapsed="false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</row>
    <row r="371" customFormat="false" ht="15.75" hidden="false" customHeight="true" outlineLevel="0" collapsed="false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</row>
    <row r="372" customFormat="false" ht="15.75" hidden="false" customHeight="true" outlineLevel="0" collapsed="false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</row>
    <row r="373" customFormat="false" ht="15.75" hidden="false" customHeight="true" outlineLevel="0" collapsed="false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</row>
    <row r="374" customFormat="false" ht="15.75" hidden="false" customHeight="true" outlineLevel="0" collapsed="false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</row>
    <row r="375" customFormat="false" ht="15.75" hidden="false" customHeight="true" outlineLevel="0" collapsed="false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</row>
    <row r="376" customFormat="false" ht="15.75" hidden="false" customHeight="true" outlineLevel="0" collapsed="false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</row>
    <row r="377" customFormat="false" ht="15.75" hidden="false" customHeight="true" outlineLevel="0" collapsed="false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</row>
    <row r="378" customFormat="false" ht="15.75" hidden="false" customHeight="true" outlineLevel="0" collapsed="false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</row>
    <row r="379" customFormat="false" ht="15.75" hidden="false" customHeight="true" outlineLevel="0" collapsed="false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</row>
    <row r="380" customFormat="false" ht="15.75" hidden="false" customHeight="true" outlineLevel="0" collapsed="false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</row>
    <row r="381" customFormat="false" ht="15.75" hidden="false" customHeight="true" outlineLevel="0" collapsed="false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</row>
    <row r="382" customFormat="false" ht="15.75" hidden="false" customHeight="true" outlineLevel="0" collapsed="false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</row>
    <row r="383" customFormat="false" ht="15.75" hidden="false" customHeight="true" outlineLevel="0" collapsed="false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</row>
    <row r="384" customFormat="false" ht="15.75" hidden="false" customHeight="true" outlineLevel="0" collapsed="false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</row>
    <row r="385" customFormat="false" ht="15.75" hidden="false" customHeight="true" outlineLevel="0" collapsed="false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</row>
    <row r="386" customFormat="false" ht="15.75" hidden="false" customHeight="true" outlineLevel="0" collapsed="false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</row>
    <row r="387" customFormat="false" ht="15.75" hidden="false" customHeight="true" outlineLevel="0" collapsed="false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</row>
    <row r="388" customFormat="false" ht="15.75" hidden="false" customHeight="true" outlineLevel="0" collapsed="false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</row>
    <row r="389" customFormat="false" ht="15.75" hidden="false" customHeight="true" outlineLevel="0" collapsed="false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</row>
    <row r="390" customFormat="false" ht="15.75" hidden="false" customHeight="true" outlineLevel="0" collapsed="false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</row>
    <row r="391" customFormat="false" ht="15.75" hidden="false" customHeight="true" outlineLevel="0" collapsed="false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</row>
    <row r="392" customFormat="false" ht="15.75" hidden="false" customHeight="true" outlineLevel="0" collapsed="false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</row>
    <row r="393" customFormat="false" ht="15.75" hidden="false" customHeight="true" outlineLevel="0" collapsed="false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</row>
    <row r="394" customFormat="false" ht="15.75" hidden="false" customHeight="true" outlineLevel="0" collapsed="false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</row>
    <row r="395" customFormat="false" ht="15.75" hidden="false" customHeight="true" outlineLevel="0" collapsed="false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</row>
    <row r="396" customFormat="false" ht="15.75" hidden="false" customHeight="true" outlineLevel="0" collapsed="false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</row>
    <row r="397" customFormat="false" ht="15.75" hidden="false" customHeight="true" outlineLevel="0" collapsed="false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</row>
    <row r="398" customFormat="false" ht="15.75" hidden="false" customHeight="true" outlineLevel="0" collapsed="false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</row>
    <row r="399" customFormat="false" ht="15.75" hidden="false" customHeight="true" outlineLevel="0" collapsed="false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</row>
    <row r="400" customFormat="false" ht="15.75" hidden="false" customHeight="true" outlineLevel="0" collapsed="false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</row>
    <row r="401" customFormat="false" ht="15.75" hidden="false" customHeight="true" outlineLevel="0" collapsed="false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</row>
    <row r="402" customFormat="false" ht="15.75" hidden="false" customHeight="true" outlineLevel="0" collapsed="false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</row>
    <row r="403" customFormat="false" ht="15.75" hidden="false" customHeight="true" outlineLevel="0" collapsed="false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</row>
    <row r="404" customFormat="false" ht="15.75" hidden="false" customHeight="true" outlineLevel="0" collapsed="false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</row>
    <row r="405" customFormat="false" ht="15.75" hidden="false" customHeight="true" outlineLevel="0" collapsed="false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</row>
    <row r="406" customFormat="false" ht="15.75" hidden="false" customHeight="true" outlineLevel="0" collapsed="false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</row>
    <row r="407" customFormat="false" ht="15.75" hidden="false" customHeight="true" outlineLevel="0" collapsed="false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</row>
    <row r="408" customFormat="false" ht="15.75" hidden="false" customHeight="true" outlineLevel="0" collapsed="false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</row>
    <row r="409" customFormat="false" ht="15.75" hidden="false" customHeight="true" outlineLevel="0" collapsed="false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</row>
    <row r="410" customFormat="false" ht="15.75" hidden="false" customHeight="true" outlineLevel="0" collapsed="false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</row>
    <row r="411" customFormat="false" ht="15.75" hidden="false" customHeight="true" outlineLevel="0" collapsed="false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</row>
    <row r="412" customFormat="false" ht="15.75" hidden="false" customHeight="true" outlineLevel="0" collapsed="false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</row>
    <row r="413" customFormat="false" ht="15.75" hidden="false" customHeight="true" outlineLevel="0" collapsed="false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</row>
    <row r="414" customFormat="false" ht="15.75" hidden="false" customHeight="true" outlineLevel="0" collapsed="false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</row>
    <row r="415" customFormat="false" ht="15.75" hidden="false" customHeight="true" outlineLevel="0" collapsed="false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</row>
    <row r="416" customFormat="false" ht="15.75" hidden="false" customHeight="true" outlineLevel="0" collapsed="false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</row>
    <row r="417" customFormat="false" ht="15.75" hidden="false" customHeight="true" outlineLevel="0" collapsed="false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</row>
    <row r="418" customFormat="false" ht="15.75" hidden="false" customHeight="true" outlineLevel="0" collapsed="false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</row>
    <row r="419" customFormat="false" ht="15.75" hidden="false" customHeight="true" outlineLevel="0" collapsed="false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</row>
    <row r="420" customFormat="false" ht="15.75" hidden="false" customHeight="true" outlineLevel="0" collapsed="false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</row>
    <row r="421" customFormat="false" ht="15.75" hidden="false" customHeight="true" outlineLevel="0" collapsed="false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</row>
    <row r="422" customFormat="false" ht="15.75" hidden="false" customHeight="true" outlineLevel="0" collapsed="false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</row>
    <row r="423" customFormat="false" ht="15.75" hidden="false" customHeight="true" outlineLevel="0" collapsed="false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</row>
    <row r="424" customFormat="false" ht="15.75" hidden="false" customHeight="true" outlineLevel="0" collapsed="false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</row>
    <row r="425" customFormat="false" ht="15.75" hidden="false" customHeight="true" outlineLevel="0" collapsed="false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</row>
    <row r="426" customFormat="false" ht="15.75" hidden="false" customHeight="true" outlineLevel="0" collapsed="false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</row>
    <row r="427" customFormat="false" ht="15.75" hidden="false" customHeight="true" outlineLevel="0" collapsed="false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</row>
    <row r="428" customFormat="false" ht="15.75" hidden="false" customHeight="true" outlineLevel="0" collapsed="false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</row>
    <row r="429" customFormat="false" ht="15.75" hidden="false" customHeight="true" outlineLevel="0" collapsed="false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</row>
    <row r="430" customFormat="false" ht="15.75" hidden="false" customHeight="true" outlineLevel="0" collapsed="false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</row>
    <row r="431" customFormat="false" ht="15.75" hidden="false" customHeight="true" outlineLevel="0" collapsed="false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</row>
    <row r="432" customFormat="false" ht="15.75" hidden="false" customHeight="true" outlineLevel="0" collapsed="false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</row>
    <row r="433" customFormat="false" ht="15.75" hidden="false" customHeight="true" outlineLevel="0" collapsed="false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</row>
    <row r="434" customFormat="false" ht="15.75" hidden="false" customHeight="true" outlineLevel="0" collapsed="false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</row>
    <row r="435" customFormat="false" ht="15.75" hidden="false" customHeight="true" outlineLevel="0" collapsed="false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</row>
    <row r="436" customFormat="false" ht="15.75" hidden="false" customHeight="true" outlineLevel="0" collapsed="false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</row>
    <row r="437" customFormat="false" ht="15.75" hidden="false" customHeight="true" outlineLevel="0" collapsed="false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</row>
    <row r="438" customFormat="false" ht="15.75" hidden="false" customHeight="true" outlineLevel="0" collapsed="false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</row>
    <row r="439" customFormat="false" ht="15.75" hidden="false" customHeight="true" outlineLevel="0" collapsed="false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</row>
    <row r="440" customFormat="false" ht="15.75" hidden="false" customHeight="true" outlineLevel="0" collapsed="false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</row>
    <row r="441" customFormat="false" ht="15.75" hidden="false" customHeight="true" outlineLevel="0" collapsed="false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</row>
    <row r="442" customFormat="false" ht="15.75" hidden="false" customHeight="true" outlineLevel="0" collapsed="false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</row>
    <row r="443" customFormat="false" ht="15.75" hidden="false" customHeight="true" outlineLevel="0" collapsed="false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</row>
    <row r="444" customFormat="false" ht="15.75" hidden="false" customHeight="true" outlineLevel="0" collapsed="false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</row>
    <row r="445" customFormat="false" ht="15.75" hidden="false" customHeight="true" outlineLevel="0" collapsed="false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</row>
    <row r="446" customFormat="false" ht="15.75" hidden="false" customHeight="true" outlineLevel="0" collapsed="false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</row>
    <row r="447" customFormat="false" ht="15.75" hidden="false" customHeight="true" outlineLevel="0" collapsed="false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</row>
    <row r="448" customFormat="false" ht="15.75" hidden="false" customHeight="true" outlineLevel="0" collapsed="false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</row>
    <row r="449" customFormat="false" ht="15.75" hidden="false" customHeight="true" outlineLevel="0" collapsed="false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</row>
    <row r="450" customFormat="false" ht="15.75" hidden="false" customHeight="true" outlineLevel="0" collapsed="false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</row>
    <row r="451" customFormat="false" ht="15.75" hidden="false" customHeight="true" outlineLevel="0" collapsed="false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</row>
    <row r="452" customFormat="false" ht="15.75" hidden="false" customHeight="true" outlineLevel="0" collapsed="false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</row>
    <row r="453" customFormat="false" ht="15.75" hidden="false" customHeight="true" outlineLevel="0" collapsed="false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</row>
    <row r="454" customFormat="false" ht="15.75" hidden="false" customHeight="true" outlineLevel="0" collapsed="false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</row>
    <row r="455" customFormat="false" ht="15.75" hidden="false" customHeight="true" outlineLevel="0" collapsed="false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</row>
    <row r="456" customFormat="false" ht="15.75" hidden="false" customHeight="true" outlineLevel="0" collapsed="false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</row>
    <row r="457" customFormat="false" ht="15.75" hidden="false" customHeight="true" outlineLevel="0" collapsed="false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</row>
    <row r="458" customFormat="false" ht="15.75" hidden="false" customHeight="true" outlineLevel="0" collapsed="false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</row>
    <row r="459" customFormat="false" ht="15.75" hidden="false" customHeight="true" outlineLevel="0" collapsed="false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</row>
    <row r="460" customFormat="false" ht="15.75" hidden="false" customHeight="true" outlineLevel="0" collapsed="false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</row>
    <row r="461" customFormat="false" ht="15.75" hidden="false" customHeight="true" outlineLevel="0" collapsed="false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</row>
    <row r="462" customFormat="false" ht="15.75" hidden="false" customHeight="true" outlineLevel="0" collapsed="false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</row>
    <row r="463" customFormat="false" ht="15.75" hidden="false" customHeight="true" outlineLevel="0" collapsed="false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</row>
    <row r="464" customFormat="false" ht="15.75" hidden="false" customHeight="true" outlineLevel="0" collapsed="false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</row>
    <row r="465" customFormat="false" ht="15.75" hidden="false" customHeight="true" outlineLevel="0" collapsed="false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</row>
    <row r="466" customFormat="false" ht="15.75" hidden="false" customHeight="true" outlineLevel="0" collapsed="false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</row>
    <row r="467" customFormat="false" ht="15.75" hidden="false" customHeight="true" outlineLevel="0" collapsed="false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</row>
    <row r="468" customFormat="false" ht="15.75" hidden="false" customHeight="true" outlineLevel="0" collapsed="false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</row>
    <row r="469" customFormat="false" ht="15.75" hidden="false" customHeight="true" outlineLevel="0" collapsed="false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</row>
    <row r="470" customFormat="false" ht="15.75" hidden="false" customHeight="true" outlineLevel="0" collapsed="false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</row>
    <row r="471" customFormat="false" ht="15.75" hidden="false" customHeight="true" outlineLevel="0" collapsed="false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</row>
    <row r="472" customFormat="false" ht="15.75" hidden="false" customHeight="true" outlineLevel="0" collapsed="false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</row>
    <row r="473" customFormat="false" ht="15.75" hidden="false" customHeight="true" outlineLevel="0" collapsed="false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</row>
    <row r="474" customFormat="false" ht="15.75" hidden="false" customHeight="true" outlineLevel="0" collapsed="false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</row>
    <row r="475" customFormat="false" ht="15.75" hidden="false" customHeight="true" outlineLevel="0" collapsed="false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</row>
    <row r="476" customFormat="false" ht="15.75" hidden="false" customHeight="true" outlineLevel="0" collapsed="false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</row>
    <row r="477" customFormat="false" ht="15.75" hidden="false" customHeight="true" outlineLevel="0" collapsed="false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</row>
    <row r="478" customFormat="false" ht="15.75" hidden="false" customHeight="true" outlineLevel="0" collapsed="false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</row>
    <row r="479" customFormat="false" ht="15.75" hidden="false" customHeight="true" outlineLevel="0" collapsed="false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</row>
    <row r="480" customFormat="false" ht="15.75" hidden="false" customHeight="true" outlineLevel="0" collapsed="false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</row>
    <row r="481" customFormat="false" ht="15.75" hidden="false" customHeight="true" outlineLevel="0" collapsed="false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</row>
    <row r="482" customFormat="false" ht="15.75" hidden="false" customHeight="true" outlineLevel="0" collapsed="false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</row>
    <row r="483" customFormat="false" ht="15.75" hidden="false" customHeight="true" outlineLevel="0" collapsed="false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</row>
    <row r="484" customFormat="false" ht="15.75" hidden="false" customHeight="true" outlineLevel="0" collapsed="false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</row>
    <row r="485" customFormat="false" ht="15.75" hidden="false" customHeight="true" outlineLevel="0" collapsed="false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</row>
    <row r="486" customFormat="false" ht="15.75" hidden="false" customHeight="true" outlineLevel="0" collapsed="false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</row>
    <row r="487" customFormat="false" ht="15.75" hidden="false" customHeight="true" outlineLevel="0" collapsed="false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</row>
    <row r="488" customFormat="false" ht="15.75" hidden="false" customHeight="true" outlineLevel="0" collapsed="false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</row>
    <row r="489" customFormat="false" ht="15.75" hidden="false" customHeight="true" outlineLevel="0" collapsed="false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</row>
    <row r="490" customFormat="false" ht="15.75" hidden="false" customHeight="true" outlineLevel="0" collapsed="false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</row>
    <row r="491" customFormat="false" ht="15.75" hidden="false" customHeight="true" outlineLevel="0" collapsed="false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</row>
    <row r="492" customFormat="false" ht="15.75" hidden="false" customHeight="true" outlineLevel="0" collapsed="false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</row>
    <row r="493" customFormat="false" ht="15.75" hidden="false" customHeight="true" outlineLevel="0" collapsed="false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</row>
    <row r="494" customFormat="false" ht="15.75" hidden="false" customHeight="true" outlineLevel="0" collapsed="false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</row>
    <row r="495" customFormat="false" ht="15.75" hidden="false" customHeight="true" outlineLevel="0" collapsed="false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</row>
    <row r="496" customFormat="false" ht="15.75" hidden="false" customHeight="true" outlineLevel="0" collapsed="false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</row>
    <row r="497" customFormat="false" ht="15.75" hidden="false" customHeight="true" outlineLevel="0" collapsed="false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</row>
    <row r="498" customFormat="false" ht="15.75" hidden="false" customHeight="true" outlineLevel="0" collapsed="false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</row>
    <row r="499" customFormat="false" ht="15.75" hidden="false" customHeight="true" outlineLevel="0" collapsed="false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</row>
    <row r="500" customFormat="false" ht="15.75" hidden="false" customHeight="true" outlineLevel="0" collapsed="false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</row>
    <row r="501" customFormat="false" ht="15.75" hidden="false" customHeight="true" outlineLevel="0" collapsed="false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</row>
    <row r="502" customFormat="false" ht="15.75" hidden="false" customHeight="true" outlineLevel="0" collapsed="false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</row>
    <row r="503" customFormat="false" ht="15.75" hidden="false" customHeight="true" outlineLevel="0" collapsed="false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</row>
    <row r="504" customFormat="false" ht="15.75" hidden="false" customHeight="true" outlineLevel="0" collapsed="false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</row>
    <row r="505" customFormat="false" ht="15.75" hidden="false" customHeight="true" outlineLevel="0" collapsed="false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</row>
    <row r="506" customFormat="false" ht="15.75" hidden="false" customHeight="true" outlineLevel="0" collapsed="false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</row>
    <row r="507" customFormat="false" ht="15.75" hidden="false" customHeight="true" outlineLevel="0" collapsed="false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</row>
    <row r="508" customFormat="false" ht="15.75" hidden="false" customHeight="true" outlineLevel="0" collapsed="false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</row>
    <row r="509" customFormat="false" ht="15.75" hidden="false" customHeight="true" outlineLevel="0" collapsed="false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</row>
    <row r="510" customFormat="false" ht="15.75" hidden="false" customHeight="true" outlineLevel="0" collapsed="false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</row>
    <row r="511" customFormat="false" ht="15.75" hidden="false" customHeight="true" outlineLevel="0" collapsed="false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</row>
    <row r="512" customFormat="false" ht="15.75" hidden="false" customHeight="true" outlineLevel="0" collapsed="false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</row>
    <row r="513" customFormat="false" ht="15.75" hidden="false" customHeight="true" outlineLevel="0" collapsed="false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</row>
    <row r="514" customFormat="false" ht="15.75" hidden="false" customHeight="true" outlineLevel="0" collapsed="false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</row>
    <row r="515" customFormat="false" ht="15.75" hidden="false" customHeight="true" outlineLevel="0" collapsed="false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</row>
    <row r="516" customFormat="false" ht="15.75" hidden="false" customHeight="true" outlineLevel="0" collapsed="false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</row>
    <row r="517" customFormat="false" ht="15.75" hidden="false" customHeight="true" outlineLevel="0" collapsed="false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</row>
    <row r="518" customFormat="false" ht="15.75" hidden="false" customHeight="true" outlineLevel="0" collapsed="false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</row>
    <row r="519" customFormat="false" ht="15.75" hidden="false" customHeight="true" outlineLevel="0" collapsed="false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</row>
    <row r="520" customFormat="false" ht="15.75" hidden="false" customHeight="true" outlineLevel="0" collapsed="false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</row>
    <row r="521" customFormat="false" ht="15.75" hidden="false" customHeight="true" outlineLevel="0" collapsed="false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</row>
    <row r="522" customFormat="false" ht="15.75" hidden="false" customHeight="true" outlineLevel="0" collapsed="false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</row>
    <row r="523" customFormat="false" ht="15.75" hidden="false" customHeight="true" outlineLevel="0" collapsed="false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</row>
    <row r="524" customFormat="false" ht="15.75" hidden="false" customHeight="true" outlineLevel="0" collapsed="false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</row>
    <row r="525" customFormat="false" ht="15.75" hidden="false" customHeight="true" outlineLevel="0" collapsed="false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</row>
    <row r="526" customFormat="false" ht="15.75" hidden="false" customHeight="true" outlineLevel="0" collapsed="false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</row>
    <row r="527" customFormat="false" ht="15.75" hidden="false" customHeight="true" outlineLevel="0" collapsed="false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</row>
    <row r="528" customFormat="false" ht="15.75" hidden="false" customHeight="true" outlineLevel="0" collapsed="false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</row>
    <row r="529" customFormat="false" ht="15.75" hidden="false" customHeight="true" outlineLevel="0" collapsed="false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</row>
    <row r="530" customFormat="false" ht="15.75" hidden="false" customHeight="true" outlineLevel="0" collapsed="false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</row>
    <row r="531" customFormat="false" ht="15.75" hidden="false" customHeight="true" outlineLevel="0" collapsed="false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</row>
    <row r="532" customFormat="false" ht="15.75" hidden="false" customHeight="true" outlineLevel="0" collapsed="false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</row>
    <row r="533" customFormat="false" ht="15.75" hidden="false" customHeight="true" outlineLevel="0" collapsed="false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</row>
    <row r="534" customFormat="false" ht="15.75" hidden="false" customHeight="true" outlineLevel="0" collapsed="false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</row>
    <row r="535" customFormat="false" ht="15.75" hidden="false" customHeight="true" outlineLevel="0" collapsed="false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</row>
    <row r="536" customFormat="false" ht="15.75" hidden="false" customHeight="true" outlineLevel="0" collapsed="false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</row>
    <row r="537" customFormat="false" ht="15.75" hidden="false" customHeight="true" outlineLevel="0" collapsed="false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</row>
    <row r="538" customFormat="false" ht="15.75" hidden="false" customHeight="true" outlineLevel="0" collapsed="false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</row>
    <row r="539" customFormat="false" ht="15.75" hidden="false" customHeight="true" outlineLevel="0" collapsed="false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</row>
    <row r="540" customFormat="false" ht="15.75" hidden="false" customHeight="true" outlineLevel="0" collapsed="false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</row>
    <row r="541" customFormat="false" ht="15.75" hidden="false" customHeight="true" outlineLevel="0" collapsed="false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</row>
    <row r="542" customFormat="false" ht="15.75" hidden="false" customHeight="true" outlineLevel="0" collapsed="false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</row>
    <row r="543" customFormat="false" ht="15.75" hidden="false" customHeight="true" outlineLevel="0" collapsed="false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</row>
    <row r="544" customFormat="false" ht="15.75" hidden="false" customHeight="true" outlineLevel="0" collapsed="false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</row>
    <row r="545" customFormat="false" ht="15.75" hidden="false" customHeight="true" outlineLevel="0" collapsed="false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</row>
    <row r="546" customFormat="false" ht="15.75" hidden="false" customHeight="true" outlineLevel="0" collapsed="false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</row>
    <row r="547" customFormat="false" ht="15.75" hidden="false" customHeight="true" outlineLevel="0" collapsed="false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</row>
    <row r="548" customFormat="false" ht="15.75" hidden="false" customHeight="true" outlineLevel="0" collapsed="false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</row>
    <row r="549" customFormat="false" ht="15.75" hidden="false" customHeight="true" outlineLevel="0" collapsed="false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</row>
    <row r="550" customFormat="false" ht="15.75" hidden="false" customHeight="true" outlineLevel="0" collapsed="false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</row>
    <row r="551" customFormat="false" ht="15.75" hidden="false" customHeight="true" outlineLevel="0" collapsed="false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</row>
    <row r="552" customFormat="false" ht="15.75" hidden="false" customHeight="true" outlineLevel="0" collapsed="false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</row>
    <row r="553" customFormat="false" ht="15.75" hidden="false" customHeight="true" outlineLevel="0" collapsed="false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</row>
    <row r="554" customFormat="false" ht="15.75" hidden="false" customHeight="true" outlineLevel="0" collapsed="false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</row>
    <row r="555" customFormat="false" ht="15.75" hidden="false" customHeight="true" outlineLevel="0" collapsed="false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</row>
    <row r="556" customFormat="false" ht="15.75" hidden="false" customHeight="true" outlineLevel="0" collapsed="false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</row>
    <row r="557" customFormat="false" ht="15.75" hidden="false" customHeight="true" outlineLevel="0" collapsed="false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</row>
    <row r="558" customFormat="false" ht="15.75" hidden="false" customHeight="true" outlineLevel="0" collapsed="false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</row>
    <row r="559" customFormat="false" ht="15.75" hidden="false" customHeight="true" outlineLevel="0" collapsed="false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</row>
    <row r="560" customFormat="false" ht="15.75" hidden="false" customHeight="true" outlineLevel="0" collapsed="false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</row>
    <row r="561" customFormat="false" ht="15.75" hidden="false" customHeight="true" outlineLevel="0" collapsed="false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</row>
    <row r="562" customFormat="false" ht="15.75" hidden="false" customHeight="true" outlineLevel="0" collapsed="false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</row>
    <row r="563" customFormat="false" ht="15.75" hidden="false" customHeight="true" outlineLevel="0" collapsed="false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</row>
    <row r="564" customFormat="false" ht="15.75" hidden="false" customHeight="true" outlineLevel="0" collapsed="false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</row>
    <row r="565" customFormat="false" ht="15.75" hidden="false" customHeight="true" outlineLevel="0" collapsed="false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</row>
    <row r="566" customFormat="false" ht="15.75" hidden="false" customHeight="true" outlineLevel="0" collapsed="false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</row>
    <row r="567" customFormat="false" ht="15.75" hidden="false" customHeight="true" outlineLevel="0" collapsed="false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</row>
    <row r="568" customFormat="false" ht="15.75" hidden="false" customHeight="true" outlineLevel="0" collapsed="false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</row>
    <row r="569" customFormat="false" ht="15.75" hidden="false" customHeight="true" outlineLevel="0" collapsed="false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</row>
    <row r="570" customFormat="false" ht="15.75" hidden="false" customHeight="true" outlineLevel="0" collapsed="false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</row>
    <row r="571" customFormat="false" ht="15.75" hidden="false" customHeight="true" outlineLevel="0" collapsed="false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</row>
    <row r="572" customFormat="false" ht="15.75" hidden="false" customHeight="true" outlineLevel="0" collapsed="false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</row>
    <row r="573" customFormat="false" ht="15.75" hidden="false" customHeight="true" outlineLevel="0" collapsed="false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</row>
    <row r="574" customFormat="false" ht="15.75" hidden="false" customHeight="true" outlineLevel="0" collapsed="false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</row>
    <row r="575" customFormat="false" ht="15.75" hidden="false" customHeight="true" outlineLevel="0" collapsed="false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</row>
    <row r="576" customFormat="false" ht="15.75" hidden="false" customHeight="true" outlineLevel="0" collapsed="false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</row>
    <row r="577" customFormat="false" ht="15.75" hidden="false" customHeight="true" outlineLevel="0" collapsed="false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</row>
    <row r="578" customFormat="false" ht="15.75" hidden="false" customHeight="true" outlineLevel="0" collapsed="false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</row>
    <row r="579" customFormat="false" ht="15.75" hidden="false" customHeight="true" outlineLevel="0" collapsed="false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</row>
    <row r="580" customFormat="false" ht="15.75" hidden="false" customHeight="true" outlineLevel="0" collapsed="false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</row>
    <row r="581" customFormat="false" ht="15.75" hidden="false" customHeight="true" outlineLevel="0" collapsed="false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</row>
    <row r="582" customFormat="false" ht="15.75" hidden="false" customHeight="true" outlineLevel="0" collapsed="false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</row>
    <row r="583" customFormat="false" ht="15.75" hidden="false" customHeight="true" outlineLevel="0" collapsed="false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</row>
    <row r="584" customFormat="false" ht="15.75" hidden="false" customHeight="true" outlineLevel="0" collapsed="false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</row>
    <row r="585" customFormat="false" ht="15.75" hidden="false" customHeight="true" outlineLevel="0" collapsed="false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</row>
    <row r="586" customFormat="false" ht="15.75" hidden="false" customHeight="true" outlineLevel="0" collapsed="false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</row>
    <row r="587" customFormat="false" ht="15.75" hidden="false" customHeight="true" outlineLevel="0" collapsed="false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</row>
    <row r="588" customFormat="false" ht="15.75" hidden="false" customHeight="true" outlineLevel="0" collapsed="false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</row>
    <row r="589" customFormat="false" ht="15.75" hidden="false" customHeight="true" outlineLevel="0" collapsed="false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</row>
    <row r="590" customFormat="false" ht="15.75" hidden="false" customHeight="true" outlineLevel="0" collapsed="false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</row>
    <row r="591" customFormat="false" ht="15.75" hidden="false" customHeight="true" outlineLevel="0" collapsed="false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</row>
    <row r="592" customFormat="false" ht="15.75" hidden="false" customHeight="true" outlineLevel="0" collapsed="false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</row>
    <row r="593" customFormat="false" ht="15.75" hidden="false" customHeight="true" outlineLevel="0" collapsed="false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</row>
    <row r="594" customFormat="false" ht="15.75" hidden="false" customHeight="true" outlineLevel="0" collapsed="false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</row>
    <row r="595" customFormat="false" ht="15.75" hidden="false" customHeight="true" outlineLevel="0" collapsed="false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</row>
    <row r="596" customFormat="false" ht="15.75" hidden="false" customHeight="true" outlineLevel="0" collapsed="false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</row>
    <row r="597" customFormat="false" ht="15.75" hidden="false" customHeight="true" outlineLevel="0" collapsed="false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</row>
    <row r="598" customFormat="false" ht="15.75" hidden="false" customHeight="true" outlineLevel="0" collapsed="false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</row>
    <row r="599" customFormat="false" ht="15.75" hidden="false" customHeight="true" outlineLevel="0" collapsed="false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</row>
    <row r="600" customFormat="false" ht="15.75" hidden="false" customHeight="true" outlineLevel="0" collapsed="false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</row>
    <row r="601" customFormat="false" ht="15.75" hidden="false" customHeight="true" outlineLevel="0" collapsed="false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</row>
    <row r="602" customFormat="false" ht="15.75" hidden="false" customHeight="true" outlineLevel="0" collapsed="false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</row>
    <row r="603" customFormat="false" ht="15.75" hidden="false" customHeight="true" outlineLevel="0" collapsed="false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</row>
    <row r="604" customFormat="false" ht="15.75" hidden="false" customHeight="true" outlineLevel="0" collapsed="false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</row>
    <row r="605" customFormat="false" ht="15.75" hidden="false" customHeight="true" outlineLevel="0" collapsed="false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</row>
    <row r="606" customFormat="false" ht="15.75" hidden="false" customHeight="true" outlineLevel="0" collapsed="false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</row>
    <row r="607" customFormat="false" ht="15.75" hidden="false" customHeight="true" outlineLevel="0" collapsed="false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</row>
    <row r="608" customFormat="false" ht="15.75" hidden="false" customHeight="true" outlineLevel="0" collapsed="false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</row>
    <row r="609" customFormat="false" ht="15.75" hidden="false" customHeight="true" outlineLevel="0" collapsed="false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</row>
    <row r="610" customFormat="false" ht="15.75" hidden="false" customHeight="true" outlineLevel="0" collapsed="false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</row>
    <row r="611" customFormat="false" ht="15.75" hidden="false" customHeight="true" outlineLevel="0" collapsed="false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</row>
    <row r="612" customFormat="false" ht="15.75" hidden="false" customHeight="true" outlineLevel="0" collapsed="false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</row>
    <row r="613" customFormat="false" ht="15.75" hidden="false" customHeight="true" outlineLevel="0" collapsed="false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</row>
    <row r="614" customFormat="false" ht="15.75" hidden="false" customHeight="true" outlineLevel="0" collapsed="false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</row>
    <row r="615" customFormat="false" ht="15.75" hidden="false" customHeight="true" outlineLevel="0" collapsed="false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</row>
    <row r="616" customFormat="false" ht="15.75" hidden="false" customHeight="true" outlineLevel="0" collapsed="false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</row>
    <row r="617" customFormat="false" ht="15.75" hidden="false" customHeight="true" outlineLevel="0" collapsed="false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</row>
    <row r="618" customFormat="false" ht="15.75" hidden="false" customHeight="true" outlineLevel="0" collapsed="false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</row>
    <row r="619" customFormat="false" ht="15.75" hidden="false" customHeight="true" outlineLevel="0" collapsed="false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</row>
    <row r="620" customFormat="false" ht="15.75" hidden="false" customHeight="true" outlineLevel="0" collapsed="false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</row>
    <row r="621" customFormat="false" ht="15.75" hidden="false" customHeight="true" outlineLevel="0" collapsed="false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</row>
    <row r="622" customFormat="false" ht="15.75" hidden="false" customHeight="true" outlineLevel="0" collapsed="false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</row>
    <row r="623" customFormat="false" ht="15.75" hidden="false" customHeight="true" outlineLevel="0" collapsed="false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</row>
    <row r="624" customFormat="false" ht="15.75" hidden="false" customHeight="true" outlineLevel="0" collapsed="false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</row>
    <row r="625" customFormat="false" ht="15.75" hidden="false" customHeight="true" outlineLevel="0" collapsed="false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</row>
    <row r="626" customFormat="false" ht="15.75" hidden="false" customHeight="true" outlineLevel="0" collapsed="false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</row>
    <row r="627" customFormat="false" ht="15.75" hidden="false" customHeight="true" outlineLevel="0" collapsed="false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</row>
    <row r="628" customFormat="false" ht="15.75" hidden="false" customHeight="true" outlineLevel="0" collapsed="false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</row>
    <row r="629" customFormat="false" ht="15.75" hidden="false" customHeight="true" outlineLevel="0" collapsed="false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</row>
    <row r="630" customFormat="false" ht="15.75" hidden="false" customHeight="true" outlineLevel="0" collapsed="false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</row>
    <row r="631" customFormat="false" ht="15.75" hidden="false" customHeight="true" outlineLevel="0" collapsed="false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</row>
    <row r="632" customFormat="false" ht="15.75" hidden="false" customHeight="true" outlineLevel="0" collapsed="false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</row>
    <row r="633" customFormat="false" ht="15.75" hidden="false" customHeight="true" outlineLevel="0" collapsed="false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</row>
    <row r="634" customFormat="false" ht="15.75" hidden="false" customHeight="true" outlineLevel="0" collapsed="false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</row>
    <row r="635" customFormat="false" ht="15.75" hidden="false" customHeight="true" outlineLevel="0" collapsed="false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</row>
    <row r="636" customFormat="false" ht="15.75" hidden="false" customHeight="true" outlineLevel="0" collapsed="false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</row>
    <row r="637" customFormat="false" ht="15.75" hidden="false" customHeight="true" outlineLevel="0" collapsed="false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</row>
    <row r="638" customFormat="false" ht="15.75" hidden="false" customHeight="true" outlineLevel="0" collapsed="false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</row>
    <row r="639" customFormat="false" ht="15.75" hidden="false" customHeight="true" outlineLevel="0" collapsed="false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</row>
    <row r="640" customFormat="false" ht="15.75" hidden="false" customHeight="true" outlineLevel="0" collapsed="false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</row>
    <row r="641" customFormat="false" ht="15.75" hidden="false" customHeight="true" outlineLevel="0" collapsed="false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</row>
    <row r="642" customFormat="false" ht="15.75" hidden="false" customHeight="true" outlineLevel="0" collapsed="false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</row>
    <row r="643" customFormat="false" ht="15.75" hidden="false" customHeight="true" outlineLevel="0" collapsed="false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</row>
    <row r="644" customFormat="false" ht="15.75" hidden="false" customHeight="true" outlineLevel="0" collapsed="false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</row>
    <row r="645" customFormat="false" ht="15.75" hidden="false" customHeight="true" outlineLevel="0" collapsed="false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</row>
    <row r="646" customFormat="false" ht="15.75" hidden="false" customHeight="true" outlineLevel="0" collapsed="false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</row>
    <row r="647" customFormat="false" ht="15.75" hidden="false" customHeight="true" outlineLevel="0" collapsed="false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</row>
    <row r="648" customFormat="false" ht="15.75" hidden="false" customHeight="true" outlineLevel="0" collapsed="false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</row>
    <row r="649" customFormat="false" ht="15.75" hidden="false" customHeight="true" outlineLevel="0" collapsed="false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</row>
    <row r="650" customFormat="false" ht="15.75" hidden="false" customHeight="true" outlineLevel="0" collapsed="false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</row>
    <row r="651" customFormat="false" ht="15.75" hidden="false" customHeight="true" outlineLevel="0" collapsed="false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</row>
    <row r="652" customFormat="false" ht="15.75" hidden="false" customHeight="true" outlineLevel="0" collapsed="false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</row>
    <row r="653" customFormat="false" ht="15.75" hidden="false" customHeight="true" outlineLevel="0" collapsed="false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</row>
    <row r="654" customFormat="false" ht="15.75" hidden="false" customHeight="true" outlineLevel="0" collapsed="false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</row>
    <row r="655" customFormat="false" ht="15.75" hidden="false" customHeight="true" outlineLevel="0" collapsed="false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</row>
    <row r="656" customFormat="false" ht="15.75" hidden="false" customHeight="true" outlineLevel="0" collapsed="false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</row>
    <row r="657" customFormat="false" ht="15.75" hidden="false" customHeight="true" outlineLevel="0" collapsed="false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</row>
    <row r="658" customFormat="false" ht="15.75" hidden="false" customHeight="true" outlineLevel="0" collapsed="false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</row>
    <row r="659" customFormat="false" ht="15.75" hidden="false" customHeight="true" outlineLevel="0" collapsed="false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</row>
    <row r="660" customFormat="false" ht="15.75" hidden="false" customHeight="true" outlineLevel="0" collapsed="false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</row>
    <row r="661" customFormat="false" ht="15.75" hidden="false" customHeight="true" outlineLevel="0" collapsed="false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</row>
    <row r="662" customFormat="false" ht="15.75" hidden="false" customHeight="true" outlineLevel="0" collapsed="false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</row>
    <row r="663" customFormat="false" ht="15.75" hidden="false" customHeight="true" outlineLevel="0" collapsed="false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</row>
    <row r="664" customFormat="false" ht="15.75" hidden="false" customHeight="true" outlineLevel="0" collapsed="false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</row>
    <row r="665" customFormat="false" ht="15.75" hidden="false" customHeight="true" outlineLevel="0" collapsed="false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</row>
    <row r="666" customFormat="false" ht="15.75" hidden="false" customHeight="true" outlineLevel="0" collapsed="false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</row>
    <row r="667" customFormat="false" ht="15.75" hidden="false" customHeight="true" outlineLevel="0" collapsed="false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</row>
    <row r="668" customFormat="false" ht="15.75" hidden="false" customHeight="true" outlineLevel="0" collapsed="false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</row>
    <row r="669" customFormat="false" ht="15.75" hidden="false" customHeight="true" outlineLevel="0" collapsed="false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</row>
    <row r="670" customFormat="false" ht="15.75" hidden="false" customHeight="true" outlineLevel="0" collapsed="false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</row>
    <row r="671" customFormat="false" ht="15.75" hidden="false" customHeight="true" outlineLevel="0" collapsed="false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</row>
    <row r="672" customFormat="false" ht="15.75" hidden="false" customHeight="true" outlineLevel="0" collapsed="false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</row>
    <row r="673" customFormat="false" ht="15.75" hidden="false" customHeight="true" outlineLevel="0" collapsed="false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</row>
    <row r="674" customFormat="false" ht="15.75" hidden="false" customHeight="true" outlineLevel="0" collapsed="false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</row>
    <row r="675" customFormat="false" ht="15.75" hidden="false" customHeight="true" outlineLevel="0" collapsed="false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</row>
    <row r="676" customFormat="false" ht="15.75" hidden="false" customHeight="true" outlineLevel="0" collapsed="false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</row>
    <row r="677" customFormat="false" ht="15.75" hidden="false" customHeight="true" outlineLevel="0" collapsed="false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</row>
    <row r="678" customFormat="false" ht="15.75" hidden="false" customHeight="true" outlineLevel="0" collapsed="false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</row>
    <row r="679" customFormat="false" ht="15.75" hidden="false" customHeight="true" outlineLevel="0" collapsed="false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</row>
    <row r="680" customFormat="false" ht="15.75" hidden="false" customHeight="true" outlineLevel="0" collapsed="false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</row>
    <row r="681" customFormat="false" ht="15.75" hidden="false" customHeight="true" outlineLevel="0" collapsed="false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</row>
    <row r="682" customFormat="false" ht="15.75" hidden="false" customHeight="true" outlineLevel="0" collapsed="false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</row>
    <row r="683" customFormat="false" ht="15.75" hidden="false" customHeight="true" outlineLevel="0" collapsed="false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</row>
    <row r="684" customFormat="false" ht="15.75" hidden="false" customHeight="true" outlineLevel="0" collapsed="false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</row>
    <row r="685" customFormat="false" ht="15.75" hidden="false" customHeight="true" outlineLevel="0" collapsed="false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</row>
    <row r="686" customFormat="false" ht="15.75" hidden="false" customHeight="true" outlineLevel="0" collapsed="false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</row>
    <row r="687" customFormat="false" ht="15.75" hidden="false" customHeight="true" outlineLevel="0" collapsed="false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</row>
    <row r="688" customFormat="false" ht="15.75" hidden="false" customHeight="true" outlineLevel="0" collapsed="false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</row>
    <row r="689" customFormat="false" ht="15.75" hidden="false" customHeight="true" outlineLevel="0" collapsed="false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</row>
    <row r="690" customFormat="false" ht="15.75" hidden="false" customHeight="true" outlineLevel="0" collapsed="false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</row>
    <row r="691" customFormat="false" ht="15.75" hidden="false" customHeight="true" outlineLevel="0" collapsed="false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</row>
    <row r="692" customFormat="false" ht="15.75" hidden="false" customHeight="true" outlineLevel="0" collapsed="false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</row>
    <row r="693" customFormat="false" ht="15.75" hidden="false" customHeight="true" outlineLevel="0" collapsed="false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</row>
    <row r="694" customFormat="false" ht="15.75" hidden="false" customHeight="true" outlineLevel="0" collapsed="false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</row>
    <row r="695" customFormat="false" ht="15.75" hidden="false" customHeight="true" outlineLevel="0" collapsed="false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</row>
    <row r="696" customFormat="false" ht="15.75" hidden="false" customHeight="true" outlineLevel="0" collapsed="false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</row>
    <row r="697" customFormat="false" ht="15.75" hidden="false" customHeight="true" outlineLevel="0" collapsed="false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</row>
    <row r="698" customFormat="false" ht="15.75" hidden="false" customHeight="true" outlineLevel="0" collapsed="false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</row>
    <row r="699" customFormat="false" ht="15.75" hidden="false" customHeight="true" outlineLevel="0" collapsed="false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</row>
    <row r="700" customFormat="false" ht="15.75" hidden="false" customHeight="true" outlineLevel="0" collapsed="false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</row>
    <row r="701" customFormat="false" ht="15.75" hidden="false" customHeight="true" outlineLevel="0" collapsed="false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</row>
    <row r="702" customFormat="false" ht="15.75" hidden="false" customHeight="true" outlineLevel="0" collapsed="false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</row>
    <row r="703" customFormat="false" ht="15.75" hidden="false" customHeight="true" outlineLevel="0" collapsed="false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</row>
    <row r="704" customFormat="false" ht="15.75" hidden="false" customHeight="true" outlineLevel="0" collapsed="false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</row>
    <row r="705" customFormat="false" ht="15.75" hidden="false" customHeight="true" outlineLevel="0" collapsed="false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</row>
    <row r="706" customFormat="false" ht="15.75" hidden="false" customHeight="true" outlineLevel="0" collapsed="false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</row>
    <row r="707" customFormat="false" ht="15.75" hidden="false" customHeight="true" outlineLevel="0" collapsed="false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</row>
    <row r="708" customFormat="false" ht="15.75" hidden="false" customHeight="true" outlineLevel="0" collapsed="false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</row>
    <row r="709" customFormat="false" ht="15.75" hidden="false" customHeight="true" outlineLevel="0" collapsed="false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</row>
    <row r="710" customFormat="false" ht="15.75" hidden="false" customHeight="true" outlineLevel="0" collapsed="false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</row>
    <row r="711" customFormat="false" ht="15.75" hidden="false" customHeight="true" outlineLevel="0" collapsed="false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</row>
    <row r="712" customFormat="false" ht="15.75" hidden="false" customHeight="true" outlineLevel="0" collapsed="false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</row>
    <row r="713" customFormat="false" ht="15.75" hidden="false" customHeight="true" outlineLevel="0" collapsed="false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</row>
    <row r="714" customFormat="false" ht="15.75" hidden="false" customHeight="true" outlineLevel="0" collapsed="false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</row>
    <row r="715" customFormat="false" ht="15.75" hidden="false" customHeight="true" outlineLevel="0" collapsed="false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</row>
    <row r="716" customFormat="false" ht="15.75" hidden="false" customHeight="true" outlineLevel="0" collapsed="false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</row>
    <row r="717" customFormat="false" ht="15.75" hidden="false" customHeight="true" outlineLevel="0" collapsed="false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</row>
    <row r="718" customFormat="false" ht="15.75" hidden="false" customHeight="true" outlineLevel="0" collapsed="false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</row>
    <row r="719" customFormat="false" ht="15.75" hidden="false" customHeight="true" outlineLevel="0" collapsed="false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</row>
    <row r="720" customFormat="false" ht="15.75" hidden="false" customHeight="true" outlineLevel="0" collapsed="false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</row>
    <row r="721" customFormat="false" ht="15.75" hidden="false" customHeight="true" outlineLevel="0" collapsed="false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</row>
    <row r="722" customFormat="false" ht="15.75" hidden="false" customHeight="true" outlineLevel="0" collapsed="false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</row>
    <row r="723" customFormat="false" ht="15.75" hidden="false" customHeight="true" outlineLevel="0" collapsed="false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</row>
    <row r="724" customFormat="false" ht="15.75" hidden="false" customHeight="true" outlineLevel="0" collapsed="false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</row>
    <row r="725" customFormat="false" ht="15.75" hidden="false" customHeight="true" outlineLevel="0" collapsed="false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</row>
    <row r="726" customFormat="false" ht="15.75" hidden="false" customHeight="true" outlineLevel="0" collapsed="false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</row>
    <row r="727" customFormat="false" ht="15.75" hidden="false" customHeight="true" outlineLevel="0" collapsed="false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</row>
    <row r="728" customFormat="false" ht="15.75" hidden="false" customHeight="true" outlineLevel="0" collapsed="false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</row>
    <row r="729" customFormat="false" ht="15.75" hidden="false" customHeight="true" outlineLevel="0" collapsed="false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</row>
    <row r="730" customFormat="false" ht="15.75" hidden="false" customHeight="true" outlineLevel="0" collapsed="false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</row>
    <row r="731" customFormat="false" ht="15.75" hidden="false" customHeight="true" outlineLevel="0" collapsed="false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</row>
    <row r="732" customFormat="false" ht="15.75" hidden="false" customHeight="true" outlineLevel="0" collapsed="false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</row>
    <row r="733" customFormat="false" ht="15.75" hidden="false" customHeight="true" outlineLevel="0" collapsed="false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</row>
    <row r="734" customFormat="false" ht="15.75" hidden="false" customHeight="true" outlineLevel="0" collapsed="false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</row>
    <row r="735" customFormat="false" ht="15.75" hidden="false" customHeight="true" outlineLevel="0" collapsed="false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</row>
    <row r="736" customFormat="false" ht="15.75" hidden="false" customHeight="true" outlineLevel="0" collapsed="false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</row>
    <row r="737" customFormat="false" ht="15.75" hidden="false" customHeight="true" outlineLevel="0" collapsed="false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</row>
    <row r="738" customFormat="false" ht="15.75" hidden="false" customHeight="true" outlineLevel="0" collapsed="false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</row>
    <row r="739" customFormat="false" ht="15.75" hidden="false" customHeight="true" outlineLevel="0" collapsed="false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</row>
    <row r="740" customFormat="false" ht="15.75" hidden="false" customHeight="true" outlineLevel="0" collapsed="false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</row>
    <row r="741" customFormat="false" ht="15.75" hidden="false" customHeight="true" outlineLevel="0" collapsed="false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</row>
    <row r="742" customFormat="false" ht="15.75" hidden="false" customHeight="true" outlineLevel="0" collapsed="false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</row>
    <row r="743" customFormat="false" ht="15.75" hidden="false" customHeight="true" outlineLevel="0" collapsed="false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</row>
    <row r="744" customFormat="false" ht="15.75" hidden="false" customHeight="true" outlineLevel="0" collapsed="false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</row>
    <row r="745" customFormat="false" ht="15.75" hidden="false" customHeight="true" outlineLevel="0" collapsed="false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</row>
    <row r="746" customFormat="false" ht="15.75" hidden="false" customHeight="true" outlineLevel="0" collapsed="false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</row>
    <row r="747" customFormat="false" ht="15.75" hidden="false" customHeight="true" outlineLevel="0" collapsed="false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</row>
    <row r="748" customFormat="false" ht="15.75" hidden="false" customHeight="true" outlineLevel="0" collapsed="false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</row>
    <row r="749" customFormat="false" ht="15.75" hidden="false" customHeight="true" outlineLevel="0" collapsed="false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</row>
    <row r="750" customFormat="false" ht="15.75" hidden="false" customHeight="true" outlineLevel="0" collapsed="false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</row>
    <row r="751" customFormat="false" ht="15.75" hidden="false" customHeight="true" outlineLevel="0" collapsed="false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</row>
    <row r="752" customFormat="false" ht="15.75" hidden="false" customHeight="true" outlineLevel="0" collapsed="false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</row>
    <row r="753" customFormat="false" ht="15.75" hidden="false" customHeight="true" outlineLevel="0" collapsed="false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</row>
    <row r="754" customFormat="false" ht="15.75" hidden="false" customHeight="true" outlineLevel="0" collapsed="false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</row>
    <row r="755" customFormat="false" ht="15.75" hidden="false" customHeight="true" outlineLevel="0" collapsed="false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</row>
    <row r="756" customFormat="false" ht="15.75" hidden="false" customHeight="true" outlineLevel="0" collapsed="false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</row>
    <row r="757" customFormat="false" ht="15.75" hidden="false" customHeight="true" outlineLevel="0" collapsed="false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</row>
    <row r="758" customFormat="false" ht="15.75" hidden="false" customHeight="true" outlineLevel="0" collapsed="false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</row>
    <row r="759" customFormat="false" ht="15.75" hidden="false" customHeight="true" outlineLevel="0" collapsed="false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</row>
    <row r="760" customFormat="false" ht="15.75" hidden="false" customHeight="true" outlineLevel="0" collapsed="false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</row>
    <row r="761" customFormat="false" ht="15.75" hidden="false" customHeight="true" outlineLevel="0" collapsed="false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</row>
    <row r="762" customFormat="false" ht="15.75" hidden="false" customHeight="true" outlineLevel="0" collapsed="false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</row>
    <row r="763" customFormat="false" ht="15.75" hidden="false" customHeight="true" outlineLevel="0" collapsed="false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</row>
    <row r="764" customFormat="false" ht="15.75" hidden="false" customHeight="true" outlineLevel="0" collapsed="false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</row>
    <row r="765" customFormat="false" ht="15.75" hidden="false" customHeight="true" outlineLevel="0" collapsed="false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</row>
    <row r="766" customFormat="false" ht="15.75" hidden="false" customHeight="true" outlineLevel="0" collapsed="false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</row>
    <row r="767" customFormat="false" ht="15.75" hidden="false" customHeight="true" outlineLevel="0" collapsed="false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</row>
    <row r="768" customFormat="false" ht="15.75" hidden="false" customHeight="true" outlineLevel="0" collapsed="false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</row>
    <row r="769" customFormat="false" ht="15.75" hidden="false" customHeight="true" outlineLevel="0" collapsed="false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</row>
    <row r="770" customFormat="false" ht="15.75" hidden="false" customHeight="true" outlineLevel="0" collapsed="false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</row>
    <row r="771" customFormat="false" ht="15.75" hidden="false" customHeight="true" outlineLevel="0" collapsed="false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</row>
    <row r="772" customFormat="false" ht="15.75" hidden="false" customHeight="true" outlineLevel="0" collapsed="false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</row>
    <row r="773" customFormat="false" ht="15.75" hidden="false" customHeight="true" outlineLevel="0" collapsed="false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</row>
    <row r="774" customFormat="false" ht="15.75" hidden="false" customHeight="true" outlineLevel="0" collapsed="false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</row>
    <row r="775" customFormat="false" ht="15.75" hidden="false" customHeight="true" outlineLevel="0" collapsed="false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</row>
    <row r="776" customFormat="false" ht="15.75" hidden="false" customHeight="true" outlineLevel="0" collapsed="false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</row>
    <row r="777" customFormat="false" ht="15.75" hidden="false" customHeight="true" outlineLevel="0" collapsed="false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</row>
    <row r="778" customFormat="false" ht="15.75" hidden="false" customHeight="true" outlineLevel="0" collapsed="false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</row>
    <row r="779" customFormat="false" ht="15.75" hidden="false" customHeight="true" outlineLevel="0" collapsed="false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</row>
    <row r="780" customFormat="false" ht="15.75" hidden="false" customHeight="true" outlineLevel="0" collapsed="false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</row>
    <row r="781" customFormat="false" ht="15.75" hidden="false" customHeight="true" outlineLevel="0" collapsed="false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</row>
    <row r="782" customFormat="false" ht="15.75" hidden="false" customHeight="true" outlineLevel="0" collapsed="false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</row>
    <row r="783" customFormat="false" ht="15.75" hidden="false" customHeight="true" outlineLevel="0" collapsed="false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</row>
    <row r="784" customFormat="false" ht="15.75" hidden="false" customHeight="true" outlineLevel="0" collapsed="false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</row>
    <row r="785" customFormat="false" ht="15.75" hidden="false" customHeight="true" outlineLevel="0" collapsed="false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</row>
    <row r="786" customFormat="false" ht="15.75" hidden="false" customHeight="true" outlineLevel="0" collapsed="false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</row>
    <row r="787" customFormat="false" ht="15.75" hidden="false" customHeight="true" outlineLevel="0" collapsed="false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</row>
    <row r="788" customFormat="false" ht="15.75" hidden="false" customHeight="true" outlineLevel="0" collapsed="false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</row>
    <row r="789" customFormat="false" ht="15.75" hidden="false" customHeight="true" outlineLevel="0" collapsed="false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</row>
    <row r="790" customFormat="false" ht="15.75" hidden="false" customHeight="true" outlineLevel="0" collapsed="false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</row>
    <row r="791" customFormat="false" ht="15.75" hidden="false" customHeight="true" outlineLevel="0" collapsed="false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</row>
    <row r="792" customFormat="false" ht="15.75" hidden="false" customHeight="true" outlineLevel="0" collapsed="false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</row>
    <row r="793" customFormat="false" ht="15.75" hidden="false" customHeight="true" outlineLevel="0" collapsed="false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</row>
    <row r="794" customFormat="false" ht="15.75" hidden="false" customHeight="true" outlineLevel="0" collapsed="false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</row>
    <row r="795" customFormat="false" ht="15.75" hidden="false" customHeight="true" outlineLevel="0" collapsed="false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</row>
    <row r="796" customFormat="false" ht="15.75" hidden="false" customHeight="true" outlineLevel="0" collapsed="false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</row>
    <row r="797" customFormat="false" ht="15.75" hidden="false" customHeight="true" outlineLevel="0" collapsed="false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</row>
    <row r="798" customFormat="false" ht="15.75" hidden="false" customHeight="true" outlineLevel="0" collapsed="false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</row>
    <row r="799" customFormat="false" ht="15.75" hidden="false" customHeight="true" outlineLevel="0" collapsed="false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</row>
    <row r="800" customFormat="false" ht="15.75" hidden="false" customHeight="true" outlineLevel="0" collapsed="false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</row>
    <row r="801" customFormat="false" ht="15.75" hidden="false" customHeight="true" outlineLevel="0" collapsed="false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</row>
    <row r="802" customFormat="false" ht="15.75" hidden="false" customHeight="true" outlineLevel="0" collapsed="false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</row>
    <row r="803" customFormat="false" ht="15.75" hidden="false" customHeight="true" outlineLevel="0" collapsed="false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</row>
    <row r="804" customFormat="false" ht="15.75" hidden="false" customHeight="true" outlineLevel="0" collapsed="false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</row>
    <row r="805" customFormat="false" ht="15.75" hidden="false" customHeight="true" outlineLevel="0" collapsed="false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</row>
    <row r="806" customFormat="false" ht="15.75" hidden="false" customHeight="true" outlineLevel="0" collapsed="false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</row>
    <row r="807" customFormat="false" ht="15.75" hidden="false" customHeight="true" outlineLevel="0" collapsed="false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</row>
    <row r="808" customFormat="false" ht="15.75" hidden="false" customHeight="true" outlineLevel="0" collapsed="false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</row>
    <row r="809" customFormat="false" ht="15.75" hidden="false" customHeight="true" outlineLevel="0" collapsed="false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</row>
    <row r="810" customFormat="false" ht="15.75" hidden="false" customHeight="true" outlineLevel="0" collapsed="false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</row>
    <row r="811" customFormat="false" ht="15.75" hidden="false" customHeight="true" outlineLevel="0" collapsed="false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</row>
    <row r="812" customFormat="false" ht="15.75" hidden="false" customHeight="true" outlineLevel="0" collapsed="false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</row>
    <row r="813" customFormat="false" ht="15.75" hidden="false" customHeight="true" outlineLevel="0" collapsed="false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</row>
    <row r="814" customFormat="false" ht="15.75" hidden="false" customHeight="true" outlineLevel="0" collapsed="false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</row>
    <row r="815" customFormat="false" ht="15.75" hidden="false" customHeight="true" outlineLevel="0" collapsed="false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</row>
    <row r="816" customFormat="false" ht="15.75" hidden="false" customHeight="true" outlineLevel="0" collapsed="false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</row>
    <row r="817" customFormat="false" ht="15.75" hidden="false" customHeight="true" outlineLevel="0" collapsed="false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</row>
    <row r="818" customFormat="false" ht="15.75" hidden="false" customHeight="true" outlineLevel="0" collapsed="false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</row>
    <row r="819" customFormat="false" ht="15.75" hidden="false" customHeight="true" outlineLevel="0" collapsed="false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</row>
    <row r="820" customFormat="false" ht="15.75" hidden="false" customHeight="true" outlineLevel="0" collapsed="false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</row>
    <row r="821" customFormat="false" ht="15.75" hidden="false" customHeight="true" outlineLevel="0" collapsed="false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</row>
    <row r="822" customFormat="false" ht="15.75" hidden="false" customHeight="true" outlineLevel="0" collapsed="false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</row>
    <row r="823" customFormat="false" ht="15.75" hidden="false" customHeight="true" outlineLevel="0" collapsed="false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</row>
    <row r="824" customFormat="false" ht="15.75" hidden="false" customHeight="true" outlineLevel="0" collapsed="false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</row>
    <row r="825" customFormat="false" ht="15.75" hidden="false" customHeight="true" outlineLevel="0" collapsed="false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</row>
    <row r="826" customFormat="false" ht="15.75" hidden="false" customHeight="true" outlineLevel="0" collapsed="false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</row>
    <row r="827" customFormat="false" ht="15.75" hidden="false" customHeight="true" outlineLevel="0" collapsed="false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</row>
    <row r="828" customFormat="false" ht="15.75" hidden="false" customHeight="true" outlineLevel="0" collapsed="false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</row>
    <row r="829" customFormat="false" ht="15.75" hidden="false" customHeight="true" outlineLevel="0" collapsed="false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</row>
    <row r="830" customFormat="false" ht="15.75" hidden="false" customHeight="true" outlineLevel="0" collapsed="false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</row>
    <row r="831" customFormat="false" ht="15.75" hidden="false" customHeight="true" outlineLevel="0" collapsed="false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</row>
    <row r="832" customFormat="false" ht="15.75" hidden="false" customHeight="true" outlineLevel="0" collapsed="false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</row>
    <row r="833" customFormat="false" ht="15.75" hidden="false" customHeight="true" outlineLevel="0" collapsed="false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</row>
    <row r="834" customFormat="false" ht="15.75" hidden="false" customHeight="true" outlineLevel="0" collapsed="false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</row>
    <row r="835" customFormat="false" ht="15.75" hidden="false" customHeight="true" outlineLevel="0" collapsed="false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</row>
    <row r="836" customFormat="false" ht="15.75" hidden="false" customHeight="true" outlineLevel="0" collapsed="false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</row>
    <row r="837" customFormat="false" ht="15.75" hidden="false" customHeight="true" outlineLevel="0" collapsed="false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</row>
    <row r="838" customFormat="false" ht="15.75" hidden="false" customHeight="true" outlineLevel="0" collapsed="false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</row>
    <row r="839" customFormat="false" ht="15.75" hidden="false" customHeight="true" outlineLevel="0" collapsed="false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</row>
    <row r="840" customFormat="false" ht="15.75" hidden="false" customHeight="true" outlineLevel="0" collapsed="false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</row>
    <row r="841" customFormat="false" ht="15.75" hidden="false" customHeight="true" outlineLevel="0" collapsed="false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</row>
    <row r="842" customFormat="false" ht="15.75" hidden="false" customHeight="true" outlineLevel="0" collapsed="false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</row>
    <row r="843" customFormat="false" ht="15.75" hidden="false" customHeight="true" outlineLevel="0" collapsed="false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</row>
    <row r="844" customFormat="false" ht="15.75" hidden="false" customHeight="true" outlineLevel="0" collapsed="false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</row>
    <row r="845" customFormat="false" ht="15.75" hidden="false" customHeight="true" outlineLevel="0" collapsed="false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</row>
    <row r="846" customFormat="false" ht="15.75" hidden="false" customHeight="true" outlineLevel="0" collapsed="false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</row>
    <row r="847" customFormat="false" ht="15.75" hidden="false" customHeight="true" outlineLevel="0" collapsed="false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</row>
    <row r="848" customFormat="false" ht="15.75" hidden="false" customHeight="true" outlineLevel="0" collapsed="false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</row>
    <row r="849" customFormat="false" ht="15.75" hidden="false" customHeight="true" outlineLevel="0" collapsed="false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</row>
    <row r="850" customFormat="false" ht="15.75" hidden="false" customHeight="true" outlineLevel="0" collapsed="false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</row>
    <row r="851" customFormat="false" ht="15.75" hidden="false" customHeight="true" outlineLevel="0" collapsed="false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</row>
    <row r="852" customFormat="false" ht="15.75" hidden="false" customHeight="true" outlineLevel="0" collapsed="false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</row>
    <row r="853" customFormat="false" ht="15.75" hidden="false" customHeight="true" outlineLevel="0" collapsed="false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</row>
    <row r="854" customFormat="false" ht="15.75" hidden="false" customHeight="true" outlineLevel="0" collapsed="false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</row>
    <row r="855" customFormat="false" ht="15.75" hidden="false" customHeight="true" outlineLevel="0" collapsed="false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</row>
    <row r="856" customFormat="false" ht="15.75" hidden="false" customHeight="true" outlineLevel="0" collapsed="false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</row>
    <row r="857" customFormat="false" ht="15.75" hidden="false" customHeight="true" outlineLevel="0" collapsed="false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</row>
    <row r="858" customFormat="false" ht="15.75" hidden="false" customHeight="true" outlineLevel="0" collapsed="false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</row>
    <row r="859" customFormat="false" ht="15.75" hidden="false" customHeight="true" outlineLevel="0" collapsed="false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</row>
    <row r="860" customFormat="false" ht="15.75" hidden="false" customHeight="true" outlineLevel="0" collapsed="false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</row>
    <row r="861" customFormat="false" ht="15.75" hidden="false" customHeight="true" outlineLevel="0" collapsed="false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</row>
    <row r="862" customFormat="false" ht="15.75" hidden="false" customHeight="true" outlineLevel="0" collapsed="false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</row>
    <row r="863" customFormat="false" ht="15.75" hidden="false" customHeight="true" outlineLevel="0" collapsed="false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</row>
    <row r="864" customFormat="false" ht="15.75" hidden="false" customHeight="true" outlineLevel="0" collapsed="false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</row>
    <row r="865" customFormat="false" ht="15.75" hidden="false" customHeight="true" outlineLevel="0" collapsed="false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</row>
    <row r="866" customFormat="false" ht="15.75" hidden="false" customHeight="true" outlineLevel="0" collapsed="false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</row>
    <row r="867" customFormat="false" ht="15.75" hidden="false" customHeight="true" outlineLevel="0" collapsed="false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</row>
    <row r="868" customFormat="false" ht="15.75" hidden="false" customHeight="true" outlineLevel="0" collapsed="false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</row>
    <row r="869" customFormat="false" ht="15.75" hidden="false" customHeight="true" outlineLevel="0" collapsed="false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</row>
    <row r="870" customFormat="false" ht="15.75" hidden="false" customHeight="true" outlineLevel="0" collapsed="false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</row>
    <row r="871" customFormat="false" ht="15.75" hidden="false" customHeight="true" outlineLevel="0" collapsed="false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</row>
    <row r="872" customFormat="false" ht="15.75" hidden="false" customHeight="true" outlineLevel="0" collapsed="false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</row>
    <row r="873" customFormat="false" ht="15.75" hidden="false" customHeight="true" outlineLevel="0" collapsed="false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</row>
    <row r="874" customFormat="false" ht="15.75" hidden="false" customHeight="true" outlineLevel="0" collapsed="false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</row>
    <row r="875" customFormat="false" ht="15.75" hidden="false" customHeight="true" outlineLevel="0" collapsed="false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</row>
    <row r="876" customFormat="false" ht="15.75" hidden="false" customHeight="true" outlineLevel="0" collapsed="false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</row>
    <row r="877" customFormat="false" ht="15.75" hidden="false" customHeight="true" outlineLevel="0" collapsed="false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</row>
    <row r="878" customFormat="false" ht="15.75" hidden="false" customHeight="true" outlineLevel="0" collapsed="false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</row>
    <row r="879" customFormat="false" ht="15.75" hidden="false" customHeight="true" outlineLevel="0" collapsed="false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</row>
    <row r="880" customFormat="false" ht="15.75" hidden="false" customHeight="true" outlineLevel="0" collapsed="false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</row>
    <row r="881" customFormat="false" ht="15.75" hidden="false" customHeight="true" outlineLevel="0" collapsed="false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</row>
    <row r="882" customFormat="false" ht="15.75" hidden="false" customHeight="true" outlineLevel="0" collapsed="false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</row>
    <row r="883" customFormat="false" ht="15.75" hidden="false" customHeight="true" outlineLevel="0" collapsed="false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</row>
    <row r="884" customFormat="false" ht="15.75" hidden="false" customHeight="true" outlineLevel="0" collapsed="false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</row>
    <row r="885" customFormat="false" ht="15.75" hidden="false" customHeight="true" outlineLevel="0" collapsed="false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</row>
    <row r="886" customFormat="false" ht="15.75" hidden="false" customHeight="true" outlineLevel="0" collapsed="false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</row>
    <row r="887" customFormat="false" ht="15.75" hidden="false" customHeight="true" outlineLevel="0" collapsed="false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</row>
    <row r="888" customFormat="false" ht="15.75" hidden="false" customHeight="true" outlineLevel="0" collapsed="false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</row>
    <row r="889" customFormat="false" ht="15.75" hidden="false" customHeight="true" outlineLevel="0" collapsed="false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</row>
    <row r="890" customFormat="false" ht="15.75" hidden="false" customHeight="true" outlineLevel="0" collapsed="false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</row>
    <row r="891" customFormat="false" ht="15.75" hidden="false" customHeight="true" outlineLevel="0" collapsed="false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</row>
    <row r="892" customFormat="false" ht="15.75" hidden="false" customHeight="true" outlineLevel="0" collapsed="false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</row>
    <row r="893" customFormat="false" ht="15.75" hidden="false" customHeight="true" outlineLevel="0" collapsed="false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</row>
    <row r="894" customFormat="false" ht="15.75" hidden="false" customHeight="true" outlineLevel="0" collapsed="false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</row>
    <row r="895" customFormat="false" ht="15.75" hidden="false" customHeight="true" outlineLevel="0" collapsed="false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</row>
    <row r="896" customFormat="false" ht="15.75" hidden="false" customHeight="true" outlineLevel="0" collapsed="false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</row>
    <row r="897" customFormat="false" ht="15.75" hidden="false" customHeight="true" outlineLevel="0" collapsed="false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</row>
    <row r="898" customFormat="false" ht="15.75" hidden="false" customHeight="true" outlineLevel="0" collapsed="false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</row>
    <row r="899" customFormat="false" ht="15.75" hidden="false" customHeight="true" outlineLevel="0" collapsed="false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</row>
    <row r="900" customFormat="false" ht="15.75" hidden="false" customHeight="true" outlineLevel="0" collapsed="false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</row>
    <row r="901" customFormat="false" ht="15.75" hidden="false" customHeight="true" outlineLevel="0" collapsed="false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</row>
    <row r="902" customFormat="false" ht="15.75" hidden="false" customHeight="true" outlineLevel="0" collapsed="false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</row>
    <row r="903" customFormat="false" ht="15.75" hidden="false" customHeight="true" outlineLevel="0" collapsed="false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</row>
    <row r="904" customFormat="false" ht="15.75" hidden="false" customHeight="true" outlineLevel="0" collapsed="false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</row>
    <row r="905" customFormat="false" ht="15.75" hidden="false" customHeight="true" outlineLevel="0" collapsed="false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</row>
    <row r="906" customFormat="false" ht="15.75" hidden="false" customHeight="true" outlineLevel="0" collapsed="false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</row>
    <row r="907" customFormat="false" ht="15.75" hidden="false" customHeight="true" outlineLevel="0" collapsed="false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</row>
    <row r="908" customFormat="false" ht="15.75" hidden="false" customHeight="true" outlineLevel="0" collapsed="false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</row>
    <row r="909" customFormat="false" ht="15.75" hidden="false" customHeight="true" outlineLevel="0" collapsed="false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</row>
    <row r="910" customFormat="false" ht="15.75" hidden="false" customHeight="true" outlineLevel="0" collapsed="false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</row>
    <row r="911" customFormat="false" ht="15.75" hidden="false" customHeight="true" outlineLevel="0" collapsed="false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</row>
    <row r="912" customFormat="false" ht="15.75" hidden="false" customHeight="true" outlineLevel="0" collapsed="false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</row>
    <row r="913" customFormat="false" ht="15.75" hidden="false" customHeight="true" outlineLevel="0" collapsed="false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</row>
    <row r="914" customFormat="false" ht="15.75" hidden="false" customHeight="true" outlineLevel="0" collapsed="false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</row>
    <row r="915" customFormat="false" ht="15.75" hidden="false" customHeight="true" outlineLevel="0" collapsed="false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</row>
    <row r="916" customFormat="false" ht="15.75" hidden="false" customHeight="true" outlineLevel="0" collapsed="false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</row>
    <row r="917" customFormat="false" ht="15.75" hidden="false" customHeight="true" outlineLevel="0" collapsed="false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</row>
    <row r="918" customFormat="false" ht="15.75" hidden="false" customHeight="true" outlineLevel="0" collapsed="false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</row>
    <row r="919" customFormat="false" ht="15.75" hidden="false" customHeight="true" outlineLevel="0" collapsed="false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</row>
    <row r="920" customFormat="false" ht="15.75" hidden="false" customHeight="true" outlineLevel="0" collapsed="false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</row>
    <row r="921" customFormat="false" ht="15.75" hidden="false" customHeight="true" outlineLevel="0" collapsed="false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</row>
    <row r="922" customFormat="false" ht="15.75" hidden="false" customHeight="true" outlineLevel="0" collapsed="false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</row>
    <row r="923" customFormat="false" ht="15.75" hidden="false" customHeight="true" outlineLevel="0" collapsed="false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</row>
    <row r="924" customFormat="false" ht="15.75" hidden="false" customHeight="true" outlineLevel="0" collapsed="false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</row>
    <row r="925" customFormat="false" ht="15.75" hidden="false" customHeight="true" outlineLevel="0" collapsed="false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</row>
    <row r="926" customFormat="false" ht="15.75" hidden="false" customHeight="true" outlineLevel="0" collapsed="false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</row>
    <row r="927" customFormat="false" ht="15.75" hidden="false" customHeight="true" outlineLevel="0" collapsed="false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</row>
    <row r="928" customFormat="false" ht="15.75" hidden="false" customHeight="true" outlineLevel="0" collapsed="false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</row>
    <row r="929" customFormat="false" ht="15.75" hidden="false" customHeight="true" outlineLevel="0" collapsed="false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</row>
    <row r="930" customFormat="false" ht="15.75" hidden="false" customHeight="true" outlineLevel="0" collapsed="false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</row>
    <row r="931" customFormat="false" ht="15.75" hidden="false" customHeight="true" outlineLevel="0" collapsed="false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</row>
    <row r="932" customFormat="false" ht="15.75" hidden="false" customHeight="true" outlineLevel="0" collapsed="false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</row>
    <row r="933" customFormat="false" ht="15.75" hidden="false" customHeight="true" outlineLevel="0" collapsed="false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</row>
    <row r="934" customFormat="false" ht="15.75" hidden="false" customHeight="true" outlineLevel="0" collapsed="false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</row>
    <row r="935" customFormat="false" ht="15.75" hidden="false" customHeight="true" outlineLevel="0" collapsed="false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</row>
    <row r="936" customFormat="false" ht="15.75" hidden="false" customHeight="true" outlineLevel="0" collapsed="false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</row>
    <row r="937" customFormat="false" ht="15.75" hidden="false" customHeight="true" outlineLevel="0" collapsed="false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</row>
    <row r="938" customFormat="false" ht="15.75" hidden="false" customHeight="true" outlineLevel="0" collapsed="false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</row>
    <row r="939" customFormat="false" ht="15.75" hidden="false" customHeight="true" outlineLevel="0" collapsed="false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</row>
    <row r="940" customFormat="false" ht="15.75" hidden="false" customHeight="true" outlineLevel="0" collapsed="false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</row>
    <row r="941" customFormat="false" ht="15.75" hidden="false" customHeight="true" outlineLevel="0" collapsed="false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</row>
    <row r="942" customFormat="false" ht="15.75" hidden="false" customHeight="true" outlineLevel="0" collapsed="false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</row>
    <row r="943" customFormat="false" ht="15.75" hidden="false" customHeight="true" outlineLevel="0" collapsed="false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</row>
    <row r="944" customFormat="false" ht="15.75" hidden="false" customHeight="true" outlineLevel="0" collapsed="false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</row>
    <row r="945" customFormat="false" ht="15.75" hidden="false" customHeight="true" outlineLevel="0" collapsed="false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</row>
    <row r="946" customFormat="false" ht="15.75" hidden="false" customHeight="true" outlineLevel="0" collapsed="false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</row>
    <row r="947" customFormat="false" ht="15.75" hidden="false" customHeight="true" outlineLevel="0" collapsed="false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</row>
    <row r="948" customFormat="false" ht="15.75" hidden="false" customHeight="true" outlineLevel="0" collapsed="false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</row>
    <row r="949" customFormat="false" ht="15.75" hidden="false" customHeight="true" outlineLevel="0" collapsed="false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</row>
    <row r="950" customFormat="false" ht="15.75" hidden="false" customHeight="true" outlineLevel="0" collapsed="false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</row>
    <row r="951" customFormat="false" ht="15.75" hidden="false" customHeight="true" outlineLevel="0" collapsed="false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</row>
    <row r="952" customFormat="false" ht="15.75" hidden="false" customHeight="true" outlineLevel="0" collapsed="false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</row>
    <row r="953" customFormat="false" ht="15.75" hidden="false" customHeight="true" outlineLevel="0" collapsed="false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</row>
    <row r="954" customFormat="false" ht="15.75" hidden="false" customHeight="true" outlineLevel="0" collapsed="false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</row>
    <row r="955" customFormat="false" ht="15.75" hidden="false" customHeight="true" outlineLevel="0" collapsed="false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</row>
    <row r="956" customFormat="false" ht="15.75" hidden="false" customHeight="true" outlineLevel="0" collapsed="false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</row>
    <row r="957" customFormat="false" ht="15.75" hidden="false" customHeight="true" outlineLevel="0" collapsed="false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</row>
    <row r="958" customFormat="false" ht="15.75" hidden="false" customHeight="true" outlineLevel="0" collapsed="false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</row>
    <row r="959" customFormat="false" ht="15.75" hidden="false" customHeight="true" outlineLevel="0" collapsed="false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</row>
    <row r="960" customFormat="false" ht="15.75" hidden="false" customHeight="true" outlineLevel="0" collapsed="false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</row>
    <row r="961" customFormat="false" ht="15.75" hidden="false" customHeight="true" outlineLevel="0" collapsed="false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</row>
    <row r="962" customFormat="false" ht="15.75" hidden="false" customHeight="true" outlineLevel="0" collapsed="false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</row>
    <row r="963" customFormat="false" ht="15.75" hidden="false" customHeight="true" outlineLevel="0" collapsed="false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</row>
    <row r="964" customFormat="false" ht="15.75" hidden="false" customHeight="true" outlineLevel="0" collapsed="false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</row>
    <row r="965" customFormat="false" ht="15.75" hidden="false" customHeight="true" outlineLevel="0" collapsed="false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</row>
    <row r="966" customFormat="false" ht="15.75" hidden="false" customHeight="true" outlineLevel="0" collapsed="false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</row>
    <row r="967" customFormat="false" ht="15.75" hidden="false" customHeight="true" outlineLevel="0" collapsed="false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</row>
    <row r="968" customFormat="false" ht="15.75" hidden="false" customHeight="true" outlineLevel="0" collapsed="false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</row>
    <row r="969" customFormat="false" ht="15.75" hidden="false" customHeight="true" outlineLevel="0" collapsed="false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</row>
    <row r="970" customFormat="false" ht="15.75" hidden="false" customHeight="true" outlineLevel="0" collapsed="false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</row>
    <row r="971" customFormat="false" ht="15.75" hidden="false" customHeight="true" outlineLevel="0" collapsed="false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</row>
    <row r="972" customFormat="false" ht="15.75" hidden="false" customHeight="true" outlineLevel="0" collapsed="false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</row>
    <row r="973" customFormat="false" ht="15.75" hidden="false" customHeight="true" outlineLevel="0" collapsed="false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</row>
    <row r="974" customFormat="false" ht="15.75" hidden="false" customHeight="true" outlineLevel="0" collapsed="false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</row>
    <row r="975" customFormat="false" ht="15.75" hidden="false" customHeight="true" outlineLevel="0" collapsed="false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</row>
    <row r="976" customFormat="false" ht="15.75" hidden="false" customHeight="true" outlineLevel="0" collapsed="false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</row>
    <row r="977" customFormat="false" ht="15.75" hidden="false" customHeight="true" outlineLevel="0" collapsed="false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</row>
    <row r="978" customFormat="false" ht="15.75" hidden="false" customHeight="true" outlineLevel="0" collapsed="false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</row>
    <row r="979" customFormat="false" ht="15.75" hidden="false" customHeight="true" outlineLevel="0" collapsed="false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</row>
    <row r="980" customFormat="false" ht="15.75" hidden="false" customHeight="true" outlineLevel="0" collapsed="false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</row>
    <row r="981" customFormat="false" ht="15.75" hidden="false" customHeight="true" outlineLevel="0" collapsed="false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</row>
    <row r="982" customFormat="false" ht="15.75" hidden="false" customHeight="true" outlineLevel="0" collapsed="false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</row>
    <row r="983" customFormat="false" ht="15.75" hidden="false" customHeight="true" outlineLevel="0" collapsed="false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</row>
    <row r="984" customFormat="false" ht="15.75" hidden="false" customHeight="true" outlineLevel="0" collapsed="false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</row>
    <row r="985" customFormat="false" ht="15.75" hidden="false" customHeight="true" outlineLevel="0" collapsed="false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</row>
    <row r="986" customFormat="false" ht="15.75" hidden="false" customHeight="true" outlineLevel="0" collapsed="false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</row>
    <row r="987" customFormat="false" ht="15.75" hidden="false" customHeight="true" outlineLevel="0" collapsed="false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</row>
    <row r="988" customFormat="false" ht="15.75" hidden="false" customHeight="true" outlineLevel="0" collapsed="false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</row>
    <row r="989" customFormat="false" ht="15.75" hidden="false" customHeight="true" outlineLevel="0" collapsed="false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</row>
    <row r="990" customFormat="false" ht="15.75" hidden="false" customHeight="true" outlineLevel="0" collapsed="false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</row>
    <row r="991" customFormat="false" ht="15.75" hidden="false" customHeight="true" outlineLevel="0" collapsed="false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</row>
    <row r="992" customFormat="false" ht="15.75" hidden="false" customHeight="true" outlineLevel="0" collapsed="false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</row>
    <row r="993" customFormat="false" ht="15.75" hidden="false" customHeight="true" outlineLevel="0" collapsed="false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</row>
    <row r="994" customFormat="false" ht="15.75" hidden="false" customHeight="true" outlineLevel="0" collapsed="false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</row>
    <row r="995" customFormat="false" ht="15.75" hidden="false" customHeight="true" outlineLevel="0" collapsed="false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</row>
    <row r="996" customFormat="false" ht="15.75" hidden="false" customHeight="true" outlineLevel="0" collapsed="false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</row>
    <row r="997" customFormat="false" ht="15.75" hidden="false" customHeight="true" outlineLevel="0" collapsed="false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</row>
    <row r="998" customFormat="false" ht="15.75" hidden="false" customHeight="true" outlineLevel="0" collapsed="false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</row>
    <row r="999" customFormat="false" ht="15.75" hidden="false" customHeight="true" outlineLevel="0" collapsed="false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</row>
    <row r="1000" customFormat="false" ht="15.75" hidden="false" customHeight="true" outlineLevel="0" collapsed="false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</row>
  </sheetData>
  <mergeCells count="24">
    <mergeCell ref="A1:AO1"/>
    <mergeCell ref="A2:A3"/>
    <mergeCell ref="B2:B3"/>
    <mergeCell ref="C2:E2"/>
    <mergeCell ref="F2:K2"/>
    <mergeCell ref="L2:L3"/>
    <mergeCell ref="M2:M3"/>
    <mergeCell ref="N2:N3"/>
    <mergeCell ref="O2:Y2"/>
    <mergeCell ref="Z2:AC2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4:AO4"/>
    <mergeCell ref="A10:AO10"/>
  </mergeCells>
  <hyperlinks>
    <hyperlink ref="Y5" r:id="rId2" display="https://lumicenter.com/produtos/lhb60-s"/>
    <hyperlink ref="AC5" r:id="rId3" display="https://lumicenter.com/produtos/lhb60-s"/>
    <hyperlink ref="Y6" r:id="rId4" display="https://lumicenter.com/produtos/lhb60-s"/>
    <hyperlink ref="AC6" r:id="rId5" display="https://lumicenter.com/produtos/lhb60-s"/>
    <hyperlink ref="Y7" r:id="rId6" display="https://lumicenter.com/produtos/lhb60-s"/>
    <hyperlink ref="AC7" r:id="rId7" display="https://lumicenter.com/produtos/lhb60-s"/>
    <hyperlink ref="Y8" r:id="rId8" display="https://lumicenter.com/produtos/lhb60-s"/>
    <hyperlink ref="AC8" r:id="rId9" display="https://lumicenter.com/produtos/lhb60-s"/>
    <hyperlink ref="Y9" r:id="rId10" display="https://lumicenter.com/produtos/lhb60-s"/>
    <hyperlink ref="AC9" r:id="rId11" display="https://lumicenter.com/produtos/lhb60-s"/>
    <hyperlink ref="Y11" r:id="rId12" display="https://lumicenter.com/produtos/lht44-s"/>
    <hyperlink ref="AC11" r:id="rId13" display="https://lumicenter.com/produtos/lht44-s"/>
    <hyperlink ref="Y12" r:id="rId14" display="https://lumicenter.com/produtos/lht44-s"/>
    <hyperlink ref="AC12" r:id="rId15" display="https://lumicenter.com/produtos/lht44-s"/>
    <hyperlink ref="Y13" r:id="rId16" display="https://lumicenter.com/produtos/lht44-s"/>
    <hyperlink ref="AC13" r:id="rId17" display="https://lumicenter.com/produtos/lht44-s"/>
    <hyperlink ref="Y14" r:id="rId18" display="https://lumicenter.com/produtos/lht44-s"/>
    <hyperlink ref="AC14" r:id="rId19" display="https://lumicenter.com/produtos/lht44-s"/>
    <hyperlink ref="Y15" r:id="rId20" display="https://lumicenter.com/produtos/lht44-s"/>
    <hyperlink ref="AC15" r:id="rId21" display="https://lumicenter.com/produtos/lht44-s"/>
    <hyperlink ref="Y16" r:id="rId22" display="https://lumicenter.com/produtos/lht44-s"/>
    <hyperlink ref="AC16" r:id="rId23" display="https://lumicenter.com/produtos/lht44-s"/>
    <hyperlink ref="Y17" r:id="rId24" display="https://lumicenter.com/produtos/lht44-s"/>
    <hyperlink ref="AC17" r:id="rId25" display="https://lumicenter.com/produtos/lht44-s"/>
    <hyperlink ref="Y18" r:id="rId26" display="https://lumicenter.com/produtos/lht44-s"/>
    <hyperlink ref="AC18" r:id="rId27" display="https://lumicenter.com/produtos/lht44-s"/>
    <hyperlink ref="Y19" r:id="rId28" display="https://lumicenter.com/produtos/lht44-s"/>
    <hyperlink ref="AC19" r:id="rId29" display="https://lumicenter.com/produtos/lht44-s"/>
    <hyperlink ref="Y20" r:id="rId30" display="https://lumicenter.com/produtos/lht44-s"/>
    <hyperlink ref="AC20" r:id="rId31" display="https://lumicenter.com/produtos/lht44-s"/>
    <hyperlink ref="Y21" r:id="rId32" display="https://lumicenter.com/produtos/lht44-s"/>
    <hyperlink ref="AC21" r:id="rId33" display="https://lumicenter.com/produtos/lht44-s"/>
    <hyperlink ref="Y22" r:id="rId34" display="https://lumicenter.com/produtos/lht44-s"/>
    <hyperlink ref="AC22" r:id="rId35" display="https://lumicenter.com/produtos/lht44-s"/>
    <hyperlink ref="Y23" r:id="rId36" display="https://lumicenter.com/produtos/lht44-s"/>
    <hyperlink ref="AC23" r:id="rId37" display="https://lumicenter.com/produtos/lht44-s"/>
    <hyperlink ref="Y24" r:id="rId38" display="https://lumicenter.com/produtos/lht44-s"/>
    <hyperlink ref="AC24" r:id="rId39" display="https://lumicenter.com/produtos/lht44-s"/>
    <hyperlink ref="Y25" r:id="rId40" display="https://lumicenter.com/produtos/lht44-s"/>
    <hyperlink ref="AC25" r:id="rId41" display="https://lumicenter.com/produtos/lht44-s"/>
    <hyperlink ref="Y26" r:id="rId42" display="https://lumicenter.com/produtos/lht44-s"/>
    <hyperlink ref="AC26" r:id="rId43" display="https://lumicenter.com/produtos/lht44-s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DB3E2"/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2.15"/>
    <col collapsed="false" customWidth="true" hidden="false" outlineLevel="0" max="6" min="2" style="0" width="15.71"/>
    <col collapsed="false" customWidth="true" hidden="false" outlineLevel="0" max="7" min="7" style="0" width="12.29"/>
    <col collapsed="false" customWidth="true" hidden="false" outlineLevel="0" max="8" min="8" style="0" width="8.71"/>
    <col collapsed="false" customWidth="true" hidden="false" outlineLevel="0" max="9" min="9" style="0" width="29.14"/>
    <col collapsed="false" customWidth="true" hidden="false" outlineLevel="0" max="10" min="10" style="0" width="8.15"/>
  </cols>
  <sheetData>
    <row r="1" customFormat="false" ht="26.25" hidden="false" customHeight="true" outlineLevel="0" collapsed="false">
      <c r="A1" s="35" t="s">
        <v>75</v>
      </c>
      <c r="B1" s="35"/>
      <c r="C1" s="35"/>
      <c r="D1" s="35"/>
      <c r="E1" s="35"/>
      <c r="F1" s="35"/>
      <c r="G1" s="35"/>
      <c r="H1" s="35"/>
      <c r="I1" s="35"/>
      <c r="J1" s="35"/>
    </row>
    <row r="2" customFormat="false" ht="25.5" hidden="false" customHeight="true" outlineLevel="0" collapsed="false">
      <c r="A2" s="36" t="s">
        <v>76</v>
      </c>
      <c r="B2" s="37" t="s">
        <v>77</v>
      </c>
      <c r="C2" s="37" t="s">
        <v>78</v>
      </c>
      <c r="D2" s="37" t="s">
        <v>79</v>
      </c>
      <c r="E2" s="38" t="s">
        <v>80</v>
      </c>
      <c r="F2" s="38"/>
      <c r="G2" s="38" t="s">
        <v>81</v>
      </c>
      <c r="H2" s="38"/>
      <c r="I2" s="39" t="s">
        <v>82</v>
      </c>
      <c r="J2" s="39"/>
    </row>
    <row r="3" customFormat="false" ht="40.5" hidden="false" customHeight="true" outlineLevel="0" collapsed="false">
      <c r="A3" s="36"/>
      <c r="B3" s="37"/>
      <c r="C3" s="37"/>
      <c r="D3" s="37"/>
      <c r="E3" s="40" t="s">
        <v>83</v>
      </c>
      <c r="F3" s="40" t="s">
        <v>84</v>
      </c>
      <c r="G3" s="40" t="s">
        <v>83</v>
      </c>
      <c r="H3" s="40" t="s">
        <v>84</v>
      </c>
      <c r="I3" s="40" t="s">
        <v>85</v>
      </c>
      <c r="J3" s="40" t="s">
        <v>86</v>
      </c>
    </row>
    <row r="4" customFormat="false" ht="15" hidden="false" customHeight="true" outlineLevel="0" collapsed="false">
      <c r="A4" s="41" t="s">
        <v>87</v>
      </c>
      <c r="B4" s="41"/>
      <c r="C4" s="41"/>
      <c r="D4" s="41"/>
      <c r="E4" s="41"/>
      <c r="F4" s="41"/>
      <c r="G4" s="41"/>
      <c r="H4" s="41"/>
      <c r="I4" s="41"/>
      <c r="J4" s="41"/>
    </row>
    <row r="5" customFormat="false" ht="15" hidden="false" customHeight="true" outlineLevel="0" collapsed="false">
      <c r="A5" s="42" t="str">
        <f aca="false">Luminotécnico!B5</f>
        <v>Tornear e Chanfrar</v>
      </c>
      <c r="B5" s="43" t="n">
        <f aca="false">Luminotécnico!F5*Luminotécnico!G5</f>
        <v>145.8</v>
      </c>
      <c r="C5" s="43" t="n">
        <f aca="false">2*(Luminotécnico!F5+Luminotécnico!G5)</f>
        <v>50.4</v>
      </c>
      <c r="D5" s="44" t="n">
        <f aca="false">Luminotécnico!AO5</f>
        <v>953.939393939394</v>
      </c>
      <c r="E5" s="42" t="n">
        <f aca="false">ROUNDUP(C5/7.5, 0)</f>
        <v>7</v>
      </c>
      <c r="F5" s="42" t="n">
        <f aca="false">E5*600</f>
        <v>4200</v>
      </c>
      <c r="G5" s="42" t="n">
        <f aca="false">ROUNDUP(C5/15,0)</f>
        <v>4</v>
      </c>
      <c r="H5" s="42" t="n">
        <f aca="false">G5*6000</f>
        <v>24000</v>
      </c>
      <c r="I5" s="42" t="s">
        <v>88</v>
      </c>
      <c r="J5" s="42" t="n">
        <v>4160</v>
      </c>
    </row>
    <row r="6" customFormat="false" ht="15" hidden="false" customHeight="true" outlineLevel="0" collapsed="false">
      <c r="A6" s="45" t="str">
        <f aca="false">Luminotécnico!B6</f>
        <v>Polimento</v>
      </c>
      <c r="B6" s="46" t="n">
        <f aca="false">Luminotécnico!F6*Luminotécnico!G6</f>
        <v>132.84</v>
      </c>
      <c r="C6" s="46" t="n">
        <f aca="false">2*(Luminotécnico!F6+Luminotécnico!G6)</f>
        <v>48.8</v>
      </c>
      <c r="D6" s="47" t="n">
        <f aca="false">Luminotécnico!AO6</f>
        <v>1430.90909090909</v>
      </c>
      <c r="E6" s="42" t="n">
        <f aca="false">ROUNDUP(C6/7.5, 0)</f>
        <v>7</v>
      </c>
      <c r="F6" s="42" t="n">
        <f aca="false">E6*600</f>
        <v>4200</v>
      </c>
      <c r="G6" s="42" t="n">
        <f aca="false">ROUNDUP(C6/15,0)</f>
        <v>4</v>
      </c>
      <c r="H6" s="42" t="n">
        <f aca="false">G6*6000</f>
        <v>24000</v>
      </c>
      <c r="I6" s="45" t="s">
        <v>89</v>
      </c>
      <c r="J6" s="45" t="n">
        <v>4320</v>
      </c>
    </row>
    <row r="7" customFormat="false" ht="15" hidden="false" customHeight="true" outlineLevel="0" collapsed="false">
      <c r="A7" s="45" t="str">
        <f aca="false">Luminotécnico!B7</f>
        <v>Colagem e montagem</v>
      </c>
      <c r="B7" s="46" t="n">
        <f aca="false">Luminotécnico!F7*Luminotécnico!G7</f>
        <v>149.4</v>
      </c>
      <c r="C7" s="46" t="n">
        <f aca="false">2*(Luminotécnico!F7+Luminotécnico!G7)</f>
        <v>51.2</v>
      </c>
      <c r="D7" s="47" t="n">
        <f aca="false">Luminotécnico!AO7</f>
        <v>635.959595959596</v>
      </c>
      <c r="E7" s="42" t="n">
        <f aca="false">ROUNDUP(C7/7.5, 0)</f>
        <v>7</v>
      </c>
      <c r="F7" s="42" t="n">
        <f aca="false">E7*600</f>
        <v>4200</v>
      </c>
      <c r="G7" s="42" t="n">
        <f aca="false">ROUNDUP(C7/15,0)</f>
        <v>4</v>
      </c>
      <c r="H7" s="42" t="n">
        <f aca="false">G7*6000</f>
        <v>24000</v>
      </c>
      <c r="I7" s="48" t="s">
        <v>90</v>
      </c>
      <c r="J7" s="48" t="n">
        <v>2240</v>
      </c>
    </row>
    <row r="8" customFormat="false" ht="15" hidden="false" customHeight="true" outlineLevel="0" collapsed="false">
      <c r="A8" s="45" t="str">
        <f aca="false">Luminotécnico!B8</f>
        <v>Sistemas de Serra</v>
      </c>
      <c r="B8" s="46" t="n">
        <f aca="false">Luminotécnico!F8*Luminotécnico!G8</f>
        <v>136.105</v>
      </c>
      <c r="C8" s="46" t="n">
        <f aca="false">2*(Luminotécnico!F8+Luminotécnico!G8)</f>
        <v>49.7</v>
      </c>
      <c r="D8" s="47" t="n">
        <f aca="false">Luminotécnico!AO8</f>
        <v>635.959595959596</v>
      </c>
      <c r="E8" s="42" t="n">
        <f aca="false">ROUNDUP(C8/7.5, 0)</f>
        <v>7</v>
      </c>
      <c r="F8" s="42" t="n">
        <f aca="false">E8*600</f>
        <v>4200</v>
      </c>
      <c r="G8" s="42" t="n">
        <f aca="false">ROUNDUP(C8/15,0)</f>
        <v>4</v>
      </c>
      <c r="H8" s="42" t="n">
        <f aca="false">G8*6000</f>
        <v>24000</v>
      </c>
      <c r="I8" s="45" t="s">
        <v>91</v>
      </c>
      <c r="J8" s="45" t="n">
        <v>5440</v>
      </c>
    </row>
    <row r="9" customFormat="false" ht="15" hidden="false" customHeight="true" outlineLevel="0" collapsed="false">
      <c r="A9" s="45" t="str">
        <f aca="false">Luminotécnico!B9</f>
        <v>Inspeção Final</v>
      </c>
      <c r="B9" s="46" t="n">
        <f aca="false">Luminotécnico!F9*Luminotécnico!G9</f>
        <v>96.1675</v>
      </c>
      <c r="C9" s="46" t="n">
        <f aca="false">2*(Luminotécnico!F9+Luminotécnico!G9)</f>
        <v>41.2</v>
      </c>
      <c r="D9" s="47" t="n">
        <f aca="false">Luminotécnico!AO9</f>
        <v>1669.39393939394</v>
      </c>
      <c r="E9" s="42" t="n">
        <f aca="false">ROUNDUP(C9/7.5, 0)</f>
        <v>6</v>
      </c>
      <c r="F9" s="42" t="n">
        <f aca="false">E9*600</f>
        <v>3600</v>
      </c>
      <c r="G9" s="42" t="n">
        <f aca="false">ROUNDUP(C9/15,0)</f>
        <v>3</v>
      </c>
      <c r="H9" s="42" t="n">
        <f aca="false">G9*6000</f>
        <v>18000</v>
      </c>
      <c r="I9" s="45"/>
      <c r="J9" s="45"/>
    </row>
    <row r="10" customFormat="false" ht="15" hidden="false" customHeight="true" outlineLevel="0" collapsed="false">
      <c r="A10" s="49" t="s">
        <v>92</v>
      </c>
      <c r="B10" s="49"/>
      <c r="C10" s="49"/>
      <c r="D10" s="49"/>
      <c r="E10" s="49"/>
      <c r="F10" s="49"/>
      <c r="G10" s="49"/>
      <c r="H10" s="49"/>
      <c r="I10" s="49"/>
      <c r="J10" s="49"/>
    </row>
    <row r="11" customFormat="false" ht="15" hidden="false" customHeight="true" outlineLevel="0" collapsed="false">
      <c r="A11" s="45" t="str">
        <f aca="false">Luminotécnico!B11</f>
        <v>Sala de Estar</v>
      </c>
      <c r="B11" s="46" t="n">
        <f aca="false">Luminotécnico!F11*Luminotécnico!G11</f>
        <v>54.28</v>
      </c>
      <c r="C11" s="46" t="n">
        <f aca="false">2*(Luminotécnico!F11+Luminotécnico!G11)</f>
        <v>30.2</v>
      </c>
      <c r="D11" s="45" t="n">
        <f aca="false">IF(B11&lt;=6, 100, 100 + INT((B11 - 6) / 4) * 60)</f>
        <v>820</v>
      </c>
      <c r="E11" s="45" t="n">
        <f aca="false">ROUNDUP(C11/5, 0)</f>
        <v>7</v>
      </c>
      <c r="F11" s="45" t="n">
        <f aca="false">E11*100</f>
        <v>700</v>
      </c>
      <c r="G11" s="42" t="n">
        <v>0</v>
      </c>
      <c r="H11" s="42" t="n">
        <f aca="false">G11*6000</f>
        <v>0</v>
      </c>
      <c r="I11" s="45" t="s">
        <v>93</v>
      </c>
      <c r="J11" s="45" t="n">
        <v>1900</v>
      </c>
    </row>
    <row r="12" customFormat="false" ht="15" hidden="false" customHeight="true" outlineLevel="0" collapsed="false">
      <c r="A12" s="45" t="str">
        <f aca="false">Luminotécnico!B12</f>
        <v>Sala de reuniões</v>
      </c>
      <c r="B12" s="46" t="n">
        <f aca="false">Luminotécnico!F12*Luminotécnico!G12</f>
        <v>42.35</v>
      </c>
      <c r="C12" s="46" t="n">
        <f aca="false">2*(Luminotécnico!F12+Luminotécnico!G12)</f>
        <v>26.4</v>
      </c>
      <c r="D12" s="45" t="n">
        <f aca="false">IF(B12&lt;=6, 100, 100 + INT((B12 - 6) / 4) * 60)</f>
        <v>640</v>
      </c>
      <c r="E12" s="45" t="n">
        <f aca="false">IF(B12&lt;=37, MAX(ROUNDUP(C12/3,0), ROUNDUP(B12/4,0)), 8+3*ROUNDUP((B12-37)/37,0))</f>
        <v>11</v>
      </c>
      <c r="F12" s="45" t="n">
        <f aca="false">E12*200</f>
        <v>2200</v>
      </c>
      <c r="G12" s="42" t="n">
        <v>0</v>
      </c>
      <c r="H12" s="42" t="n">
        <f aca="false">G12*6000</f>
        <v>0</v>
      </c>
      <c r="I12" s="45" t="s">
        <v>94</v>
      </c>
      <c r="J12" s="45" t="n">
        <v>2500</v>
      </c>
    </row>
    <row r="13" customFormat="false" ht="15" hidden="false" customHeight="true" outlineLevel="0" collapsed="false">
      <c r="A13" s="45" t="str">
        <f aca="false">Luminotécnico!B13</f>
        <v>Recepção</v>
      </c>
      <c r="B13" s="46" t="n">
        <f aca="false">Luminotécnico!F13*Luminotécnico!G13</f>
        <v>19.2</v>
      </c>
      <c r="C13" s="46" t="n">
        <f aca="false">2*(Luminotécnico!F13+Luminotécnico!G13)</f>
        <v>17.6</v>
      </c>
      <c r="D13" s="45" t="n">
        <f aca="false">IF(B13&lt;=6, 100, 100 + INT((B13 - 6) / 4) * 60)</f>
        <v>280</v>
      </c>
      <c r="E13" s="45" t="n">
        <f aca="false">IF(B13&lt;=37, MAX(ROUNDUP(C13/3,0), ROUNDUP(B13/4,0)), 8+3*ROUNDUP((B13-37)/37,0))</f>
        <v>6</v>
      </c>
      <c r="F13" s="45" t="n">
        <f aca="false">E13*200</f>
        <v>1200</v>
      </c>
      <c r="G13" s="42" t="n">
        <v>0</v>
      </c>
      <c r="H13" s="42" t="n">
        <f aca="false">G13*6000</f>
        <v>0</v>
      </c>
      <c r="I13" s="45" t="s">
        <v>95</v>
      </c>
      <c r="J13" s="45" t="n">
        <v>1400</v>
      </c>
    </row>
    <row r="14" customFormat="false" ht="15" hidden="false" customHeight="true" outlineLevel="0" collapsed="false">
      <c r="A14" s="50" t="str">
        <f aca="false">Luminotécnico!B14</f>
        <v>Copa</v>
      </c>
      <c r="B14" s="51" t="n">
        <f aca="false">Luminotécnico!F14*Luminotécnico!G14</f>
        <v>16.8</v>
      </c>
      <c r="C14" s="51" t="n">
        <f aca="false">2*(Luminotécnico!F14+Luminotécnico!G14)</f>
        <v>16.6</v>
      </c>
      <c r="D14" s="50" t="n">
        <f aca="false">IF(B14&lt;=6, 100, 100 + INT((B14 - 6) / 4) * 60)</f>
        <v>220</v>
      </c>
      <c r="E14" s="50" t="n">
        <f aca="false">ROUNDUP(C14/3.5, 0)</f>
        <v>5</v>
      </c>
      <c r="F14" s="50" t="n">
        <f aca="false">IF(E14&gt;3, 3*600 + (E14-3)*100, E14*600)</f>
        <v>2000</v>
      </c>
      <c r="G14" s="42" t="n">
        <v>0</v>
      </c>
      <c r="H14" s="42" t="n">
        <f aca="false">G14*6000</f>
        <v>0</v>
      </c>
      <c r="I14" s="50"/>
      <c r="J14" s="50"/>
    </row>
    <row r="15" customFormat="false" ht="15" hidden="false" customHeight="true" outlineLevel="0" collapsed="false">
      <c r="A15" s="50" t="str">
        <f aca="false">Luminotécnico!B15</f>
        <v>Ante Sala</v>
      </c>
      <c r="B15" s="51" t="n">
        <f aca="false">Luminotécnico!F15*Luminotécnico!G15</f>
        <v>18</v>
      </c>
      <c r="C15" s="51" t="n">
        <f aca="false">2*(Luminotécnico!F15+Luminotécnico!G15)</f>
        <v>22</v>
      </c>
      <c r="D15" s="50" t="n">
        <f aca="false">IF(B15&lt;=6, 100, 100 + INT((B15 - 6) / 4) * 60)</f>
        <v>280</v>
      </c>
      <c r="E15" s="50" t="n">
        <f aca="false">ROUNDUP(C15/5, 0)</f>
        <v>5</v>
      </c>
      <c r="F15" s="50" t="n">
        <f aca="false">E15*100</f>
        <v>500</v>
      </c>
      <c r="G15" s="42" t="n">
        <v>0</v>
      </c>
      <c r="H15" s="42" t="n">
        <f aca="false">G15*6000</f>
        <v>0</v>
      </c>
      <c r="I15" s="50"/>
      <c r="J15" s="50"/>
    </row>
    <row r="16" customFormat="false" ht="15" hidden="false" customHeight="true" outlineLevel="0" collapsed="false">
      <c r="A16" s="50" t="str">
        <f aca="false">Luminotécnico!B16</f>
        <v>BWC1</v>
      </c>
      <c r="B16" s="51" t="n">
        <f aca="false">Luminotécnico!F16*Luminotécnico!G16</f>
        <v>25.704</v>
      </c>
      <c r="C16" s="51" t="n">
        <f aca="false">2*(Luminotécnico!F16+Luminotécnico!G16)</f>
        <v>21.54</v>
      </c>
      <c r="D16" s="50" t="n">
        <f aca="false">IF(B16&lt;=6, 100, 100 + INT((B16 - 6) / 4) * 60)</f>
        <v>340</v>
      </c>
      <c r="E16" s="50" t="n">
        <v>1</v>
      </c>
      <c r="F16" s="50" t="n">
        <v>600</v>
      </c>
      <c r="G16" s="42" t="n">
        <v>0</v>
      </c>
      <c r="H16" s="42" t="n">
        <f aca="false">G16*6000</f>
        <v>0</v>
      </c>
      <c r="I16" s="50" t="s">
        <v>96</v>
      </c>
      <c r="J16" s="50" t="n">
        <v>1500</v>
      </c>
    </row>
    <row r="17" customFormat="false" ht="15" hidden="false" customHeight="true" outlineLevel="0" collapsed="false">
      <c r="A17" s="50" t="str">
        <f aca="false">Luminotécnico!B17</f>
        <v>BWC2</v>
      </c>
      <c r="B17" s="51" t="n">
        <f aca="false">Luminotécnico!F17*Luminotécnico!G17</f>
        <v>25.704</v>
      </c>
      <c r="C17" s="51" t="n">
        <f aca="false">2*(Luminotécnico!F17+Luminotécnico!G17)</f>
        <v>21.54</v>
      </c>
      <c r="D17" s="50" t="n">
        <f aca="false">IF(B17&lt;=6, 100, 100 + INT((B17 - 6) / 4) * 60)</f>
        <v>340</v>
      </c>
      <c r="E17" s="50" t="n">
        <v>1</v>
      </c>
      <c r="F17" s="50" t="n">
        <v>600</v>
      </c>
      <c r="G17" s="42" t="n">
        <v>0</v>
      </c>
      <c r="H17" s="42" t="n">
        <f aca="false">G17*6000</f>
        <v>0</v>
      </c>
      <c r="I17" s="50" t="s">
        <v>96</v>
      </c>
      <c r="J17" s="50" t="n">
        <v>1500</v>
      </c>
    </row>
    <row r="18" customFormat="false" ht="15" hidden="false" customHeight="true" outlineLevel="0" collapsed="false">
      <c r="A18" s="50" t="str">
        <f aca="false">Luminotécnico!B18</f>
        <v>BWC3</v>
      </c>
      <c r="B18" s="51" t="n">
        <f aca="false">Luminotécnico!F18*Luminotécnico!G18</f>
        <v>21</v>
      </c>
      <c r="C18" s="51" t="n">
        <f aca="false">2*(Luminotécnico!F18+Luminotécnico!G18)</f>
        <v>19</v>
      </c>
      <c r="D18" s="50" t="n">
        <f aca="false">IF(B18&lt;=6, 100, 100 + INT((B18 - 6) / 4) * 60)</f>
        <v>280</v>
      </c>
      <c r="E18" s="50" t="n">
        <v>1</v>
      </c>
      <c r="F18" s="50" t="n">
        <v>600</v>
      </c>
      <c r="G18" s="42" t="n">
        <v>0</v>
      </c>
      <c r="H18" s="42" t="n">
        <f aca="false">G18*6000</f>
        <v>0</v>
      </c>
      <c r="I18" s="50" t="s">
        <v>96</v>
      </c>
      <c r="J18" s="50" t="n">
        <v>1500</v>
      </c>
    </row>
    <row r="19" customFormat="false" ht="15" hidden="false" customHeight="true" outlineLevel="0" collapsed="false">
      <c r="A19" s="50" t="str">
        <f aca="false">Luminotécnico!B19</f>
        <v>BWC4</v>
      </c>
      <c r="B19" s="51" t="n">
        <f aca="false">Luminotécnico!F19*Luminotécnico!G19</f>
        <v>21</v>
      </c>
      <c r="C19" s="51" t="n">
        <f aca="false">2*(Luminotécnico!F19+Luminotécnico!G19)</f>
        <v>19</v>
      </c>
      <c r="D19" s="50" t="n">
        <f aca="false">IF(B19&lt;=6, 100, 100 + INT((B19 - 6) / 4) * 60)</f>
        <v>280</v>
      </c>
      <c r="E19" s="50" t="n">
        <v>1</v>
      </c>
      <c r="F19" s="50" t="n">
        <v>600</v>
      </c>
      <c r="G19" s="42" t="n">
        <v>0</v>
      </c>
      <c r="H19" s="42" t="n">
        <f aca="false">G19*6000</f>
        <v>0</v>
      </c>
      <c r="I19" s="50" t="s">
        <v>96</v>
      </c>
      <c r="J19" s="50" t="n">
        <v>1500</v>
      </c>
    </row>
    <row r="20" customFormat="false" ht="15" hidden="false" customHeight="true" outlineLevel="0" collapsed="false">
      <c r="A20" s="50" t="str">
        <f aca="false">Luminotécnico!B20</f>
        <v>Vídeo Conferencia</v>
      </c>
      <c r="B20" s="51" t="n">
        <f aca="false">Luminotécnico!F20*Luminotécnico!G20</f>
        <v>26.32</v>
      </c>
      <c r="C20" s="51" t="n">
        <f aca="false">2*(Luminotécnico!F20+Luminotécnico!G20)</f>
        <v>20.6</v>
      </c>
      <c r="D20" s="50" t="n">
        <f aca="false">IF(B20&lt;=6, 100, 100 + INT((B20 - 6) / 4) * 60)</f>
        <v>400</v>
      </c>
      <c r="E20" s="50" t="n">
        <f aca="false">IF(B20&lt;=37, MAX(ROUNDUP(C20/3,0), ROUNDUP(B20/4,0)), 8+3*ROUNDUP((B20-37)/37,0))</f>
        <v>7</v>
      </c>
      <c r="F20" s="50" t="n">
        <f aca="false">E20*200</f>
        <v>1400</v>
      </c>
      <c r="G20" s="42" t="n">
        <v>0</v>
      </c>
      <c r="H20" s="42" t="n">
        <f aca="false">G20*6000</f>
        <v>0</v>
      </c>
      <c r="I20" s="50" t="s">
        <v>93</v>
      </c>
      <c r="J20" s="50" t="n">
        <v>1900</v>
      </c>
    </row>
    <row r="21" customFormat="false" ht="15" hidden="false" customHeight="true" outlineLevel="0" collapsed="false">
      <c r="A21" s="50" t="str">
        <f aca="false">Luminotécnico!B21</f>
        <v>Presidência</v>
      </c>
      <c r="B21" s="51" t="n">
        <f aca="false">Luminotécnico!F21*Luminotécnico!G21</f>
        <v>15.12</v>
      </c>
      <c r="C21" s="51" t="n">
        <f aca="false">2*(Luminotécnico!F21+Luminotécnico!G21)</f>
        <v>16.6</v>
      </c>
      <c r="D21" s="50" t="n">
        <f aca="false">IF(B21&lt;=6, 100, 100 + INT((B21 - 6) / 4) * 60)</f>
        <v>220</v>
      </c>
      <c r="E21" s="50" t="n">
        <f aca="false">IF(B21&lt;=37, MAX(ROUNDUP(C21/3,0), ROUNDUP(B21/4,0)), 8+3*ROUNDUP((B21-37)/37,0))</f>
        <v>6</v>
      </c>
      <c r="F21" s="50" t="n">
        <f aca="false">E21*200</f>
        <v>1200</v>
      </c>
      <c r="G21" s="42" t="n">
        <v>0</v>
      </c>
      <c r="H21" s="42" t="n">
        <f aca="false">G21*6000</f>
        <v>0</v>
      </c>
      <c r="I21" s="50" t="s">
        <v>95</v>
      </c>
      <c r="J21" s="50" t="n">
        <v>1400</v>
      </c>
    </row>
    <row r="22" customFormat="false" ht="15" hidden="false" customHeight="true" outlineLevel="0" collapsed="false">
      <c r="A22" s="50" t="str">
        <f aca="false">Luminotécnico!B22</f>
        <v>Diretoria Técnica</v>
      </c>
      <c r="B22" s="51" t="n">
        <f aca="false">Luminotécnico!F22*Luminotécnico!G22</f>
        <v>34.65</v>
      </c>
      <c r="C22" s="51" t="n">
        <f aca="false">2*(Luminotécnico!F22+Luminotécnico!G22)</f>
        <v>24.4</v>
      </c>
      <c r="D22" s="50" t="n">
        <f aca="false">IF(B22&lt;=6, 100, 100 + INT((B22 - 6) / 4) * 60)</f>
        <v>520</v>
      </c>
      <c r="E22" s="50" t="n">
        <f aca="false">IF(B22&lt;=37, MAX(ROUNDUP(C22/3,0), ROUNDUP(B22/4,0)), 8+3*ROUNDUP((B22-37)/37,0))</f>
        <v>9</v>
      </c>
      <c r="F22" s="50" t="n">
        <f aca="false">E22*200</f>
        <v>1800</v>
      </c>
      <c r="G22" s="42" t="n">
        <v>0</v>
      </c>
      <c r="H22" s="42" t="n">
        <f aca="false">G22*6000</f>
        <v>0</v>
      </c>
      <c r="I22" s="50" t="s">
        <v>95</v>
      </c>
      <c r="J22" s="50" t="n">
        <v>1400</v>
      </c>
    </row>
    <row r="23" customFormat="false" ht="15.75" hidden="false" customHeight="true" outlineLevel="0" collapsed="false">
      <c r="A23" s="50" t="str">
        <f aca="false">Luminotécnico!B23</f>
        <v>Depósito</v>
      </c>
      <c r="B23" s="51" t="n">
        <f aca="false">Luminotécnico!F23*Luminotécnico!G23</f>
        <v>26.95</v>
      </c>
      <c r="C23" s="51" t="n">
        <f aca="false">2*(Luminotécnico!F23+Luminotécnico!G23)</f>
        <v>22.4</v>
      </c>
      <c r="D23" s="50" t="n">
        <f aca="false">IF(B23&lt;=6, 100, 100 + INT((B23 - 6) / 4) * 60)</f>
        <v>400</v>
      </c>
      <c r="E23" s="50" t="n">
        <f aca="false">ROUNDUP(C23/5, 0)</f>
        <v>5</v>
      </c>
      <c r="F23" s="50" t="n">
        <f aca="false">E23*100</f>
        <v>500</v>
      </c>
      <c r="G23" s="42" t="n">
        <v>0</v>
      </c>
      <c r="H23" s="42" t="n">
        <f aca="false">G23*6000</f>
        <v>0</v>
      </c>
      <c r="I23" s="50" t="s">
        <v>97</v>
      </c>
      <c r="J23" s="50" t="n">
        <v>6000</v>
      </c>
    </row>
    <row r="24" customFormat="false" ht="15.75" hidden="false" customHeight="true" outlineLevel="0" collapsed="false">
      <c r="A24" s="50" t="str">
        <f aca="false">Luminotécnico!B24</f>
        <v>Circulação 1</v>
      </c>
      <c r="B24" s="51" t="n">
        <f aca="false">Luminotécnico!F24*Luminotécnico!G24</f>
        <v>15.8</v>
      </c>
      <c r="C24" s="51" t="n">
        <f aca="false">2*(Luminotécnico!F24+Luminotécnico!G24)</f>
        <v>19.8</v>
      </c>
      <c r="D24" s="50" t="n">
        <f aca="false">IF(B24&lt;=6, 100, 100 + INT((B24 - 6) / 4) * 60)</f>
        <v>220</v>
      </c>
      <c r="E24" s="50" t="n">
        <f aca="false">ROUNDUP(C24/5, 0)</f>
        <v>4</v>
      </c>
      <c r="F24" s="50" t="n">
        <f aca="false">E24*100</f>
        <v>400</v>
      </c>
      <c r="G24" s="42" t="n">
        <v>0</v>
      </c>
      <c r="H24" s="42" t="n">
        <f aca="false">G24*6000</f>
        <v>0</v>
      </c>
      <c r="I24" s="50"/>
      <c r="J24" s="50"/>
    </row>
    <row r="25" customFormat="false" ht="15.75" hidden="false" customHeight="true" outlineLevel="0" collapsed="false">
      <c r="A25" s="50" t="str">
        <f aca="false">Luminotécnico!B25</f>
        <v>Circulação 2</v>
      </c>
      <c r="B25" s="51" t="n">
        <f aca="false">Luminotécnico!F25*Luminotécnico!G25</f>
        <v>36.92</v>
      </c>
      <c r="C25" s="51" t="n">
        <f aca="false">2*(Luminotécnico!F25+Luminotécnico!G25)</f>
        <v>59.4</v>
      </c>
      <c r="D25" s="50" t="n">
        <f aca="false">IF(B25&lt;=6, 100, 100 + INT((B25 - 6) / 4) * 60)</f>
        <v>520</v>
      </c>
      <c r="E25" s="50" t="n">
        <f aca="false">ROUNDUP(C25/5, 0)</f>
        <v>12</v>
      </c>
      <c r="F25" s="50" t="n">
        <f aca="false">E25*100</f>
        <v>1200</v>
      </c>
      <c r="G25" s="42" t="n">
        <v>0</v>
      </c>
      <c r="H25" s="42" t="n">
        <f aca="false">G25*6000</f>
        <v>0</v>
      </c>
      <c r="I25" s="50"/>
      <c r="J25" s="50"/>
    </row>
    <row r="26" customFormat="false" ht="15.75" hidden="false" customHeight="true" outlineLevel="0" collapsed="false">
      <c r="A26" s="50" t="str">
        <f aca="false">Luminotécnico!B26</f>
        <v>Circulação 3</v>
      </c>
      <c r="B26" s="51" t="n">
        <f aca="false">Luminotécnico!F26*Luminotécnico!G26</f>
        <v>5.1</v>
      </c>
      <c r="C26" s="51" t="n">
        <f aca="false">2*(Luminotécnico!F26+Luminotécnico!G26)</f>
        <v>12.2</v>
      </c>
      <c r="D26" s="50" t="n">
        <f aca="false">IF(B26&lt;=6, 100, 100 + INT((B26 - 6) / 4) * 60)</f>
        <v>100</v>
      </c>
      <c r="E26" s="50" t="n">
        <v>2</v>
      </c>
      <c r="F26" s="50" t="n">
        <f aca="false">E26*100</f>
        <v>200</v>
      </c>
      <c r="G26" s="42" t="n">
        <v>0</v>
      </c>
      <c r="H26" s="42" t="n">
        <f aca="false">G26*6000</f>
        <v>0</v>
      </c>
      <c r="I26" s="50"/>
      <c r="J26" s="50"/>
    </row>
    <row r="27" customFormat="false" ht="15.75" hidden="false" customHeight="true" outlineLevel="0" collapsed="false">
      <c r="A27" s="50" t="str">
        <f aca="false">Luminotécnico!B27</f>
        <v>Subestação</v>
      </c>
      <c r="B27" s="51" t="n">
        <f aca="false">Luminotécnico!F27*Luminotécnico!G27</f>
        <v>43.12</v>
      </c>
      <c r="C27" s="51" t="n">
        <f aca="false">2*(Luminotécnico!F27+Luminotécnico!G27)</f>
        <v>26.6</v>
      </c>
      <c r="D27" s="50" t="n">
        <f aca="false">IF(B27&lt;=6, 100, 100 + INT((B27 - 6) / 4) * 60)</f>
        <v>640</v>
      </c>
      <c r="E27" s="50" t="n">
        <f aca="false">ROUNDUP(C27/5, 0)</f>
        <v>6</v>
      </c>
      <c r="F27" s="50" t="n">
        <f aca="false">E27*100</f>
        <v>600</v>
      </c>
      <c r="G27" s="50" t="n">
        <v>0</v>
      </c>
      <c r="H27" s="50" t="n">
        <f aca="false">G27*6000</f>
        <v>0</v>
      </c>
      <c r="I27" s="50" t="s">
        <v>98</v>
      </c>
      <c r="J27" s="50" t="n">
        <v>6000</v>
      </c>
    </row>
    <row r="28" customFormat="false" ht="15.75" hidden="false" customHeight="true" outlineLevel="0" collapsed="false">
      <c r="A28" s="50"/>
      <c r="B28" s="50"/>
      <c r="C28" s="50"/>
      <c r="D28" s="50"/>
      <c r="E28" s="50"/>
      <c r="F28" s="50"/>
      <c r="G28" s="50"/>
      <c r="H28" s="50"/>
      <c r="I28" s="50"/>
      <c r="J28" s="50"/>
    </row>
    <row r="29" customFormat="false" ht="15.75" hidden="false" customHeight="true" outlineLevel="0" collapsed="false">
      <c r="A29" s="50"/>
      <c r="B29" s="50"/>
      <c r="C29" s="50"/>
      <c r="D29" s="50"/>
      <c r="E29" s="50"/>
      <c r="F29" s="50"/>
      <c r="G29" s="50"/>
      <c r="H29" s="50"/>
      <c r="I29" s="50"/>
      <c r="J29" s="50"/>
    </row>
    <row r="30" customFormat="false" ht="15.75" hidden="false" customHeight="true" outlineLevel="0" collapsed="false">
      <c r="A30" s="50"/>
      <c r="B30" s="50"/>
      <c r="C30" s="50"/>
      <c r="D30" s="50"/>
      <c r="E30" s="50"/>
      <c r="F30" s="50"/>
      <c r="G30" s="50"/>
      <c r="H30" s="50"/>
      <c r="I30" s="50"/>
      <c r="J30" s="50"/>
    </row>
    <row r="31" customFormat="false" ht="15.75" hidden="false" customHeight="true" outlineLevel="0" collapsed="false">
      <c r="A31" s="50"/>
      <c r="B31" s="50"/>
      <c r="C31" s="50"/>
      <c r="D31" s="50"/>
      <c r="E31" s="50"/>
      <c r="F31" s="50"/>
      <c r="G31" s="50"/>
      <c r="H31" s="50"/>
      <c r="I31" s="50"/>
      <c r="J31" s="50"/>
    </row>
    <row r="32" customFormat="false" ht="15.75" hidden="false" customHeight="true" outlineLevel="0" collapsed="false">
      <c r="A32" s="50"/>
      <c r="B32" s="52"/>
      <c r="C32" s="52"/>
      <c r="D32" s="52"/>
      <c r="E32" s="52"/>
      <c r="F32" s="52"/>
      <c r="G32" s="50"/>
      <c r="H32" s="50"/>
      <c r="I32" s="50"/>
      <c r="J32" s="50"/>
    </row>
    <row r="33" customFormat="false" ht="15.75" hidden="false" customHeight="true" outlineLevel="0" collapsed="false">
      <c r="A33" s="50"/>
      <c r="B33" s="50"/>
      <c r="C33" s="50"/>
      <c r="D33" s="50"/>
      <c r="E33" s="50"/>
      <c r="F33" s="50"/>
      <c r="G33" s="50"/>
      <c r="H33" s="50"/>
      <c r="I33" s="50"/>
      <c r="J33" s="50"/>
    </row>
    <row r="34" customFormat="false" ht="15.75" hidden="false" customHeight="true" outlineLevel="0" collapsed="false">
      <c r="A34" s="53"/>
      <c r="B34" s="53"/>
      <c r="C34" s="53"/>
      <c r="D34" s="53"/>
      <c r="E34" s="53"/>
      <c r="F34" s="53"/>
      <c r="G34" s="53"/>
      <c r="H34" s="53"/>
      <c r="I34" s="53"/>
      <c r="J34" s="53"/>
    </row>
    <row r="35" customFormat="false" ht="15.75" hidden="false" customHeight="true" outlineLevel="0" collapsed="false">
      <c r="A35" s="53"/>
      <c r="B35" s="53"/>
      <c r="C35" s="53"/>
      <c r="D35" s="53"/>
      <c r="E35" s="53"/>
      <c r="F35" s="53"/>
      <c r="G35" s="53"/>
      <c r="H35" s="53"/>
      <c r="I35" s="53"/>
      <c r="J35" s="53"/>
    </row>
    <row r="36" customFormat="false" ht="15.75" hidden="false" customHeight="true" outlineLevel="0" collapsed="false">
      <c r="A36" s="53"/>
      <c r="B36" s="53"/>
      <c r="C36" s="53"/>
      <c r="D36" s="53"/>
      <c r="E36" s="53"/>
      <c r="F36" s="53"/>
      <c r="G36" s="53"/>
      <c r="H36" s="53"/>
      <c r="I36" s="53"/>
      <c r="J36" s="53"/>
    </row>
    <row r="37" customFormat="false" ht="15.75" hidden="false" customHeight="true" outlineLevel="0" collapsed="false">
      <c r="A37" s="53"/>
      <c r="B37" s="53"/>
      <c r="C37" s="53"/>
      <c r="D37" s="53"/>
      <c r="E37" s="53"/>
      <c r="F37" s="53"/>
      <c r="G37" s="53"/>
      <c r="H37" s="53"/>
      <c r="I37" s="53"/>
      <c r="J37" s="53"/>
    </row>
    <row r="38" customFormat="false" ht="15.75" hidden="false" customHeight="true" outlineLevel="0" collapsed="false">
      <c r="A38" s="53"/>
      <c r="B38" s="53"/>
      <c r="C38" s="53"/>
      <c r="D38" s="53"/>
      <c r="E38" s="53"/>
      <c r="F38" s="53"/>
      <c r="G38" s="53"/>
      <c r="H38" s="53"/>
      <c r="I38" s="53"/>
      <c r="J38" s="53"/>
    </row>
    <row r="39" customFormat="false" ht="15.75" hidden="false" customHeight="true" outlineLevel="0" collapsed="false">
      <c r="A39" s="53"/>
      <c r="B39" s="53"/>
      <c r="C39" s="53"/>
      <c r="D39" s="53"/>
      <c r="E39" s="53"/>
      <c r="F39" s="53"/>
      <c r="G39" s="53"/>
      <c r="H39" s="53"/>
      <c r="I39" s="53"/>
      <c r="J39" s="53"/>
    </row>
    <row r="40" customFormat="false" ht="15.75" hidden="false" customHeight="true" outlineLevel="0" collapsed="false">
      <c r="A40" s="53"/>
      <c r="B40" s="53"/>
      <c r="C40" s="53"/>
      <c r="D40" s="53"/>
      <c r="E40" s="53"/>
      <c r="F40" s="53"/>
      <c r="G40" s="53"/>
      <c r="H40" s="53"/>
      <c r="I40" s="53"/>
      <c r="J40" s="53"/>
    </row>
    <row r="41" customFormat="false" ht="15.75" hidden="false" customHeight="true" outlineLevel="0" collapsed="false">
      <c r="A41" s="53"/>
      <c r="B41" s="53"/>
      <c r="C41" s="53"/>
      <c r="D41" s="53"/>
      <c r="E41" s="53"/>
      <c r="F41" s="53"/>
      <c r="G41" s="53"/>
      <c r="H41" s="53"/>
      <c r="I41" s="53"/>
      <c r="J41" s="53"/>
    </row>
    <row r="42" customFormat="false" ht="15.75" hidden="false" customHeight="true" outlineLevel="0" collapsed="false">
      <c r="A42" s="53"/>
      <c r="B42" s="53"/>
      <c r="C42" s="53"/>
      <c r="D42" s="53"/>
      <c r="E42" s="53"/>
      <c r="F42" s="53"/>
      <c r="G42" s="53"/>
      <c r="H42" s="53"/>
      <c r="I42" s="53"/>
      <c r="J42" s="53"/>
    </row>
    <row r="43" customFormat="false" ht="15.75" hidden="false" customHeight="true" outlineLevel="0" collapsed="false">
      <c r="A43" s="53"/>
      <c r="B43" s="53"/>
      <c r="C43" s="53"/>
      <c r="D43" s="53"/>
      <c r="E43" s="53"/>
      <c r="F43" s="53"/>
      <c r="G43" s="53"/>
      <c r="H43" s="53"/>
      <c r="I43" s="53"/>
      <c r="J43" s="53"/>
    </row>
    <row r="44" customFormat="false" ht="15.75" hidden="false" customHeight="true" outlineLevel="0" collapsed="false">
      <c r="A44" s="53"/>
      <c r="B44" s="53"/>
      <c r="C44" s="53"/>
      <c r="D44" s="53"/>
      <c r="E44" s="53"/>
      <c r="F44" s="53"/>
      <c r="G44" s="53"/>
      <c r="H44" s="53"/>
      <c r="I44" s="53"/>
      <c r="J44" s="53"/>
    </row>
    <row r="45" customFormat="false" ht="15.75" hidden="false" customHeight="true" outlineLevel="0" collapsed="false">
      <c r="A45" s="53"/>
      <c r="B45" s="53"/>
      <c r="C45" s="53"/>
      <c r="D45" s="53"/>
      <c r="E45" s="53"/>
      <c r="F45" s="53"/>
      <c r="G45" s="53"/>
      <c r="H45" s="53"/>
      <c r="I45" s="53"/>
      <c r="J45" s="53"/>
    </row>
    <row r="46" customFormat="false" ht="15.75" hidden="false" customHeight="true" outlineLevel="0" collapsed="false">
      <c r="A46" s="53"/>
      <c r="B46" s="53"/>
      <c r="C46" s="53"/>
      <c r="D46" s="53"/>
      <c r="E46" s="53"/>
      <c r="F46" s="53"/>
      <c r="G46" s="53"/>
      <c r="H46" s="53"/>
      <c r="I46" s="53"/>
      <c r="J46" s="53"/>
    </row>
    <row r="47" customFormat="false" ht="15.75" hidden="false" customHeight="true" outlineLevel="0" collapsed="false">
      <c r="A47" s="53"/>
      <c r="B47" s="53"/>
      <c r="C47" s="53"/>
      <c r="D47" s="53"/>
      <c r="E47" s="53"/>
      <c r="F47" s="53"/>
      <c r="G47" s="53"/>
      <c r="H47" s="53"/>
      <c r="I47" s="53"/>
      <c r="J47" s="53"/>
    </row>
    <row r="48" customFormat="false" ht="15.75" hidden="false" customHeight="true" outlineLevel="0" collapsed="false">
      <c r="A48" s="53"/>
      <c r="B48" s="53"/>
      <c r="C48" s="53"/>
      <c r="D48" s="53"/>
      <c r="E48" s="53"/>
      <c r="F48" s="53"/>
      <c r="G48" s="53"/>
      <c r="H48" s="53"/>
      <c r="I48" s="53"/>
      <c r="J48" s="53"/>
    </row>
    <row r="49" customFormat="false" ht="15.75" hidden="false" customHeight="true" outlineLevel="0" collapsed="false">
      <c r="A49" s="53"/>
      <c r="B49" s="53"/>
      <c r="C49" s="53"/>
      <c r="D49" s="53"/>
      <c r="E49" s="53"/>
      <c r="F49" s="53"/>
      <c r="G49" s="53"/>
      <c r="H49" s="53"/>
      <c r="I49" s="53"/>
      <c r="J49" s="53"/>
    </row>
    <row r="50" customFormat="false" ht="15.75" hidden="false" customHeight="true" outlineLevel="0" collapsed="false">
      <c r="A50" s="53"/>
      <c r="B50" s="53"/>
      <c r="C50" s="53"/>
      <c r="D50" s="53"/>
      <c r="E50" s="53"/>
      <c r="F50" s="53"/>
      <c r="G50" s="53"/>
      <c r="H50" s="53"/>
      <c r="I50" s="53"/>
      <c r="J50" s="53"/>
    </row>
    <row r="51" customFormat="false" ht="15.75" hidden="false" customHeight="true" outlineLevel="0" collapsed="false">
      <c r="A51" s="53"/>
      <c r="B51" s="53"/>
      <c r="C51" s="53"/>
      <c r="D51" s="53"/>
      <c r="E51" s="53"/>
      <c r="F51" s="53"/>
      <c r="G51" s="53"/>
      <c r="H51" s="53"/>
      <c r="I51" s="53"/>
      <c r="J51" s="53"/>
    </row>
    <row r="52" customFormat="false" ht="15.75" hidden="false" customHeight="true" outlineLevel="0" collapsed="false">
      <c r="A52" s="53"/>
      <c r="B52" s="53"/>
      <c r="C52" s="53"/>
      <c r="D52" s="53"/>
      <c r="E52" s="53"/>
      <c r="F52" s="53"/>
      <c r="G52" s="53"/>
      <c r="H52" s="53"/>
      <c r="I52" s="53"/>
      <c r="J52" s="53"/>
    </row>
    <row r="53" customFormat="false" ht="15.75" hidden="false" customHeight="true" outlineLevel="0" collapsed="false">
      <c r="A53" s="53"/>
      <c r="B53" s="53"/>
      <c r="C53" s="53"/>
      <c r="D53" s="53"/>
      <c r="E53" s="53"/>
      <c r="F53" s="53"/>
      <c r="G53" s="53"/>
      <c r="H53" s="53"/>
      <c r="I53" s="53"/>
      <c r="J53" s="53"/>
    </row>
    <row r="54" customFormat="false" ht="15.75" hidden="false" customHeight="true" outlineLevel="0" collapsed="false">
      <c r="A54" s="53"/>
      <c r="B54" s="53"/>
      <c r="C54" s="53"/>
      <c r="D54" s="53"/>
      <c r="E54" s="53"/>
      <c r="F54" s="53"/>
      <c r="G54" s="53"/>
      <c r="H54" s="53"/>
      <c r="I54" s="53"/>
      <c r="J54" s="53"/>
    </row>
    <row r="55" customFormat="false" ht="15.75" hidden="false" customHeight="true" outlineLevel="0" collapsed="false">
      <c r="A55" s="53"/>
      <c r="B55" s="53"/>
      <c r="C55" s="53"/>
      <c r="D55" s="53"/>
      <c r="E55" s="53"/>
      <c r="F55" s="53"/>
      <c r="G55" s="53"/>
      <c r="H55" s="53"/>
      <c r="I55" s="53"/>
      <c r="J55" s="53"/>
    </row>
    <row r="56" customFormat="false" ht="15.75" hidden="false" customHeight="true" outlineLevel="0" collapsed="false">
      <c r="A56" s="53"/>
      <c r="B56" s="53"/>
      <c r="C56" s="53"/>
      <c r="D56" s="53"/>
      <c r="E56" s="53"/>
      <c r="F56" s="53"/>
      <c r="G56" s="53"/>
      <c r="H56" s="53"/>
      <c r="I56" s="53"/>
      <c r="J56" s="53"/>
    </row>
    <row r="57" customFormat="false" ht="15.75" hidden="false" customHeight="true" outlineLevel="0" collapsed="false">
      <c r="A57" s="53"/>
      <c r="B57" s="53"/>
      <c r="C57" s="53"/>
      <c r="D57" s="53"/>
      <c r="E57" s="53"/>
      <c r="F57" s="53"/>
      <c r="G57" s="53"/>
      <c r="H57" s="53"/>
      <c r="I57" s="53"/>
      <c r="J57" s="53"/>
    </row>
    <row r="58" customFormat="false" ht="15.75" hidden="false" customHeight="true" outlineLevel="0" collapsed="false">
      <c r="A58" s="53"/>
      <c r="B58" s="53"/>
      <c r="C58" s="53"/>
      <c r="D58" s="53"/>
      <c r="E58" s="53"/>
      <c r="F58" s="53"/>
      <c r="G58" s="53"/>
      <c r="H58" s="53"/>
      <c r="I58" s="53"/>
      <c r="J58" s="53"/>
    </row>
    <row r="59" customFormat="false" ht="15.75" hidden="false" customHeight="true" outlineLevel="0" collapsed="false">
      <c r="A59" s="53"/>
      <c r="B59" s="53"/>
      <c r="C59" s="53"/>
      <c r="D59" s="53"/>
      <c r="E59" s="53"/>
      <c r="F59" s="53"/>
      <c r="G59" s="53"/>
      <c r="H59" s="53"/>
      <c r="I59" s="53"/>
      <c r="J59" s="53"/>
    </row>
    <row r="60" customFormat="false" ht="15.75" hidden="false" customHeight="true" outlineLevel="0" collapsed="false">
      <c r="A60" s="53"/>
      <c r="B60" s="53"/>
      <c r="C60" s="53"/>
      <c r="D60" s="53"/>
      <c r="E60" s="53"/>
      <c r="F60" s="53"/>
      <c r="G60" s="53"/>
      <c r="H60" s="53"/>
      <c r="I60" s="53"/>
      <c r="J60" s="53"/>
    </row>
    <row r="61" customFormat="false" ht="15.75" hidden="false" customHeight="true" outlineLevel="0" collapsed="false">
      <c r="A61" s="53"/>
      <c r="B61" s="53"/>
      <c r="C61" s="53"/>
      <c r="D61" s="53"/>
      <c r="E61" s="53"/>
      <c r="F61" s="53"/>
      <c r="G61" s="53"/>
      <c r="H61" s="53"/>
      <c r="I61" s="53"/>
      <c r="J61" s="53"/>
    </row>
    <row r="62" customFormat="false" ht="15.75" hidden="false" customHeight="true" outlineLevel="0" collapsed="false">
      <c r="A62" s="53"/>
      <c r="B62" s="53"/>
      <c r="C62" s="53"/>
      <c r="D62" s="53"/>
      <c r="E62" s="53"/>
      <c r="F62" s="53"/>
      <c r="G62" s="53"/>
      <c r="H62" s="53"/>
      <c r="I62" s="53"/>
      <c r="J62" s="53"/>
    </row>
    <row r="63" customFormat="false" ht="15.75" hidden="false" customHeight="true" outlineLevel="0" collapsed="false">
      <c r="A63" s="53"/>
      <c r="B63" s="53"/>
      <c r="C63" s="53"/>
      <c r="D63" s="53"/>
      <c r="E63" s="53"/>
      <c r="F63" s="53"/>
      <c r="G63" s="53"/>
      <c r="H63" s="53"/>
      <c r="I63" s="53"/>
      <c r="J63" s="53"/>
    </row>
    <row r="64" customFormat="false" ht="15.75" hidden="false" customHeight="true" outlineLevel="0" collapsed="false">
      <c r="A64" s="53"/>
      <c r="B64" s="53"/>
      <c r="C64" s="53"/>
      <c r="D64" s="53"/>
      <c r="E64" s="53"/>
      <c r="F64" s="53"/>
      <c r="G64" s="53"/>
      <c r="H64" s="53"/>
      <c r="I64" s="53"/>
      <c r="J64" s="53"/>
    </row>
    <row r="65" customFormat="false" ht="15.75" hidden="false" customHeight="true" outlineLevel="0" collapsed="false">
      <c r="A65" s="53"/>
      <c r="B65" s="53"/>
      <c r="C65" s="53"/>
      <c r="D65" s="53"/>
      <c r="E65" s="53"/>
      <c r="F65" s="53"/>
      <c r="G65" s="53"/>
      <c r="H65" s="53"/>
      <c r="I65" s="53"/>
      <c r="J65" s="53"/>
    </row>
    <row r="66" customFormat="false" ht="15.75" hidden="false" customHeight="true" outlineLevel="0" collapsed="false">
      <c r="A66" s="53"/>
      <c r="B66" s="53"/>
      <c r="C66" s="53"/>
      <c r="D66" s="53"/>
      <c r="E66" s="53"/>
      <c r="F66" s="53"/>
      <c r="G66" s="53"/>
      <c r="H66" s="53"/>
      <c r="I66" s="53"/>
      <c r="J66" s="53"/>
    </row>
    <row r="67" customFormat="false" ht="15.75" hidden="false" customHeight="true" outlineLevel="0" collapsed="false">
      <c r="A67" s="53"/>
      <c r="B67" s="53"/>
      <c r="C67" s="53"/>
      <c r="D67" s="53"/>
      <c r="E67" s="53"/>
      <c r="F67" s="53"/>
      <c r="G67" s="53"/>
      <c r="H67" s="53"/>
      <c r="I67" s="53"/>
      <c r="J67" s="53"/>
    </row>
    <row r="68" customFormat="false" ht="15.75" hidden="false" customHeight="true" outlineLevel="0" collapsed="false">
      <c r="A68" s="53"/>
      <c r="B68" s="53"/>
      <c r="C68" s="53"/>
      <c r="D68" s="53"/>
      <c r="E68" s="53"/>
      <c r="F68" s="53"/>
      <c r="G68" s="53"/>
      <c r="H68" s="53"/>
      <c r="I68" s="53"/>
      <c r="J68" s="53"/>
    </row>
    <row r="69" customFormat="false" ht="15.75" hidden="false" customHeight="true" outlineLevel="0" collapsed="false">
      <c r="A69" s="53"/>
      <c r="B69" s="53"/>
      <c r="C69" s="53"/>
      <c r="D69" s="53"/>
      <c r="E69" s="53"/>
      <c r="F69" s="53"/>
      <c r="G69" s="53"/>
      <c r="H69" s="53"/>
      <c r="I69" s="53"/>
      <c r="J69" s="53"/>
    </row>
    <row r="70" customFormat="false" ht="15.75" hidden="false" customHeight="true" outlineLevel="0" collapsed="false">
      <c r="A70" s="53"/>
      <c r="B70" s="53"/>
      <c r="C70" s="53"/>
      <c r="D70" s="53"/>
      <c r="E70" s="53"/>
      <c r="F70" s="53"/>
      <c r="G70" s="53"/>
      <c r="H70" s="53"/>
      <c r="I70" s="53"/>
      <c r="J70" s="53"/>
    </row>
    <row r="71" customFormat="false" ht="15.75" hidden="false" customHeight="true" outlineLevel="0" collapsed="false">
      <c r="A71" s="53"/>
      <c r="B71" s="53"/>
      <c r="C71" s="53"/>
      <c r="D71" s="53"/>
      <c r="E71" s="53"/>
      <c r="F71" s="53"/>
      <c r="G71" s="53"/>
      <c r="H71" s="53"/>
      <c r="I71" s="53"/>
      <c r="J71" s="53"/>
    </row>
    <row r="72" customFormat="false" ht="15.75" hidden="false" customHeight="true" outlineLevel="0" collapsed="false">
      <c r="A72" s="53"/>
      <c r="B72" s="53"/>
      <c r="C72" s="53"/>
      <c r="D72" s="53"/>
      <c r="E72" s="53"/>
      <c r="F72" s="53"/>
      <c r="G72" s="53"/>
      <c r="H72" s="53"/>
      <c r="I72" s="53"/>
      <c r="J72" s="53"/>
    </row>
    <row r="73" customFormat="false" ht="15.75" hidden="false" customHeight="true" outlineLevel="0" collapsed="false">
      <c r="A73" s="53"/>
      <c r="B73" s="53"/>
      <c r="C73" s="53"/>
      <c r="D73" s="53"/>
      <c r="E73" s="53"/>
      <c r="F73" s="53"/>
      <c r="G73" s="53"/>
      <c r="H73" s="53"/>
      <c r="I73" s="53"/>
      <c r="J73" s="53"/>
    </row>
    <row r="74" customFormat="false" ht="15.75" hidden="false" customHeight="true" outlineLevel="0" collapsed="false">
      <c r="A74" s="53"/>
      <c r="B74" s="53"/>
      <c r="C74" s="53"/>
      <c r="D74" s="53"/>
      <c r="E74" s="53"/>
      <c r="F74" s="53"/>
      <c r="G74" s="53"/>
      <c r="H74" s="53"/>
      <c r="I74" s="53"/>
      <c r="J74" s="53"/>
    </row>
    <row r="75" customFormat="false" ht="15.75" hidden="false" customHeight="true" outlineLevel="0" collapsed="false">
      <c r="A75" s="53"/>
      <c r="B75" s="53"/>
      <c r="C75" s="53"/>
      <c r="D75" s="53"/>
      <c r="E75" s="53"/>
      <c r="F75" s="53"/>
      <c r="G75" s="53"/>
      <c r="H75" s="53"/>
      <c r="I75" s="53"/>
      <c r="J75" s="53"/>
    </row>
    <row r="76" customFormat="false" ht="15.75" hidden="false" customHeight="true" outlineLevel="0" collapsed="false">
      <c r="A76" s="53"/>
      <c r="B76" s="53"/>
      <c r="C76" s="53"/>
      <c r="D76" s="53"/>
      <c r="E76" s="53"/>
      <c r="F76" s="53"/>
      <c r="G76" s="53"/>
      <c r="H76" s="53"/>
      <c r="I76" s="53"/>
      <c r="J76" s="53"/>
    </row>
    <row r="77" customFormat="false" ht="15.75" hidden="false" customHeight="true" outlineLevel="0" collapsed="false">
      <c r="A77" s="53"/>
      <c r="B77" s="53"/>
      <c r="C77" s="53"/>
      <c r="D77" s="53"/>
      <c r="E77" s="53"/>
      <c r="F77" s="53"/>
      <c r="G77" s="53"/>
      <c r="H77" s="53"/>
      <c r="I77" s="53"/>
      <c r="J77" s="53"/>
    </row>
    <row r="78" customFormat="false" ht="15.75" hidden="false" customHeight="true" outlineLevel="0" collapsed="false">
      <c r="A78" s="53"/>
      <c r="B78" s="53"/>
      <c r="C78" s="53"/>
      <c r="D78" s="53"/>
      <c r="E78" s="53"/>
      <c r="F78" s="53"/>
      <c r="G78" s="53"/>
      <c r="H78" s="53"/>
      <c r="I78" s="53"/>
      <c r="J78" s="53"/>
    </row>
    <row r="79" customFormat="false" ht="15.75" hidden="false" customHeight="tru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53"/>
    </row>
    <row r="80" customFormat="false" ht="15.75" hidden="false" customHeight="true" outlineLevel="0" collapsed="false">
      <c r="A80" s="53"/>
      <c r="B80" s="53"/>
      <c r="C80" s="53"/>
      <c r="D80" s="53"/>
      <c r="E80" s="53"/>
      <c r="F80" s="53"/>
      <c r="G80" s="53"/>
      <c r="H80" s="53"/>
      <c r="I80" s="53"/>
      <c r="J80" s="53"/>
    </row>
    <row r="81" customFormat="false" ht="15.75" hidden="false" customHeight="true" outlineLevel="0" collapsed="false">
      <c r="A81" s="53"/>
      <c r="B81" s="53"/>
      <c r="C81" s="53"/>
      <c r="D81" s="53"/>
      <c r="E81" s="53"/>
      <c r="F81" s="53"/>
      <c r="G81" s="53"/>
      <c r="H81" s="53"/>
      <c r="I81" s="53"/>
      <c r="J81" s="53"/>
    </row>
    <row r="82" customFormat="false" ht="15.75" hidden="false" customHeight="true" outlineLevel="0" collapsed="false">
      <c r="A82" s="53"/>
      <c r="B82" s="53"/>
      <c r="C82" s="53"/>
      <c r="D82" s="53"/>
      <c r="E82" s="53"/>
      <c r="F82" s="53"/>
      <c r="G82" s="53"/>
      <c r="H82" s="53"/>
      <c r="I82" s="53"/>
      <c r="J82" s="53"/>
    </row>
    <row r="83" customFormat="false" ht="15.75" hidden="false" customHeight="true" outlineLevel="0" collapsed="false">
      <c r="A83" s="53"/>
      <c r="B83" s="53"/>
      <c r="C83" s="53"/>
      <c r="D83" s="53"/>
      <c r="E83" s="53"/>
      <c r="F83" s="53"/>
      <c r="G83" s="53"/>
      <c r="H83" s="53"/>
      <c r="I83" s="53"/>
      <c r="J83" s="53"/>
    </row>
    <row r="84" customFormat="false" ht="15.75" hidden="false" customHeight="true" outlineLevel="0" collapsed="false">
      <c r="A84" s="53"/>
      <c r="B84" s="53"/>
      <c r="C84" s="53"/>
      <c r="D84" s="53"/>
      <c r="E84" s="53"/>
      <c r="F84" s="53"/>
      <c r="G84" s="53"/>
      <c r="H84" s="53"/>
      <c r="I84" s="53"/>
      <c r="J84" s="53"/>
    </row>
    <row r="85" customFormat="false" ht="15.75" hidden="false" customHeight="true" outlineLevel="0" collapsed="false">
      <c r="A85" s="53"/>
      <c r="B85" s="53"/>
      <c r="C85" s="53"/>
      <c r="D85" s="53"/>
      <c r="E85" s="53"/>
      <c r="F85" s="53"/>
      <c r="G85" s="53"/>
      <c r="H85" s="53"/>
      <c r="I85" s="53"/>
      <c r="J85" s="53"/>
    </row>
    <row r="86" customFormat="false" ht="15.75" hidden="false" customHeight="true" outlineLevel="0" collapsed="false">
      <c r="A86" s="53"/>
      <c r="B86" s="53"/>
      <c r="C86" s="53"/>
      <c r="D86" s="53"/>
      <c r="E86" s="53"/>
      <c r="F86" s="53"/>
      <c r="G86" s="53"/>
      <c r="H86" s="53"/>
      <c r="I86" s="53"/>
      <c r="J86" s="53"/>
    </row>
    <row r="87" customFormat="false" ht="15.75" hidden="false" customHeight="true" outlineLevel="0" collapsed="false">
      <c r="A87" s="53"/>
      <c r="B87" s="53"/>
      <c r="C87" s="53"/>
      <c r="D87" s="53"/>
      <c r="E87" s="53"/>
      <c r="F87" s="53"/>
      <c r="G87" s="53"/>
      <c r="H87" s="53"/>
      <c r="I87" s="53"/>
      <c r="J87" s="53"/>
    </row>
    <row r="88" customFormat="false" ht="15.75" hidden="false" customHeight="true" outlineLevel="0" collapsed="false">
      <c r="A88" s="53"/>
      <c r="B88" s="53"/>
      <c r="C88" s="53"/>
      <c r="D88" s="53"/>
      <c r="E88" s="53"/>
      <c r="F88" s="53"/>
      <c r="G88" s="53"/>
      <c r="H88" s="53"/>
      <c r="I88" s="53"/>
      <c r="J88" s="53"/>
    </row>
    <row r="89" customFormat="false" ht="15.75" hidden="false" customHeight="true" outlineLevel="0" collapsed="false">
      <c r="A89" s="53"/>
      <c r="B89" s="53"/>
      <c r="C89" s="53"/>
      <c r="D89" s="53"/>
      <c r="E89" s="53"/>
      <c r="F89" s="53"/>
      <c r="G89" s="53"/>
      <c r="H89" s="53"/>
      <c r="I89" s="53"/>
      <c r="J89" s="53"/>
    </row>
    <row r="90" customFormat="false" ht="15.75" hidden="false" customHeight="true" outlineLevel="0" collapsed="false">
      <c r="A90" s="53"/>
      <c r="B90" s="53"/>
      <c r="C90" s="53"/>
      <c r="D90" s="53"/>
      <c r="E90" s="53"/>
      <c r="F90" s="53"/>
      <c r="G90" s="53"/>
      <c r="H90" s="53"/>
      <c r="I90" s="53"/>
      <c r="J90" s="53"/>
    </row>
    <row r="91" customFormat="false" ht="15.75" hidden="false" customHeight="true" outlineLevel="0" collapsed="false">
      <c r="A91" s="53"/>
      <c r="B91" s="53"/>
      <c r="C91" s="53"/>
      <c r="D91" s="53"/>
      <c r="E91" s="53"/>
      <c r="F91" s="53"/>
      <c r="G91" s="53"/>
      <c r="H91" s="53"/>
      <c r="I91" s="53"/>
      <c r="J91" s="53"/>
    </row>
    <row r="92" customFormat="false" ht="15.75" hidden="false" customHeight="true" outlineLevel="0" collapsed="false">
      <c r="A92" s="53"/>
      <c r="B92" s="53"/>
      <c r="C92" s="53"/>
      <c r="D92" s="53"/>
      <c r="E92" s="53"/>
      <c r="F92" s="53"/>
      <c r="G92" s="53"/>
      <c r="H92" s="53"/>
      <c r="I92" s="53"/>
      <c r="J92" s="53"/>
    </row>
    <row r="93" customFormat="false" ht="15.75" hidden="false" customHeight="true" outlineLevel="0" collapsed="false">
      <c r="A93" s="53"/>
      <c r="B93" s="53"/>
      <c r="C93" s="53"/>
      <c r="D93" s="53"/>
      <c r="E93" s="53"/>
      <c r="F93" s="53"/>
      <c r="G93" s="53"/>
      <c r="H93" s="53"/>
      <c r="I93" s="53"/>
      <c r="J93" s="53"/>
    </row>
    <row r="94" customFormat="false" ht="15.75" hidden="false" customHeight="true" outlineLevel="0" collapsed="false">
      <c r="A94" s="53"/>
      <c r="B94" s="53"/>
      <c r="C94" s="53"/>
      <c r="D94" s="53"/>
      <c r="E94" s="53"/>
      <c r="F94" s="53"/>
      <c r="G94" s="53"/>
      <c r="H94" s="53"/>
      <c r="I94" s="53"/>
      <c r="J94" s="53"/>
    </row>
    <row r="95" customFormat="false" ht="15.75" hidden="false" customHeight="true" outlineLevel="0" collapsed="false">
      <c r="A95" s="53"/>
      <c r="B95" s="53"/>
      <c r="C95" s="53"/>
      <c r="D95" s="53"/>
      <c r="E95" s="53"/>
      <c r="F95" s="53"/>
      <c r="G95" s="53"/>
      <c r="H95" s="53"/>
      <c r="I95" s="53"/>
      <c r="J95" s="53"/>
    </row>
    <row r="96" customFormat="false" ht="15.75" hidden="false" customHeight="true" outlineLevel="0" collapsed="false">
      <c r="A96" s="53"/>
      <c r="B96" s="53"/>
      <c r="C96" s="53"/>
      <c r="D96" s="53"/>
      <c r="E96" s="53"/>
      <c r="F96" s="53"/>
      <c r="G96" s="53"/>
      <c r="H96" s="53"/>
      <c r="I96" s="53"/>
      <c r="J96" s="53"/>
    </row>
    <row r="97" customFormat="false" ht="15.75" hidden="false" customHeight="true" outlineLevel="0" collapsed="false">
      <c r="A97" s="53"/>
      <c r="B97" s="53"/>
      <c r="C97" s="53"/>
      <c r="D97" s="53"/>
      <c r="E97" s="53"/>
      <c r="F97" s="53"/>
      <c r="G97" s="53"/>
      <c r="H97" s="53"/>
      <c r="I97" s="53"/>
      <c r="J97" s="53"/>
    </row>
    <row r="98" customFormat="false" ht="15.75" hidden="false" customHeight="true" outlineLevel="0" collapsed="false">
      <c r="A98" s="53"/>
      <c r="B98" s="53"/>
      <c r="C98" s="53"/>
      <c r="D98" s="53"/>
      <c r="E98" s="53"/>
      <c r="F98" s="53"/>
      <c r="G98" s="53"/>
      <c r="H98" s="53"/>
      <c r="I98" s="53"/>
      <c r="J98" s="53"/>
    </row>
    <row r="99" customFormat="false" ht="15.75" hidden="false" customHeight="true" outlineLevel="0" collapsed="false">
      <c r="A99" s="53"/>
      <c r="B99" s="53"/>
      <c r="C99" s="53"/>
      <c r="D99" s="53"/>
      <c r="E99" s="53"/>
      <c r="F99" s="53"/>
      <c r="G99" s="53"/>
      <c r="H99" s="53"/>
      <c r="I99" s="53"/>
      <c r="J99" s="53"/>
    </row>
    <row r="100" customFormat="false" ht="15.75" hidden="false" customHeight="true" outlineLevel="0" collapsed="false">
      <c r="A100" s="53"/>
      <c r="B100" s="53"/>
      <c r="C100" s="53"/>
      <c r="D100" s="53"/>
      <c r="E100" s="53"/>
      <c r="F100" s="53"/>
      <c r="G100" s="53"/>
      <c r="H100" s="53"/>
      <c r="I100" s="53"/>
      <c r="J100" s="53"/>
    </row>
    <row r="101" customFormat="false" ht="15.75" hidden="false" customHeight="true" outlineLevel="0" collapsed="false">
      <c r="A101" s="53"/>
      <c r="B101" s="53"/>
      <c r="C101" s="53"/>
      <c r="D101" s="53"/>
      <c r="E101" s="53"/>
      <c r="F101" s="53"/>
      <c r="G101" s="53"/>
      <c r="H101" s="53"/>
      <c r="I101" s="53"/>
      <c r="J101" s="53"/>
    </row>
    <row r="102" customFormat="false" ht="15.75" hidden="false" customHeight="true" outlineLevel="0" collapsed="false">
      <c r="A102" s="53"/>
      <c r="B102" s="53"/>
      <c r="C102" s="53"/>
      <c r="D102" s="53"/>
      <c r="E102" s="53"/>
      <c r="F102" s="53"/>
      <c r="G102" s="53"/>
      <c r="H102" s="53"/>
      <c r="I102" s="53"/>
      <c r="J102" s="53"/>
    </row>
    <row r="103" customFormat="false" ht="15.75" hidden="false" customHeight="true" outlineLevel="0" collapsed="false">
      <c r="A103" s="53"/>
      <c r="B103" s="53"/>
      <c r="C103" s="53"/>
      <c r="D103" s="53"/>
      <c r="E103" s="53"/>
      <c r="F103" s="53"/>
      <c r="G103" s="53"/>
      <c r="H103" s="53"/>
      <c r="I103" s="53"/>
      <c r="J103" s="53"/>
    </row>
    <row r="104" customFormat="false" ht="15.75" hidden="false" customHeight="true" outlineLevel="0" collapsed="false">
      <c r="A104" s="53"/>
      <c r="B104" s="53"/>
      <c r="C104" s="53"/>
      <c r="D104" s="53"/>
      <c r="E104" s="53"/>
      <c r="F104" s="53"/>
      <c r="G104" s="53"/>
      <c r="H104" s="53"/>
      <c r="I104" s="53"/>
      <c r="J104" s="53"/>
    </row>
    <row r="105" customFormat="false" ht="15.75" hidden="false" customHeight="true" outlineLevel="0" collapsed="false">
      <c r="A105" s="53"/>
      <c r="B105" s="53"/>
      <c r="C105" s="53"/>
      <c r="D105" s="53"/>
      <c r="E105" s="53"/>
      <c r="F105" s="53"/>
      <c r="G105" s="53"/>
      <c r="H105" s="53"/>
      <c r="I105" s="53"/>
      <c r="J105" s="53"/>
    </row>
    <row r="106" customFormat="false" ht="15.75" hidden="false" customHeight="true" outlineLevel="0" collapsed="false">
      <c r="A106" s="53"/>
      <c r="B106" s="53"/>
      <c r="C106" s="53"/>
      <c r="D106" s="53"/>
      <c r="E106" s="53"/>
      <c r="F106" s="53"/>
      <c r="G106" s="53"/>
      <c r="H106" s="53"/>
      <c r="I106" s="53"/>
      <c r="J106" s="53"/>
    </row>
    <row r="107" customFormat="false" ht="15.75" hidden="false" customHeight="true" outlineLevel="0" collapsed="false">
      <c r="A107" s="53"/>
      <c r="B107" s="53"/>
      <c r="C107" s="53"/>
      <c r="D107" s="53"/>
      <c r="E107" s="53"/>
      <c r="F107" s="53"/>
      <c r="G107" s="53"/>
      <c r="H107" s="53"/>
      <c r="I107" s="53"/>
      <c r="J107" s="53"/>
    </row>
    <row r="108" customFormat="false" ht="15.75" hidden="false" customHeight="true" outlineLevel="0" collapsed="false">
      <c r="A108" s="53"/>
      <c r="B108" s="53"/>
      <c r="C108" s="53"/>
      <c r="D108" s="53"/>
      <c r="E108" s="53"/>
      <c r="F108" s="53"/>
      <c r="G108" s="53"/>
      <c r="H108" s="53"/>
      <c r="I108" s="53"/>
      <c r="J108" s="53"/>
    </row>
    <row r="109" customFormat="false" ht="15.75" hidden="false" customHeight="true" outlineLevel="0" collapsed="false">
      <c r="A109" s="53"/>
      <c r="B109" s="53"/>
      <c r="C109" s="53"/>
      <c r="D109" s="53"/>
      <c r="E109" s="53"/>
      <c r="F109" s="53"/>
      <c r="G109" s="53"/>
      <c r="H109" s="53"/>
      <c r="I109" s="53"/>
      <c r="J109" s="53"/>
    </row>
    <row r="110" customFormat="false" ht="15.75" hidden="false" customHeight="true" outlineLevel="0" collapsed="false">
      <c r="A110" s="53"/>
      <c r="B110" s="53"/>
      <c r="C110" s="53"/>
      <c r="D110" s="53"/>
      <c r="E110" s="53"/>
      <c r="F110" s="53"/>
      <c r="G110" s="53"/>
      <c r="H110" s="53"/>
      <c r="I110" s="53"/>
      <c r="J110" s="53"/>
    </row>
    <row r="111" customFormat="false" ht="15.75" hidden="false" customHeight="true" outlineLevel="0" collapsed="false">
      <c r="A111" s="53"/>
      <c r="B111" s="53"/>
      <c r="C111" s="53"/>
      <c r="D111" s="53"/>
      <c r="E111" s="53"/>
      <c r="F111" s="53"/>
      <c r="G111" s="53"/>
      <c r="H111" s="53"/>
      <c r="I111" s="53"/>
      <c r="J111" s="53"/>
    </row>
    <row r="112" customFormat="false" ht="15.75" hidden="false" customHeight="true" outlineLevel="0" collapsed="false">
      <c r="A112" s="53"/>
      <c r="B112" s="53"/>
      <c r="C112" s="53"/>
      <c r="D112" s="53"/>
      <c r="E112" s="53"/>
      <c r="F112" s="53"/>
      <c r="G112" s="53"/>
      <c r="H112" s="53"/>
      <c r="I112" s="53"/>
      <c r="J112" s="53"/>
    </row>
    <row r="113" customFormat="false" ht="15.75" hidden="false" customHeight="true" outlineLevel="0" collapsed="false">
      <c r="A113" s="53"/>
      <c r="B113" s="53"/>
      <c r="C113" s="53"/>
      <c r="D113" s="53"/>
      <c r="E113" s="53"/>
      <c r="F113" s="53"/>
      <c r="G113" s="53"/>
      <c r="H113" s="53"/>
      <c r="I113" s="53"/>
      <c r="J113" s="53"/>
    </row>
    <row r="114" customFormat="false" ht="15.75" hidden="false" customHeight="true" outlineLevel="0" collapsed="false">
      <c r="A114" s="53"/>
      <c r="B114" s="53"/>
      <c r="C114" s="53"/>
      <c r="D114" s="53"/>
      <c r="E114" s="53"/>
      <c r="F114" s="53"/>
      <c r="G114" s="53"/>
      <c r="H114" s="53"/>
      <c r="I114" s="53"/>
      <c r="J114" s="53"/>
    </row>
    <row r="115" customFormat="false" ht="15.75" hidden="false" customHeight="true" outlineLevel="0" collapsed="false">
      <c r="A115" s="53"/>
      <c r="B115" s="53"/>
      <c r="C115" s="53"/>
      <c r="D115" s="53"/>
      <c r="E115" s="53"/>
      <c r="F115" s="53"/>
      <c r="G115" s="53"/>
      <c r="H115" s="53"/>
      <c r="I115" s="53"/>
      <c r="J115" s="53"/>
    </row>
    <row r="116" customFormat="false" ht="15.75" hidden="false" customHeight="true" outlineLevel="0" collapsed="false">
      <c r="A116" s="53"/>
      <c r="B116" s="53"/>
      <c r="C116" s="53"/>
      <c r="D116" s="53"/>
      <c r="E116" s="53"/>
      <c r="F116" s="53"/>
      <c r="G116" s="53"/>
      <c r="H116" s="53"/>
      <c r="I116" s="53"/>
      <c r="J116" s="53"/>
    </row>
    <row r="117" customFormat="false" ht="15.75" hidden="false" customHeight="true" outlineLevel="0" collapsed="false">
      <c r="A117" s="53"/>
      <c r="B117" s="53"/>
      <c r="C117" s="53"/>
      <c r="D117" s="53"/>
      <c r="E117" s="53"/>
      <c r="F117" s="53"/>
      <c r="G117" s="53"/>
      <c r="H117" s="53"/>
      <c r="I117" s="53"/>
      <c r="J117" s="53"/>
    </row>
    <row r="118" customFormat="false" ht="15.75" hidden="false" customHeight="true" outlineLevel="0" collapsed="false">
      <c r="A118" s="53"/>
      <c r="B118" s="53"/>
      <c r="C118" s="53"/>
      <c r="D118" s="53"/>
      <c r="E118" s="53"/>
      <c r="F118" s="53"/>
      <c r="G118" s="53"/>
      <c r="H118" s="53"/>
      <c r="I118" s="53"/>
      <c r="J118" s="53"/>
    </row>
    <row r="119" customFormat="false" ht="15.75" hidden="false" customHeight="true" outlineLevel="0" collapsed="false">
      <c r="A119" s="53"/>
      <c r="B119" s="53"/>
      <c r="C119" s="53"/>
      <c r="D119" s="53"/>
      <c r="E119" s="53"/>
      <c r="F119" s="53"/>
      <c r="G119" s="53"/>
      <c r="H119" s="53"/>
      <c r="I119" s="53"/>
      <c r="J119" s="53"/>
    </row>
    <row r="120" customFormat="false" ht="15.75" hidden="false" customHeight="true" outlineLevel="0" collapsed="false">
      <c r="A120" s="53"/>
      <c r="B120" s="53"/>
      <c r="C120" s="53"/>
      <c r="D120" s="53"/>
      <c r="E120" s="53"/>
      <c r="F120" s="53"/>
      <c r="G120" s="53"/>
      <c r="H120" s="53"/>
      <c r="I120" s="53"/>
      <c r="J120" s="53"/>
    </row>
    <row r="121" customFormat="false" ht="15.75" hidden="false" customHeight="true" outlineLevel="0" collapsed="false">
      <c r="A121" s="53"/>
      <c r="B121" s="53"/>
      <c r="C121" s="53"/>
      <c r="D121" s="53"/>
      <c r="E121" s="53"/>
      <c r="F121" s="53"/>
      <c r="G121" s="53"/>
      <c r="H121" s="53"/>
      <c r="I121" s="53"/>
      <c r="J121" s="53"/>
    </row>
    <row r="122" customFormat="false" ht="15.75" hidden="false" customHeight="true" outlineLevel="0" collapsed="false">
      <c r="A122" s="53"/>
      <c r="B122" s="53"/>
      <c r="C122" s="53"/>
      <c r="D122" s="53"/>
      <c r="E122" s="53"/>
      <c r="F122" s="53"/>
      <c r="G122" s="53"/>
      <c r="H122" s="53"/>
      <c r="I122" s="53"/>
      <c r="J122" s="53"/>
    </row>
    <row r="123" customFormat="false" ht="15.75" hidden="false" customHeight="true" outlineLevel="0" collapsed="false">
      <c r="A123" s="53"/>
      <c r="B123" s="53"/>
      <c r="C123" s="53"/>
      <c r="D123" s="53"/>
      <c r="E123" s="53"/>
      <c r="F123" s="53"/>
      <c r="G123" s="53"/>
      <c r="H123" s="53"/>
      <c r="I123" s="53"/>
      <c r="J123" s="53"/>
    </row>
    <row r="124" customFormat="false" ht="15.75" hidden="false" customHeight="true" outlineLevel="0" collapsed="false">
      <c r="A124" s="53"/>
      <c r="B124" s="53"/>
      <c r="C124" s="53"/>
      <c r="D124" s="53"/>
      <c r="E124" s="53"/>
      <c r="F124" s="53"/>
      <c r="G124" s="53"/>
      <c r="H124" s="53"/>
      <c r="I124" s="53"/>
      <c r="J124" s="53"/>
    </row>
    <row r="125" customFormat="false" ht="15.75" hidden="false" customHeight="true" outlineLevel="0" collapsed="false">
      <c r="A125" s="53"/>
      <c r="B125" s="53"/>
      <c r="C125" s="53"/>
      <c r="D125" s="53"/>
      <c r="E125" s="53"/>
      <c r="F125" s="53"/>
      <c r="G125" s="53"/>
      <c r="H125" s="53"/>
      <c r="I125" s="53"/>
      <c r="J125" s="53"/>
    </row>
    <row r="126" customFormat="false" ht="15.75" hidden="false" customHeight="true" outlineLevel="0" collapsed="false">
      <c r="A126" s="53"/>
      <c r="B126" s="53"/>
      <c r="C126" s="53"/>
      <c r="D126" s="53"/>
      <c r="E126" s="53"/>
      <c r="F126" s="53"/>
      <c r="G126" s="53"/>
      <c r="H126" s="53"/>
      <c r="I126" s="53"/>
      <c r="J126" s="53"/>
    </row>
    <row r="127" customFormat="false" ht="15.75" hidden="false" customHeight="true" outlineLevel="0" collapsed="false">
      <c r="A127" s="53"/>
      <c r="B127" s="53"/>
      <c r="C127" s="53"/>
      <c r="D127" s="53"/>
      <c r="E127" s="53"/>
      <c r="F127" s="53"/>
      <c r="G127" s="53"/>
      <c r="H127" s="53"/>
      <c r="I127" s="53"/>
      <c r="J127" s="53"/>
    </row>
    <row r="128" customFormat="false" ht="15.75" hidden="false" customHeight="true" outlineLevel="0" collapsed="false">
      <c r="A128" s="53"/>
      <c r="B128" s="53"/>
      <c r="C128" s="53"/>
      <c r="D128" s="53"/>
      <c r="E128" s="53"/>
      <c r="F128" s="53"/>
      <c r="G128" s="53"/>
      <c r="H128" s="53"/>
      <c r="I128" s="53"/>
      <c r="J128" s="53"/>
    </row>
    <row r="129" customFormat="false" ht="15.75" hidden="false" customHeight="true" outlineLevel="0" collapsed="false">
      <c r="A129" s="53"/>
      <c r="B129" s="53"/>
      <c r="C129" s="53"/>
      <c r="D129" s="53"/>
      <c r="E129" s="53"/>
      <c r="F129" s="53"/>
      <c r="G129" s="53"/>
      <c r="H129" s="53"/>
      <c r="I129" s="53"/>
      <c r="J129" s="53"/>
    </row>
    <row r="130" customFormat="false" ht="15.75" hidden="false" customHeight="true" outlineLevel="0" collapsed="false">
      <c r="A130" s="53"/>
      <c r="B130" s="53"/>
      <c r="C130" s="53"/>
      <c r="D130" s="53"/>
      <c r="E130" s="53"/>
      <c r="F130" s="53"/>
      <c r="G130" s="53"/>
      <c r="H130" s="53"/>
      <c r="I130" s="53"/>
      <c r="J130" s="53"/>
    </row>
    <row r="131" customFormat="false" ht="15.75" hidden="false" customHeight="true" outlineLevel="0" collapsed="false">
      <c r="A131" s="53"/>
      <c r="B131" s="53"/>
      <c r="C131" s="53"/>
      <c r="D131" s="53"/>
      <c r="E131" s="53"/>
      <c r="F131" s="53"/>
      <c r="G131" s="53"/>
      <c r="H131" s="53"/>
      <c r="I131" s="53"/>
      <c r="J131" s="53"/>
    </row>
    <row r="132" customFormat="false" ht="15.75" hidden="false" customHeight="true" outlineLevel="0" collapsed="false">
      <c r="A132" s="53"/>
      <c r="B132" s="53"/>
      <c r="C132" s="53"/>
      <c r="D132" s="53"/>
      <c r="E132" s="53"/>
      <c r="F132" s="53"/>
      <c r="G132" s="53"/>
      <c r="H132" s="53"/>
      <c r="I132" s="53"/>
      <c r="J132" s="53"/>
    </row>
    <row r="133" customFormat="false" ht="15.75" hidden="false" customHeight="true" outlineLevel="0" collapsed="false">
      <c r="A133" s="53"/>
      <c r="B133" s="53"/>
      <c r="C133" s="53"/>
      <c r="D133" s="53"/>
      <c r="E133" s="53"/>
      <c r="F133" s="53"/>
      <c r="G133" s="53"/>
      <c r="H133" s="53"/>
      <c r="I133" s="53"/>
      <c r="J133" s="53"/>
    </row>
    <row r="134" customFormat="false" ht="15.75" hidden="false" customHeight="true" outlineLevel="0" collapsed="false">
      <c r="A134" s="53"/>
      <c r="B134" s="53"/>
      <c r="C134" s="53"/>
      <c r="D134" s="53"/>
      <c r="E134" s="53"/>
      <c r="F134" s="53"/>
      <c r="G134" s="53"/>
      <c r="H134" s="53"/>
      <c r="I134" s="53"/>
      <c r="J134" s="53"/>
    </row>
    <row r="135" customFormat="false" ht="15.75" hidden="false" customHeight="true" outlineLevel="0" collapsed="false">
      <c r="A135" s="53"/>
      <c r="B135" s="53"/>
      <c r="C135" s="53"/>
      <c r="D135" s="53"/>
      <c r="E135" s="53"/>
      <c r="F135" s="53"/>
      <c r="G135" s="53"/>
      <c r="H135" s="53"/>
      <c r="I135" s="53"/>
      <c r="J135" s="53"/>
    </row>
    <row r="136" customFormat="false" ht="15.75" hidden="false" customHeight="true" outlineLevel="0" collapsed="false">
      <c r="A136" s="53"/>
      <c r="B136" s="53"/>
      <c r="C136" s="53"/>
      <c r="D136" s="53"/>
      <c r="E136" s="53"/>
      <c r="F136" s="53"/>
      <c r="G136" s="53"/>
      <c r="H136" s="53"/>
      <c r="I136" s="53"/>
      <c r="J136" s="53"/>
    </row>
    <row r="137" customFormat="false" ht="15.75" hidden="false" customHeight="true" outlineLevel="0" collapsed="false">
      <c r="A137" s="53"/>
      <c r="B137" s="53"/>
      <c r="C137" s="53"/>
      <c r="D137" s="53"/>
      <c r="E137" s="53"/>
      <c r="F137" s="53"/>
      <c r="G137" s="53"/>
      <c r="H137" s="53"/>
      <c r="I137" s="53"/>
      <c r="J137" s="53"/>
    </row>
    <row r="138" customFormat="false" ht="15.75" hidden="false" customHeight="true" outlineLevel="0" collapsed="false">
      <c r="A138" s="53"/>
      <c r="B138" s="53"/>
      <c r="C138" s="53"/>
      <c r="D138" s="53"/>
      <c r="E138" s="53"/>
      <c r="F138" s="53"/>
      <c r="G138" s="53"/>
      <c r="H138" s="53"/>
      <c r="I138" s="53"/>
      <c r="J138" s="53"/>
    </row>
    <row r="139" customFormat="false" ht="15.75" hidden="false" customHeight="true" outlineLevel="0" collapsed="false">
      <c r="A139" s="53"/>
      <c r="B139" s="53"/>
      <c r="C139" s="53"/>
      <c r="D139" s="53"/>
      <c r="E139" s="53"/>
      <c r="F139" s="53"/>
      <c r="G139" s="53"/>
      <c r="H139" s="53"/>
      <c r="I139" s="53"/>
      <c r="J139" s="53"/>
    </row>
    <row r="140" customFormat="false" ht="15.75" hidden="false" customHeight="true" outlineLevel="0" collapsed="false">
      <c r="A140" s="53"/>
      <c r="B140" s="53"/>
      <c r="C140" s="53"/>
      <c r="D140" s="53"/>
      <c r="E140" s="53"/>
      <c r="F140" s="53"/>
      <c r="G140" s="53"/>
      <c r="H140" s="53"/>
      <c r="I140" s="53"/>
      <c r="J140" s="53"/>
    </row>
    <row r="141" customFormat="false" ht="15.75" hidden="false" customHeight="true" outlineLevel="0" collapsed="false">
      <c r="A141" s="53"/>
      <c r="B141" s="53"/>
      <c r="C141" s="53"/>
      <c r="D141" s="53"/>
      <c r="E141" s="53"/>
      <c r="F141" s="53"/>
      <c r="G141" s="53"/>
      <c r="H141" s="53"/>
      <c r="I141" s="53"/>
      <c r="J141" s="53"/>
    </row>
    <row r="142" customFormat="false" ht="15.75" hidden="false" customHeight="true" outlineLevel="0" collapsed="false">
      <c r="A142" s="53"/>
      <c r="B142" s="53"/>
      <c r="C142" s="53"/>
      <c r="D142" s="53"/>
      <c r="E142" s="53"/>
      <c r="F142" s="53"/>
      <c r="G142" s="53"/>
      <c r="H142" s="53"/>
      <c r="I142" s="53"/>
      <c r="J142" s="53"/>
    </row>
    <row r="143" customFormat="false" ht="15.75" hidden="false" customHeight="true" outlineLevel="0" collapsed="false">
      <c r="A143" s="53"/>
      <c r="B143" s="53"/>
      <c r="C143" s="53"/>
      <c r="D143" s="53"/>
      <c r="E143" s="53"/>
      <c r="F143" s="53"/>
      <c r="G143" s="53"/>
      <c r="H143" s="53"/>
      <c r="I143" s="53"/>
      <c r="J143" s="53"/>
    </row>
    <row r="144" customFormat="false" ht="15.75" hidden="false" customHeight="true" outlineLevel="0" collapsed="false">
      <c r="A144" s="53"/>
      <c r="B144" s="53"/>
      <c r="C144" s="53"/>
      <c r="D144" s="53"/>
      <c r="E144" s="53"/>
      <c r="F144" s="53"/>
      <c r="G144" s="53"/>
      <c r="H144" s="53"/>
      <c r="I144" s="53"/>
      <c r="J144" s="53"/>
    </row>
    <row r="145" customFormat="false" ht="15.75" hidden="false" customHeight="true" outlineLevel="0" collapsed="false">
      <c r="A145" s="53"/>
      <c r="B145" s="53"/>
      <c r="C145" s="53"/>
      <c r="D145" s="53"/>
      <c r="E145" s="53"/>
      <c r="F145" s="53"/>
      <c r="G145" s="53"/>
      <c r="H145" s="53"/>
      <c r="I145" s="53"/>
      <c r="J145" s="53"/>
    </row>
    <row r="146" customFormat="false" ht="15.75" hidden="false" customHeight="true" outlineLevel="0" collapsed="false">
      <c r="A146" s="53"/>
      <c r="B146" s="53"/>
      <c r="C146" s="53"/>
      <c r="D146" s="53"/>
      <c r="E146" s="53"/>
      <c r="F146" s="53"/>
      <c r="G146" s="53"/>
      <c r="H146" s="53"/>
      <c r="I146" s="53"/>
      <c r="J146" s="53"/>
    </row>
    <row r="147" customFormat="false" ht="15.75" hidden="false" customHeight="true" outlineLevel="0" collapsed="false">
      <c r="A147" s="53"/>
      <c r="B147" s="53"/>
      <c r="C147" s="53"/>
      <c r="D147" s="53"/>
      <c r="E147" s="53"/>
      <c r="F147" s="53"/>
      <c r="G147" s="53"/>
      <c r="H147" s="53"/>
      <c r="I147" s="53"/>
      <c r="J147" s="53"/>
    </row>
    <row r="148" customFormat="false" ht="15.75" hidden="false" customHeight="true" outlineLevel="0" collapsed="false">
      <c r="A148" s="53"/>
      <c r="B148" s="53"/>
      <c r="C148" s="53"/>
      <c r="D148" s="53"/>
      <c r="E148" s="53"/>
      <c r="F148" s="53"/>
      <c r="G148" s="53"/>
      <c r="H148" s="53"/>
      <c r="I148" s="53"/>
      <c r="J148" s="53"/>
    </row>
    <row r="149" customFormat="false" ht="15.75" hidden="false" customHeight="true" outlineLevel="0" collapsed="false">
      <c r="A149" s="53"/>
      <c r="B149" s="53"/>
      <c r="C149" s="53"/>
      <c r="D149" s="53"/>
      <c r="E149" s="53"/>
      <c r="F149" s="53"/>
      <c r="G149" s="53"/>
      <c r="H149" s="53"/>
      <c r="I149" s="53"/>
      <c r="J149" s="53"/>
    </row>
    <row r="150" customFormat="false" ht="15.75" hidden="false" customHeight="true" outlineLevel="0" collapsed="false">
      <c r="A150" s="53"/>
      <c r="B150" s="53"/>
      <c r="C150" s="53"/>
      <c r="D150" s="53"/>
      <c r="E150" s="53"/>
      <c r="F150" s="53"/>
      <c r="G150" s="53"/>
      <c r="H150" s="53"/>
      <c r="I150" s="53"/>
      <c r="J150" s="53"/>
    </row>
    <row r="151" customFormat="false" ht="15.75" hidden="false" customHeight="true" outlineLevel="0" collapsed="false">
      <c r="A151" s="53"/>
      <c r="B151" s="53"/>
      <c r="C151" s="53"/>
      <c r="D151" s="53"/>
      <c r="E151" s="53"/>
      <c r="F151" s="53"/>
      <c r="G151" s="53"/>
      <c r="H151" s="53"/>
      <c r="I151" s="53"/>
      <c r="J151" s="53"/>
    </row>
    <row r="152" customFormat="false" ht="15.75" hidden="false" customHeight="true" outlineLevel="0" collapsed="false">
      <c r="A152" s="53"/>
      <c r="B152" s="53"/>
      <c r="C152" s="53"/>
      <c r="D152" s="53"/>
      <c r="E152" s="53"/>
      <c r="F152" s="53"/>
      <c r="G152" s="53"/>
      <c r="H152" s="53"/>
      <c r="I152" s="53"/>
      <c r="J152" s="53"/>
    </row>
    <row r="153" customFormat="false" ht="15.75" hidden="false" customHeight="true" outlineLevel="0" collapsed="false">
      <c r="A153" s="53"/>
      <c r="B153" s="53"/>
      <c r="C153" s="53"/>
      <c r="D153" s="53"/>
      <c r="E153" s="53"/>
      <c r="F153" s="53"/>
      <c r="G153" s="53"/>
      <c r="H153" s="53"/>
      <c r="I153" s="53"/>
      <c r="J153" s="53"/>
    </row>
    <row r="154" customFormat="false" ht="15.75" hidden="false" customHeight="true" outlineLevel="0" collapsed="false">
      <c r="A154" s="53"/>
      <c r="B154" s="53"/>
      <c r="C154" s="53"/>
      <c r="D154" s="53"/>
      <c r="E154" s="53"/>
      <c r="F154" s="53"/>
      <c r="G154" s="53"/>
      <c r="H154" s="53"/>
      <c r="I154" s="53"/>
      <c r="J154" s="53"/>
    </row>
    <row r="155" customFormat="false" ht="15.75" hidden="false" customHeight="true" outlineLevel="0" collapsed="false">
      <c r="A155" s="53"/>
      <c r="B155" s="53"/>
      <c r="C155" s="53"/>
      <c r="D155" s="53"/>
      <c r="E155" s="53"/>
      <c r="F155" s="53"/>
      <c r="G155" s="53"/>
      <c r="H155" s="53"/>
      <c r="I155" s="53"/>
      <c r="J155" s="53"/>
    </row>
    <row r="156" customFormat="false" ht="15.75" hidden="false" customHeight="true" outlineLevel="0" collapsed="false">
      <c r="A156" s="53"/>
      <c r="B156" s="53"/>
      <c r="C156" s="53"/>
      <c r="D156" s="53"/>
      <c r="E156" s="53"/>
      <c r="F156" s="53"/>
      <c r="G156" s="53"/>
      <c r="H156" s="53"/>
      <c r="I156" s="53"/>
      <c r="J156" s="53"/>
    </row>
    <row r="157" customFormat="false" ht="15.75" hidden="false" customHeight="true" outlineLevel="0" collapsed="false">
      <c r="A157" s="53"/>
      <c r="B157" s="53"/>
      <c r="C157" s="53"/>
      <c r="D157" s="53"/>
      <c r="E157" s="53"/>
      <c r="F157" s="53"/>
      <c r="G157" s="53"/>
      <c r="H157" s="53"/>
      <c r="I157" s="53"/>
      <c r="J157" s="53"/>
    </row>
    <row r="158" customFormat="false" ht="15.75" hidden="false" customHeight="true" outlineLevel="0" collapsed="false">
      <c r="A158" s="53"/>
      <c r="B158" s="53"/>
      <c r="C158" s="53"/>
      <c r="D158" s="53"/>
      <c r="E158" s="53"/>
      <c r="F158" s="53"/>
      <c r="G158" s="53"/>
      <c r="H158" s="53"/>
      <c r="I158" s="53"/>
      <c r="J158" s="53"/>
    </row>
    <row r="159" customFormat="false" ht="15.75" hidden="false" customHeight="true" outlineLevel="0" collapsed="false">
      <c r="A159" s="53"/>
      <c r="B159" s="53"/>
      <c r="C159" s="53"/>
      <c r="D159" s="53"/>
      <c r="E159" s="53"/>
      <c r="F159" s="53"/>
      <c r="G159" s="53"/>
      <c r="H159" s="53"/>
      <c r="I159" s="53"/>
      <c r="J159" s="53"/>
    </row>
    <row r="160" customFormat="false" ht="15.75" hidden="false" customHeight="true" outlineLevel="0" collapsed="false">
      <c r="A160" s="53"/>
      <c r="B160" s="53"/>
      <c r="C160" s="53"/>
      <c r="D160" s="53"/>
      <c r="E160" s="53"/>
      <c r="F160" s="53"/>
      <c r="G160" s="53"/>
      <c r="H160" s="53"/>
      <c r="I160" s="53"/>
      <c r="J160" s="53"/>
    </row>
    <row r="161" customFormat="false" ht="15.75" hidden="false" customHeight="true" outlineLevel="0" collapsed="false">
      <c r="A161" s="53"/>
      <c r="B161" s="53"/>
      <c r="C161" s="53"/>
      <c r="D161" s="53"/>
      <c r="E161" s="53"/>
      <c r="F161" s="53"/>
      <c r="G161" s="53"/>
      <c r="H161" s="53"/>
      <c r="I161" s="53"/>
      <c r="J161" s="53"/>
    </row>
    <row r="162" customFormat="false" ht="15.75" hidden="false" customHeight="true" outlineLevel="0" collapsed="false">
      <c r="A162" s="53"/>
      <c r="B162" s="53"/>
      <c r="C162" s="53"/>
      <c r="D162" s="53"/>
      <c r="E162" s="53"/>
      <c r="F162" s="53"/>
      <c r="G162" s="53"/>
      <c r="H162" s="53"/>
      <c r="I162" s="53"/>
      <c r="J162" s="53"/>
    </row>
    <row r="163" customFormat="false" ht="15.75" hidden="false" customHeight="true" outlineLevel="0" collapsed="false">
      <c r="A163" s="53"/>
      <c r="B163" s="53"/>
      <c r="C163" s="53"/>
      <c r="D163" s="53"/>
      <c r="E163" s="53"/>
      <c r="F163" s="53"/>
      <c r="G163" s="53"/>
      <c r="H163" s="53"/>
      <c r="I163" s="53"/>
      <c r="J163" s="53"/>
    </row>
    <row r="164" customFormat="false" ht="15.75" hidden="false" customHeight="true" outlineLevel="0" collapsed="false">
      <c r="A164" s="53"/>
      <c r="B164" s="53"/>
      <c r="C164" s="53"/>
      <c r="D164" s="53"/>
      <c r="E164" s="53"/>
      <c r="F164" s="53"/>
      <c r="G164" s="53"/>
      <c r="H164" s="53"/>
      <c r="I164" s="53"/>
      <c r="J164" s="53"/>
    </row>
    <row r="165" customFormat="false" ht="15.75" hidden="false" customHeight="true" outlineLevel="0" collapsed="false">
      <c r="A165" s="53"/>
      <c r="B165" s="53"/>
      <c r="C165" s="53"/>
      <c r="D165" s="53"/>
      <c r="E165" s="53"/>
      <c r="F165" s="53"/>
      <c r="G165" s="53"/>
      <c r="H165" s="53"/>
      <c r="I165" s="53"/>
      <c r="J165" s="53"/>
    </row>
    <row r="166" customFormat="false" ht="15.75" hidden="false" customHeight="true" outlineLevel="0" collapsed="false">
      <c r="A166" s="53"/>
      <c r="B166" s="53"/>
      <c r="C166" s="53"/>
      <c r="D166" s="53"/>
      <c r="E166" s="53"/>
      <c r="F166" s="53"/>
      <c r="G166" s="53"/>
      <c r="H166" s="53"/>
      <c r="I166" s="53"/>
      <c r="J166" s="53"/>
    </row>
    <row r="167" customFormat="false" ht="15.75" hidden="false" customHeight="true" outlineLevel="0" collapsed="false">
      <c r="A167" s="53"/>
      <c r="B167" s="53"/>
      <c r="C167" s="53"/>
      <c r="D167" s="53"/>
      <c r="E167" s="53"/>
      <c r="F167" s="53"/>
      <c r="G167" s="53"/>
      <c r="H167" s="53"/>
      <c r="I167" s="53"/>
      <c r="J167" s="53"/>
    </row>
    <row r="168" customFormat="false" ht="15.75" hidden="false" customHeight="true" outlineLevel="0" collapsed="false">
      <c r="A168" s="53"/>
      <c r="B168" s="53"/>
      <c r="C168" s="53"/>
      <c r="D168" s="53"/>
      <c r="E168" s="53"/>
      <c r="F168" s="53"/>
      <c r="G168" s="53"/>
      <c r="H168" s="53"/>
      <c r="I168" s="53"/>
      <c r="J168" s="53"/>
    </row>
    <row r="169" customFormat="false" ht="15.75" hidden="false" customHeight="true" outlineLevel="0" collapsed="false">
      <c r="A169" s="53"/>
      <c r="B169" s="53"/>
      <c r="C169" s="53"/>
      <c r="D169" s="53"/>
      <c r="E169" s="53"/>
      <c r="F169" s="53"/>
      <c r="G169" s="53"/>
      <c r="H169" s="53"/>
      <c r="I169" s="53"/>
      <c r="J169" s="53"/>
    </row>
    <row r="170" customFormat="false" ht="15.75" hidden="false" customHeight="true" outlineLevel="0" collapsed="false">
      <c r="A170" s="53"/>
      <c r="B170" s="53"/>
      <c r="C170" s="53"/>
      <c r="D170" s="53"/>
      <c r="E170" s="53"/>
      <c r="F170" s="53"/>
      <c r="G170" s="53"/>
      <c r="H170" s="53"/>
      <c r="I170" s="53"/>
      <c r="J170" s="53"/>
    </row>
    <row r="171" customFormat="false" ht="15.75" hidden="false" customHeight="true" outlineLevel="0" collapsed="false">
      <c r="A171" s="53"/>
      <c r="B171" s="53"/>
      <c r="C171" s="53"/>
      <c r="D171" s="53"/>
      <c r="E171" s="53"/>
      <c r="F171" s="53"/>
      <c r="G171" s="53"/>
      <c r="H171" s="53"/>
      <c r="I171" s="53"/>
      <c r="J171" s="53"/>
    </row>
    <row r="172" customFormat="false" ht="15.75" hidden="false" customHeight="true" outlineLevel="0" collapsed="false">
      <c r="A172" s="53"/>
      <c r="B172" s="53"/>
      <c r="C172" s="53"/>
      <c r="D172" s="53"/>
      <c r="E172" s="53"/>
      <c r="F172" s="53"/>
      <c r="G172" s="53"/>
      <c r="H172" s="53"/>
      <c r="I172" s="53"/>
      <c r="J172" s="53"/>
    </row>
    <row r="173" customFormat="false" ht="15.75" hidden="false" customHeight="true" outlineLevel="0" collapsed="false">
      <c r="A173" s="53"/>
      <c r="B173" s="53"/>
      <c r="C173" s="53"/>
      <c r="D173" s="53"/>
      <c r="E173" s="53"/>
      <c r="F173" s="53"/>
      <c r="G173" s="53"/>
      <c r="H173" s="53"/>
      <c r="I173" s="53"/>
      <c r="J173" s="53"/>
    </row>
    <row r="174" customFormat="false" ht="15.75" hidden="false" customHeight="true" outlineLevel="0" collapsed="false">
      <c r="A174" s="53"/>
      <c r="B174" s="53"/>
      <c r="C174" s="53"/>
      <c r="D174" s="53"/>
      <c r="E174" s="53"/>
      <c r="F174" s="53"/>
      <c r="G174" s="53"/>
      <c r="H174" s="53"/>
      <c r="I174" s="53"/>
      <c r="J174" s="53"/>
    </row>
    <row r="175" customFormat="false" ht="15.75" hidden="false" customHeight="true" outlineLevel="0" collapsed="false">
      <c r="A175" s="53"/>
      <c r="B175" s="53"/>
      <c r="C175" s="53"/>
      <c r="D175" s="53"/>
      <c r="E175" s="53"/>
      <c r="F175" s="53"/>
      <c r="G175" s="53"/>
      <c r="H175" s="53"/>
      <c r="I175" s="53"/>
      <c r="J175" s="53"/>
    </row>
    <row r="176" customFormat="false" ht="15.75" hidden="false" customHeight="true" outlineLevel="0" collapsed="false">
      <c r="A176" s="53"/>
      <c r="B176" s="53"/>
      <c r="C176" s="53"/>
      <c r="D176" s="53"/>
      <c r="E176" s="53"/>
      <c r="F176" s="53"/>
      <c r="G176" s="53"/>
      <c r="H176" s="53"/>
      <c r="I176" s="53"/>
      <c r="J176" s="53"/>
    </row>
    <row r="177" customFormat="false" ht="15.75" hidden="false" customHeight="true" outlineLevel="0" collapsed="false">
      <c r="A177" s="53"/>
      <c r="B177" s="53"/>
      <c r="C177" s="53"/>
      <c r="D177" s="53"/>
      <c r="E177" s="53"/>
      <c r="F177" s="53"/>
      <c r="G177" s="53"/>
      <c r="H177" s="53"/>
      <c r="I177" s="53"/>
      <c r="J177" s="53"/>
    </row>
    <row r="178" customFormat="false" ht="15.75" hidden="false" customHeight="true" outlineLevel="0" collapsed="false">
      <c r="A178" s="53"/>
      <c r="B178" s="53"/>
      <c r="C178" s="53"/>
      <c r="D178" s="53"/>
      <c r="E178" s="53"/>
      <c r="F178" s="53"/>
      <c r="G178" s="53"/>
      <c r="H178" s="53"/>
      <c r="I178" s="53"/>
      <c r="J178" s="53"/>
    </row>
    <row r="179" customFormat="false" ht="15.75" hidden="false" customHeight="true" outlineLevel="0" collapsed="false">
      <c r="A179" s="53"/>
      <c r="B179" s="53"/>
      <c r="C179" s="53"/>
      <c r="D179" s="53"/>
      <c r="E179" s="53"/>
      <c r="F179" s="53"/>
      <c r="G179" s="53"/>
      <c r="H179" s="53"/>
      <c r="I179" s="53"/>
      <c r="J179" s="53"/>
    </row>
    <row r="180" customFormat="false" ht="15.75" hidden="false" customHeight="true" outlineLevel="0" collapsed="false">
      <c r="A180" s="53"/>
      <c r="B180" s="53"/>
      <c r="C180" s="53"/>
      <c r="D180" s="53"/>
      <c r="E180" s="53"/>
      <c r="F180" s="53"/>
      <c r="G180" s="53"/>
      <c r="H180" s="53"/>
      <c r="I180" s="53"/>
      <c r="J180" s="53"/>
    </row>
    <row r="181" customFormat="false" ht="15.75" hidden="false" customHeight="true" outlineLevel="0" collapsed="false">
      <c r="A181" s="53"/>
      <c r="B181" s="53"/>
      <c r="C181" s="53"/>
      <c r="D181" s="53"/>
      <c r="E181" s="53"/>
      <c r="F181" s="53"/>
      <c r="G181" s="53"/>
      <c r="H181" s="53"/>
      <c r="I181" s="53"/>
      <c r="J181" s="53"/>
    </row>
    <row r="182" customFormat="false" ht="15.75" hidden="false" customHeight="true" outlineLevel="0" collapsed="false">
      <c r="A182" s="53"/>
      <c r="B182" s="53"/>
      <c r="C182" s="53"/>
      <c r="D182" s="53"/>
      <c r="E182" s="53"/>
      <c r="F182" s="53"/>
      <c r="G182" s="53"/>
      <c r="H182" s="53"/>
      <c r="I182" s="53"/>
      <c r="J182" s="53"/>
    </row>
    <row r="183" customFormat="false" ht="15.75" hidden="false" customHeight="true" outlineLevel="0" collapsed="false">
      <c r="A183" s="53"/>
      <c r="B183" s="53"/>
      <c r="C183" s="53"/>
      <c r="D183" s="53"/>
      <c r="E183" s="53"/>
      <c r="F183" s="53"/>
      <c r="G183" s="53"/>
      <c r="H183" s="53"/>
      <c r="I183" s="53"/>
      <c r="J183" s="53"/>
    </row>
    <row r="184" customFormat="false" ht="15.75" hidden="false" customHeight="true" outlineLevel="0" collapsed="false">
      <c r="A184" s="53"/>
      <c r="B184" s="53"/>
      <c r="C184" s="53"/>
      <c r="D184" s="53"/>
      <c r="E184" s="53"/>
      <c r="F184" s="53"/>
      <c r="G184" s="53"/>
      <c r="H184" s="53"/>
      <c r="I184" s="53"/>
      <c r="J184" s="53"/>
    </row>
    <row r="185" customFormat="false" ht="15.75" hidden="false" customHeight="true" outlineLevel="0" collapsed="false">
      <c r="A185" s="53"/>
      <c r="B185" s="53"/>
      <c r="C185" s="53"/>
      <c r="D185" s="53"/>
      <c r="E185" s="53"/>
      <c r="F185" s="53"/>
      <c r="G185" s="53"/>
      <c r="H185" s="53"/>
      <c r="I185" s="53"/>
      <c r="J185" s="53"/>
    </row>
    <row r="186" customFormat="false" ht="15.75" hidden="false" customHeight="true" outlineLevel="0" collapsed="false">
      <c r="A186" s="53"/>
      <c r="B186" s="53"/>
      <c r="C186" s="53"/>
      <c r="D186" s="53"/>
      <c r="E186" s="53"/>
      <c r="F186" s="53"/>
      <c r="G186" s="53"/>
      <c r="H186" s="53"/>
      <c r="I186" s="53"/>
      <c r="J186" s="53"/>
    </row>
    <row r="187" customFormat="false" ht="15.75" hidden="false" customHeight="true" outlineLevel="0" collapsed="false">
      <c r="A187" s="53"/>
      <c r="B187" s="53"/>
      <c r="C187" s="53"/>
      <c r="D187" s="53"/>
      <c r="E187" s="53"/>
      <c r="F187" s="53"/>
      <c r="G187" s="53"/>
      <c r="H187" s="53"/>
      <c r="I187" s="53"/>
      <c r="J187" s="53"/>
    </row>
    <row r="188" customFormat="false" ht="15.75" hidden="false" customHeight="true" outlineLevel="0" collapsed="false">
      <c r="A188" s="53"/>
      <c r="B188" s="53"/>
      <c r="C188" s="53"/>
      <c r="D188" s="53"/>
      <c r="E188" s="53"/>
      <c r="F188" s="53"/>
      <c r="G188" s="53"/>
      <c r="H188" s="53"/>
      <c r="I188" s="53"/>
      <c r="J188" s="53"/>
    </row>
    <row r="189" customFormat="false" ht="15.75" hidden="false" customHeight="true" outlineLevel="0" collapsed="false">
      <c r="A189" s="53"/>
      <c r="B189" s="53"/>
      <c r="C189" s="53"/>
      <c r="D189" s="53"/>
      <c r="E189" s="53"/>
      <c r="F189" s="53"/>
      <c r="G189" s="53"/>
      <c r="H189" s="53"/>
      <c r="I189" s="53"/>
      <c r="J189" s="53"/>
    </row>
    <row r="190" customFormat="false" ht="15.75" hidden="false" customHeight="true" outlineLevel="0" collapsed="false">
      <c r="A190" s="53"/>
      <c r="B190" s="53"/>
      <c r="C190" s="53"/>
      <c r="D190" s="53"/>
      <c r="E190" s="53"/>
      <c r="F190" s="53"/>
      <c r="G190" s="53"/>
      <c r="H190" s="53"/>
      <c r="I190" s="53"/>
      <c r="J190" s="53"/>
    </row>
    <row r="191" customFormat="false" ht="15.75" hidden="false" customHeight="true" outlineLevel="0" collapsed="false">
      <c r="A191" s="53"/>
      <c r="B191" s="53"/>
      <c r="C191" s="53"/>
      <c r="D191" s="53"/>
      <c r="E191" s="53"/>
      <c r="F191" s="53"/>
      <c r="G191" s="53"/>
      <c r="H191" s="53"/>
      <c r="I191" s="53"/>
      <c r="J191" s="53"/>
    </row>
    <row r="192" customFormat="false" ht="15.75" hidden="false" customHeight="true" outlineLevel="0" collapsed="false">
      <c r="A192" s="53"/>
      <c r="B192" s="53"/>
      <c r="C192" s="53"/>
      <c r="D192" s="53"/>
      <c r="E192" s="53"/>
      <c r="F192" s="53"/>
      <c r="G192" s="53"/>
      <c r="H192" s="53"/>
      <c r="I192" s="53"/>
      <c r="J192" s="53"/>
    </row>
    <row r="193" customFormat="false" ht="15.75" hidden="false" customHeight="true" outlineLevel="0" collapsed="false">
      <c r="A193" s="53"/>
      <c r="B193" s="53"/>
      <c r="C193" s="53"/>
      <c r="D193" s="53"/>
      <c r="E193" s="53"/>
      <c r="F193" s="53"/>
      <c r="G193" s="53"/>
      <c r="H193" s="53"/>
      <c r="I193" s="53"/>
      <c r="J193" s="53"/>
    </row>
    <row r="194" customFormat="false" ht="15.75" hidden="false" customHeight="true" outlineLevel="0" collapsed="false">
      <c r="A194" s="53"/>
      <c r="B194" s="53"/>
      <c r="C194" s="53"/>
      <c r="D194" s="53"/>
      <c r="E194" s="53"/>
      <c r="F194" s="53"/>
      <c r="G194" s="53"/>
      <c r="H194" s="53"/>
      <c r="I194" s="53"/>
      <c r="J194" s="53"/>
    </row>
    <row r="195" customFormat="false" ht="15.75" hidden="false" customHeight="true" outlineLevel="0" collapsed="false">
      <c r="A195" s="53"/>
      <c r="B195" s="53"/>
      <c r="C195" s="53"/>
      <c r="D195" s="53"/>
      <c r="E195" s="53"/>
      <c r="F195" s="53"/>
      <c r="G195" s="53"/>
      <c r="H195" s="53"/>
      <c r="I195" s="53"/>
      <c r="J195" s="53"/>
    </row>
    <row r="196" customFormat="false" ht="15.75" hidden="false" customHeight="true" outlineLevel="0" collapsed="false">
      <c r="A196" s="53"/>
      <c r="B196" s="53"/>
      <c r="C196" s="53"/>
      <c r="D196" s="53"/>
      <c r="E196" s="53"/>
      <c r="F196" s="53"/>
      <c r="G196" s="53"/>
      <c r="H196" s="53"/>
      <c r="I196" s="53"/>
      <c r="J196" s="53"/>
    </row>
    <row r="197" customFormat="false" ht="15.75" hidden="false" customHeight="true" outlineLevel="0" collapsed="false">
      <c r="A197" s="53"/>
      <c r="B197" s="53"/>
      <c r="C197" s="53"/>
      <c r="D197" s="53"/>
      <c r="E197" s="53"/>
      <c r="F197" s="53"/>
      <c r="G197" s="53"/>
      <c r="H197" s="53"/>
      <c r="I197" s="53"/>
      <c r="J197" s="53"/>
    </row>
    <row r="198" customFormat="false" ht="15.75" hidden="false" customHeight="true" outlineLevel="0" collapsed="false">
      <c r="A198" s="53"/>
      <c r="B198" s="53"/>
      <c r="C198" s="53"/>
      <c r="D198" s="53"/>
      <c r="E198" s="53"/>
      <c r="F198" s="53"/>
      <c r="G198" s="53"/>
      <c r="H198" s="53"/>
      <c r="I198" s="53"/>
      <c r="J198" s="53"/>
    </row>
    <row r="199" customFormat="false" ht="15.75" hidden="false" customHeight="true" outlineLevel="0" collapsed="false">
      <c r="A199" s="53"/>
      <c r="B199" s="53"/>
      <c r="C199" s="53"/>
      <c r="D199" s="53"/>
      <c r="E199" s="53"/>
      <c r="F199" s="53"/>
      <c r="G199" s="53"/>
      <c r="H199" s="53"/>
      <c r="I199" s="53"/>
      <c r="J199" s="53"/>
    </row>
    <row r="200" customFormat="false" ht="15.75" hidden="false" customHeight="true" outlineLevel="0" collapsed="false">
      <c r="A200" s="53"/>
      <c r="B200" s="53"/>
      <c r="C200" s="53"/>
      <c r="D200" s="53"/>
      <c r="E200" s="53"/>
      <c r="F200" s="53"/>
      <c r="G200" s="53"/>
      <c r="H200" s="53"/>
      <c r="I200" s="53"/>
      <c r="J200" s="53"/>
    </row>
    <row r="201" customFormat="false" ht="15.75" hidden="false" customHeight="true" outlineLevel="0" collapsed="false">
      <c r="A201" s="53"/>
      <c r="B201" s="53"/>
      <c r="C201" s="53"/>
      <c r="D201" s="53"/>
      <c r="E201" s="53"/>
      <c r="F201" s="53"/>
      <c r="G201" s="53"/>
      <c r="H201" s="53"/>
      <c r="I201" s="53"/>
      <c r="J201" s="53"/>
    </row>
    <row r="202" customFormat="false" ht="15.75" hidden="false" customHeight="true" outlineLevel="0" collapsed="false">
      <c r="A202" s="53"/>
      <c r="B202" s="53"/>
      <c r="C202" s="53"/>
      <c r="D202" s="53"/>
      <c r="E202" s="53"/>
      <c r="F202" s="53"/>
      <c r="G202" s="53"/>
      <c r="H202" s="53"/>
      <c r="I202" s="53"/>
      <c r="J202" s="53"/>
    </row>
    <row r="203" customFormat="false" ht="15.75" hidden="false" customHeight="true" outlineLevel="0" collapsed="false">
      <c r="A203" s="53"/>
      <c r="B203" s="53"/>
      <c r="C203" s="53"/>
      <c r="D203" s="53"/>
      <c r="E203" s="53"/>
      <c r="F203" s="53"/>
      <c r="G203" s="53"/>
      <c r="H203" s="53"/>
      <c r="I203" s="53"/>
      <c r="J203" s="53"/>
    </row>
    <row r="204" customFormat="false" ht="15.75" hidden="false" customHeight="true" outlineLevel="0" collapsed="false">
      <c r="A204" s="53"/>
      <c r="B204" s="53"/>
      <c r="C204" s="53"/>
      <c r="D204" s="53"/>
      <c r="E204" s="53"/>
      <c r="F204" s="53"/>
      <c r="G204" s="53"/>
      <c r="H204" s="53"/>
      <c r="I204" s="53"/>
      <c r="J204" s="53"/>
    </row>
    <row r="205" customFormat="false" ht="15.75" hidden="false" customHeight="true" outlineLevel="0" collapsed="false">
      <c r="A205" s="53"/>
      <c r="B205" s="53"/>
      <c r="C205" s="53"/>
      <c r="D205" s="53"/>
      <c r="E205" s="53"/>
      <c r="F205" s="53"/>
      <c r="G205" s="53"/>
      <c r="H205" s="53"/>
      <c r="I205" s="53"/>
      <c r="J205" s="53"/>
    </row>
    <row r="206" customFormat="false" ht="15.75" hidden="false" customHeight="true" outlineLevel="0" collapsed="false">
      <c r="A206" s="53"/>
      <c r="B206" s="53"/>
      <c r="C206" s="53"/>
      <c r="D206" s="53"/>
      <c r="E206" s="53"/>
      <c r="F206" s="53"/>
      <c r="G206" s="53"/>
      <c r="H206" s="53"/>
      <c r="I206" s="53"/>
      <c r="J206" s="53"/>
    </row>
    <row r="207" customFormat="false" ht="15.75" hidden="false" customHeight="true" outlineLevel="0" collapsed="false">
      <c r="A207" s="53"/>
      <c r="B207" s="53"/>
      <c r="C207" s="53"/>
      <c r="D207" s="53"/>
      <c r="E207" s="53"/>
      <c r="F207" s="53"/>
      <c r="G207" s="53"/>
      <c r="H207" s="53"/>
      <c r="I207" s="53"/>
      <c r="J207" s="53"/>
    </row>
    <row r="208" customFormat="false" ht="15.75" hidden="false" customHeight="true" outlineLevel="0" collapsed="false">
      <c r="A208" s="53"/>
      <c r="B208" s="53"/>
      <c r="C208" s="53"/>
      <c r="D208" s="53"/>
      <c r="E208" s="53"/>
      <c r="F208" s="53"/>
      <c r="G208" s="53"/>
      <c r="H208" s="53"/>
      <c r="I208" s="53"/>
      <c r="J208" s="53"/>
    </row>
    <row r="209" customFormat="false" ht="15.75" hidden="false" customHeight="true" outlineLevel="0" collapsed="false">
      <c r="A209" s="53"/>
      <c r="B209" s="53"/>
      <c r="C209" s="53"/>
      <c r="D209" s="53"/>
      <c r="E209" s="53"/>
      <c r="F209" s="53"/>
      <c r="G209" s="53"/>
      <c r="H209" s="53"/>
      <c r="I209" s="53"/>
      <c r="J209" s="53"/>
    </row>
    <row r="210" customFormat="false" ht="15.75" hidden="false" customHeight="true" outlineLevel="0" collapsed="false">
      <c r="A210" s="53"/>
      <c r="B210" s="53"/>
      <c r="C210" s="53"/>
      <c r="D210" s="53"/>
      <c r="E210" s="53"/>
      <c r="F210" s="53"/>
      <c r="G210" s="53"/>
      <c r="H210" s="53"/>
      <c r="I210" s="53"/>
      <c r="J210" s="53"/>
    </row>
    <row r="211" customFormat="false" ht="15.75" hidden="false" customHeight="true" outlineLevel="0" collapsed="false">
      <c r="A211" s="53"/>
      <c r="B211" s="53"/>
      <c r="C211" s="53"/>
      <c r="D211" s="53"/>
      <c r="E211" s="53"/>
      <c r="F211" s="53"/>
      <c r="G211" s="53"/>
      <c r="H211" s="53"/>
      <c r="I211" s="53"/>
      <c r="J211" s="53"/>
    </row>
    <row r="212" customFormat="false" ht="15.75" hidden="false" customHeight="true" outlineLevel="0" collapsed="false">
      <c r="A212" s="53"/>
      <c r="B212" s="53"/>
      <c r="C212" s="53"/>
      <c r="D212" s="53"/>
      <c r="E212" s="53"/>
      <c r="F212" s="53"/>
      <c r="G212" s="53"/>
      <c r="H212" s="53"/>
      <c r="I212" s="53"/>
      <c r="J212" s="53"/>
    </row>
    <row r="213" customFormat="false" ht="15.75" hidden="false" customHeight="true" outlineLevel="0" collapsed="false">
      <c r="A213" s="53"/>
      <c r="B213" s="53"/>
      <c r="C213" s="53"/>
      <c r="D213" s="53"/>
      <c r="E213" s="53"/>
      <c r="F213" s="53"/>
      <c r="G213" s="53"/>
      <c r="H213" s="53"/>
      <c r="I213" s="53"/>
      <c r="J213" s="53"/>
    </row>
    <row r="214" customFormat="false" ht="15.75" hidden="false" customHeight="true" outlineLevel="0" collapsed="false">
      <c r="A214" s="53"/>
      <c r="B214" s="53"/>
      <c r="C214" s="53"/>
      <c r="D214" s="53"/>
      <c r="E214" s="53"/>
      <c r="F214" s="53"/>
      <c r="G214" s="53"/>
      <c r="H214" s="53"/>
      <c r="I214" s="53"/>
      <c r="J214" s="53"/>
    </row>
    <row r="215" customFormat="false" ht="15.75" hidden="false" customHeight="true" outlineLevel="0" collapsed="false">
      <c r="A215" s="53"/>
      <c r="B215" s="53"/>
      <c r="C215" s="53"/>
      <c r="D215" s="53"/>
      <c r="E215" s="53"/>
      <c r="F215" s="53"/>
      <c r="G215" s="53"/>
      <c r="H215" s="53"/>
      <c r="I215" s="53"/>
      <c r="J215" s="53"/>
    </row>
    <row r="216" customFormat="false" ht="15.75" hidden="false" customHeight="true" outlineLevel="0" collapsed="false">
      <c r="A216" s="53"/>
      <c r="B216" s="53"/>
      <c r="C216" s="53"/>
      <c r="D216" s="53"/>
      <c r="E216" s="53"/>
      <c r="F216" s="53"/>
      <c r="G216" s="53"/>
      <c r="H216" s="53"/>
      <c r="I216" s="53"/>
      <c r="J216" s="53"/>
    </row>
    <row r="217" customFormat="false" ht="15.75" hidden="false" customHeight="true" outlineLevel="0" collapsed="false">
      <c r="A217" s="53"/>
      <c r="B217" s="53"/>
      <c r="C217" s="53"/>
      <c r="D217" s="53"/>
      <c r="E217" s="53"/>
      <c r="F217" s="53"/>
      <c r="G217" s="53"/>
      <c r="H217" s="53"/>
      <c r="I217" s="53"/>
      <c r="J217" s="53"/>
    </row>
    <row r="218" customFormat="false" ht="15.75" hidden="false" customHeight="true" outlineLevel="0" collapsed="false">
      <c r="A218" s="53"/>
      <c r="B218" s="53"/>
      <c r="C218" s="53"/>
      <c r="D218" s="53"/>
      <c r="E218" s="53"/>
      <c r="F218" s="53"/>
      <c r="G218" s="53"/>
      <c r="H218" s="53"/>
      <c r="I218" s="53"/>
      <c r="J218" s="53"/>
    </row>
    <row r="219" customFormat="false" ht="15.75" hidden="false" customHeight="true" outlineLevel="0" collapsed="false">
      <c r="A219" s="53"/>
      <c r="B219" s="53"/>
      <c r="C219" s="53"/>
      <c r="D219" s="53"/>
      <c r="E219" s="53"/>
      <c r="F219" s="53"/>
      <c r="G219" s="53"/>
      <c r="H219" s="53"/>
      <c r="I219" s="53"/>
      <c r="J219" s="53"/>
    </row>
    <row r="220" customFormat="false" ht="15.75" hidden="false" customHeight="true" outlineLevel="0" collapsed="false">
      <c r="A220" s="53"/>
      <c r="B220" s="53"/>
      <c r="C220" s="53"/>
      <c r="D220" s="53"/>
      <c r="E220" s="53"/>
      <c r="F220" s="53"/>
      <c r="G220" s="53"/>
      <c r="H220" s="53"/>
      <c r="I220" s="53"/>
      <c r="J220" s="53"/>
    </row>
    <row r="221" customFormat="false" ht="15.75" hidden="false" customHeight="true" outlineLevel="0" collapsed="false">
      <c r="A221" s="53"/>
      <c r="B221" s="53"/>
      <c r="C221" s="53"/>
      <c r="D221" s="53"/>
      <c r="E221" s="53"/>
      <c r="F221" s="53"/>
      <c r="G221" s="53"/>
      <c r="H221" s="53"/>
      <c r="I221" s="53"/>
      <c r="J221" s="53"/>
    </row>
    <row r="222" customFormat="false" ht="15.75" hidden="false" customHeight="true" outlineLevel="0" collapsed="false">
      <c r="A222" s="53"/>
      <c r="B222" s="53"/>
      <c r="C222" s="53"/>
      <c r="D222" s="53"/>
      <c r="E222" s="53"/>
      <c r="F222" s="53"/>
      <c r="G222" s="53"/>
      <c r="H222" s="53"/>
      <c r="I222" s="53"/>
      <c r="J222" s="53"/>
    </row>
    <row r="223" customFormat="false" ht="15.75" hidden="false" customHeight="true" outlineLevel="0" collapsed="false">
      <c r="A223" s="53"/>
      <c r="B223" s="53"/>
      <c r="C223" s="53"/>
      <c r="D223" s="53"/>
      <c r="E223" s="53"/>
      <c r="F223" s="53"/>
      <c r="G223" s="53"/>
      <c r="H223" s="53"/>
      <c r="I223" s="53"/>
      <c r="J223" s="53"/>
    </row>
    <row r="224" customFormat="false" ht="15.75" hidden="false" customHeight="true" outlineLevel="0" collapsed="false">
      <c r="A224" s="32"/>
      <c r="B224" s="32"/>
      <c r="C224" s="32"/>
      <c r="D224" s="32"/>
      <c r="E224" s="32"/>
      <c r="F224" s="32"/>
      <c r="G224" s="32"/>
      <c r="H224" s="32"/>
      <c r="I224" s="32"/>
      <c r="J224" s="32"/>
    </row>
    <row r="225" customFormat="false" ht="15.75" hidden="false" customHeight="true" outlineLevel="0" collapsed="false">
      <c r="A225" s="32"/>
      <c r="B225" s="32"/>
      <c r="C225" s="32"/>
      <c r="D225" s="32"/>
      <c r="E225" s="32"/>
      <c r="F225" s="32"/>
      <c r="G225" s="32"/>
      <c r="H225" s="32"/>
      <c r="I225" s="32"/>
      <c r="J225" s="32"/>
    </row>
    <row r="226" customFormat="false" ht="15.75" hidden="false" customHeight="true" outlineLevel="0" collapsed="false">
      <c r="A226" s="32"/>
      <c r="B226" s="32"/>
      <c r="C226" s="32"/>
      <c r="D226" s="32"/>
      <c r="E226" s="32"/>
      <c r="F226" s="32"/>
      <c r="G226" s="32"/>
      <c r="H226" s="32"/>
      <c r="I226" s="32"/>
      <c r="J226" s="32"/>
    </row>
    <row r="227" customFormat="false" ht="15.75" hidden="false" customHeight="true" outlineLevel="0" collapsed="false">
      <c r="A227" s="32"/>
      <c r="B227" s="32"/>
      <c r="C227" s="32"/>
      <c r="D227" s="32"/>
      <c r="E227" s="32"/>
      <c r="F227" s="32"/>
      <c r="G227" s="32"/>
      <c r="H227" s="32"/>
      <c r="I227" s="32"/>
      <c r="J227" s="32"/>
    </row>
    <row r="228" customFormat="false" ht="15.75" hidden="false" customHeight="true" outlineLevel="0" collapsed="false">
      <c r="A228" s="32"/>
      <c r="B228" s="32"/>
      <c r="C228" s="32"/>
      <c r="D228" s="32"/>
      <c r="E228" s="32"/>
      <c r="F228" s="32"/>
      <c r="G228" s="32"/>
      <c r="H228" s="32"/>
      <c r="I228" s="32"/>
      <c r="J228" s="32"/>
    </row>
    <row r="229" customFormat="false" ht="15.75" hidden="false" customHeight="true" outlineLevel="0" collapsed="false">
      <c r="A229" s="32"/>
      <c r="B229" s="32"/>
      <c r="C229" s="32"/>
      <c r="D229" s="32"/>
      <c r="E229" s="32"/>
      <c r="F229" s="32"/>
      <c r="G229" s="32"/>
      <c r="H229" s="32"/>
      <c r="I229" s="32"/>
      <c r="J229" s="32"/>
    </row>
    <row r="230" customFormat="false" ht="15.75" hidden="false" customHeight="true" outlineLevel="0" collapsed="false">
      <c r="A230" s="32"/>
      <c r="B230" s="32"/>
      <c r="C230" s="32"/>
      <c r="D230" s="32"/>
      <c r="E230" s="32"/>
      <c r="F230" s="32"/>
      <c r="G230" s="32"/>
      <c r="H230" s="32"/>
      <c r="I230" s="32"/>
      <c r="J230" s="32"/>
    </row>
    <row r="231" customFormat="false" ht="15.75" hidden="false" customHeight="true" outlineLevel="0" collapsed="false">
      <c r="A231" s="32"/>
      <c r="B231" s="32"/>
      <c r="C231" s="32"/>
      <c r="D231" s="32"/>
      <c r="E231" s="32"/>
      <c r="F231" s="32"/>
      <c r="G231" s="32"/>
      <c r="H231" s="32"/>
      <c r="I231" s="32"/>
      <c r="J231" s="32"/>
    </row>
    <row r="232" customFormat="false" ht="15.75" hidden="false" customHeight="true" outlineLevel="0" collapsed="false">
      <c r="A232" s="32"/>
      <c r="B232" s="32"/>
      <c r="C232" s="32"/>
      <c r="D232" s="32"/>
      <c r="E232" s="32"/>
      <c r="F232" s="32"/>
      <c r="G232" s="32"/>
      <c r="H232" s="32"/>
      <c r="I232" s="32"/>
      <c r="J232" s="32"/>
    </row>
    <row r="233" customFormat="false" ht="15.75" hidden="false" customHeight="true" outlineLevel="0" collapsed="false">
      <c r="A233" s="32"/>
      <c r="B233" s="32"/>
      <c r="C233" s="32"/>
      <c r="D233" s="32"/>
      <c r="E233" s="32"/>
      <c r="F233" s="32"/>
      <c r="G233" s="32"/>
      <c r="H233" s="32"/>
      <c r="I233" s="32"/>
      <c r="J233" s="32"/>
    </row>
    <row r="234" customFormat="false" ht="15.75" hidden="false" customHeight="true" outlineLevel="0" collapsed="false">
      <c r="A234" s="32"/>
      <c r="B234" s="32"/>
      <c r="C234" s="32"/>
      <c r="D234" s="32"/>
      <c r="E234" s="32"/>
      <c r="F234" s="32"/>
      <c r="G234" s="32"/>
      <c r="H234" s="32"/>
      <c r="I234" s="32"/>
      <c r="J234" s="32"/>
    </row>
    <row r="235" customFormat="false" ht="15.75" hidden="false" customHeight="true" outlineLevel="0" collapsed="false">
      <c r="A235" s="32"/>
      <c r="B235" s="32"/>
      <c r="C235" s="32"/>
      <c r="D235" s="32"/>
      <c r="E235" s="32"/>
      <c r="F235" s="32"/>
      <c r="G235" s="32"/>
      <c r="H235" s="32"/>
      <c r="I235" s="32"/>
      <c r="J235" s="32"/>
    </row>
    <row r="236" customFormat="false" ht="15.75" hidden="false" customHeight="true" outlineLevel="0" collapsed="false">
      <c r="A236" s="32"/>
      <c r="B236" s="32"/>
      <c r="C236" s="32"/>
      <c r="D236" s="32"/>
      <c r="E236" s="32"/>
      <c r="F236" s="32"/>
      <c r="G236" s="32"/>
      <c r="H236" s="32"/>
      <c r="I236" s="32"/>
      <c r="J236" s="32"/>
    </row>
    <row r="237" customFormat="false" ht="15.75" hidden="false" customHeight="true" outlineLevel="0" collapsed="false">
      <c r="A237" s="32"/>
      <c r="B237" s="32"/>
      <c r="C237" s="32"/>
      <c r="D237" s="32"/>
      <c r="E237" s="32"/>
      <c r="F237" s="32"/>
      <c r="G237" s="32"/>
      <c r="H237" s="32"/>
      <c r="I237" s="32"/>
      <c r="J237" s="32"/>
    </row>
    <row r="238" customFormat="false" ht="15.75" hidden="false" customHeight="true" outlineLevel="0" collapsed="false">
      <c r="A238" s="32"/>
      <c r="B238" s="32"/>
      <c r="C238" s="32"/>
      <c r="D238" s="32"/>
      <c r="E238" s="32"/>
      <c r="F238" s="32"/>
      <c r="G238" s="32"/>
      <c r="H238" s="32"/>
      <c r="I238" s="32"/>
      <c r="J238" s="32"/>
    </row>
    <row r="239" customFormat="false" ht="15.75" hidden="false" customHeight="true" outlineLevel="0" collapsed="false">
      <c r="A239" s="32"/>
      <c r="B239" s="32"/>
      <c r="C239" s="32"/>
      <c r="D239" s="32"/>
      <c r="E239" s="32"/>
      <c r="F239" s="32"/>
      <c r="G239" s="32"/>
      <c r="H239" s="32"/>
      <c r="I239" s="32"/>
      <c r="J239" s="32"/>
    </row>
    <row r="240" customFormat="false" ht="15.75" hidden="false" customHeight="true" outlineLevel="0" collapsed="false">
      <c r="A240" s="32"/>
      <c r="B240" s="32"/>
      <c r="C240" s="32"/>
      <c r="D240" s="32"/>
      <c r="E240" s="32"/>
      <c r="F240" s="32"/>
      <c r="G240" s="32"/>
      <c r="H240" s="32"/>
      <c r="I240" s="32"/>
      <c r="J240" s="32"/>
    </row>
    <row r="241" customFormat="false" ht="15.75" hidden="false" customHeight="true" outlineLevel="0" collapsed="false">
      <c r="A241" s="32"/>
      <c r="B241" s="32"/>
      <c r="C241" s="32"/>
      <c r="D241" s="32"/>
      <c r="E241" s="32"/>
      <c r="F241" s="32"/>
      <c r="G241" s="32"/>
      <c r="H241" s="32"/>
      <c r="I241" s="32"/>
      <c r="J241" s="32"/>
    </row>
    <row r="242" customFormat="false" ht="15.75" hidden="false" customHeight="true" outlineLevel="0" collapsed="false">
      <c r="A242" s="32"/>
      <c r="B242" s="32"/>
      <c r="C242" s="32"/>
      <c r="D242" s="32"/>
      <c r="E242" s="32"/>
      <c r="F242" s="32"/>
      <c r="G242" s="32"/>
      <c r="H242" s="32"/>
      <c r="I242" s="32"/>
      <c r="J242" s="32"/>
    </row>
    <row r="243" customFormat="false" ht="15.75" hidden="false" customHeight="true" outlineLevel="0" collapsed="false">
      <c r="A243" s="32"/>
      <c r="B243" s="32"/>
      <c r="C243" s="32"/>
      <c r="D243" s="32"/>
      <c r="E243" s="32"/>
      <c r="F243" s="32"/>
      <c r="G243" s="32"/>
      <c r="H243" s="32"/>
      <c r="I243" s="32"/>
      <c r="J243" s="32"/>
    </row>
    <row r="244" customFormat="false" ht="15.75" hidden="false" customHeight="true" outlineLevel="0" collapsed="false">
      <c r="A244" s="32"/>
      <c r="B244" s="32"/>
      <c r="C244" s="32"/>
      <c r="D244" s="32"/>
      <c r="E244" s="32"/>
      <c r="F244" s="32"/>
      <c r="G244" s="32"/>
      <c r="H244" s="32"/>
      <c r="I244" s="32"/>
      <c r="J244" s="32"/>
    </row>
    <row r="245" customFormat="false" ht="15.75" hidden="false" customHeight="true" outlineLevel="0" collapsed="false">
      <c r="A245" s="32"/>
      <c r="B245" s="32"/>
      <c r="C245" s="32"/>
      <c r="D245" s="32"/>
      <c r="E245" s="32"/>
      <c r="F245" s="32"/>
      <c r="G245" s="32"/>
      <c r="H245" s="32"/>
      <c r="I245" s="32"/>
      <c r="J245" s="32"/>
    </row>
    <row r="246" customFormat="false" ht="15.75" hidden="false" customHeight="true" outlineLevel="0" collapsed="false">
      <c r="A246" s="32"/>
      <c r="B246" s="32"/>
      <c r="C246" s="32"/>
      <c r="D246" s="32"/>
      <c r="E246" s="32"/>
      <c r="F246" s="32"/>
      <c r="G246" s="32"/>
      <c r="H246" s="32"/>
      <c r="I246" s="32"/>
      <c r="J246" s="32"/>
    </row>
    <row r="247" customFormat="false" ht="15.75" hidden="false" customHeight="true" outlineLevel="0" collapsed="false">
      <c r="A247" s="32"/>
      <c r="B247" s="32"/>
      <c r="C247" s="32"/>
      <c r="D247" s="32"/>
      <c r="E247" s="32"/>
      <c r="F247" s="32"/>
      <c r="G247" s="32"/>
      <c r="H247" s="32"/>
      <c r="I247" s="32"/>
      <c r="J247" s="32"/>
    </row>
    <row r="248" customFormat="false" ht="15.75" hidden="false" customHeight="true" outlineLevel="0" collapsed="false">
      <c r="A248" s="32"/>
      <c r="B248" s="32"/>
      <c r="C248" s="32"/>
      <c r="D248" s="32"/>
      <c r="E248" s="32"/>
      <c r="F248" s="32"/>
      <c r="G248" s="32"/>
      <c r="H248" s="32"/>
      <c r="I248" s="32"/>
      <c r="J248" s="32"/>
    </row>
    <row r="249" customFormat="false" ht="15.75" hidden="false" customHeight="true" outlineLevel="0" collapsed="false">
      <c r="A249" s="32"/>
      <c r="B249" s="32"/>
      <c r="C249" s="32"/>
      <c r="D249" s="32"/>
      <c r="E249" s="32"/>
      <c r="F249" s="32"/>
      <c r="G249" s="32"/>
      <c r="H249" s="32"/>
      <c r="I249" s="32"/>
      <c r="J249" s="32"/>
    </row>
    <row r="250" customFormat="false" ht="15.75" hidden="false" customHeight="true" outlineLevel="0" collapsed="false">
      <c r="A250" s="32"/>
      <c r="B250" s="32"/>
      <c r="C250" s="32"/>
      <c r="D250" s="32"/>
      <c r="E250" s="32"/>
      <c r="F250" s="32"/>
      <c r="G250" s="32"/>
      <c r="H250" s="32"/>
      <c r="I250" s="32"/>
      <c r="J250" s="32"/>
    </row>
    <row r="251" customFormat="false" ht="15.75" hidden="false" customHeight="true" outlineLevel="0" collapsed="false">
      <c r="A251" s="32"/>
      <c r="B251" s="32"/>
      <c r="C251" s="32"/>
      <c r="D251" s="32"/>
      <c r="E251" s="32"/>
      <c r="F251" s="32"/>
      <c r="G251" s="32"/>
      <c r="H251" s="32"/>
      <c r="I251" s="32"/>
      <c r="J251" s="32"/>
    </row>
    <row r="252" customFormat="false" ht="15.75" hidden="false" customHeight="true" outlineLevel="0" collapsed="false">
      <c r="A252" s="32"/>
      <c r="B252" s="32"/>
      <c r="C252" s="32"/>
      <c r="D252" s="32"/>
      <c r="E252" s="32"/>
      <c r="F252" s="32"/>
      <c r="G252" s="32"/>
      <c r="H252" s="32"/>
      <c r="I252" s="32"/>
      <c r="J252" s="32"/>
    </row>
    <row r="253" customFormat="false" ht="15.75" hidden="false" customHeight="true" outlineLevel="0" collapsed="false">
      <c r="A253" s="32"/>
      <c r="B253" s="32"/>
      <c r="C253" s="32"/>
      <c r="D253" s="32"/>
      <c r="E253" s="32"/>
      <c r="F253" s="32"/>
      <c r="G253" s="32"/>
      <c r="H253" s="32"/>
      <c r="I253" s="32"/>
      <c r="J253" s="32"/>
    </row>
    <row r="254" customFormat="false" ht="15.75" hidden="false" customHeight="true" outlineLevel="0" collapsed="false">
      <c r="A254" s="32"/>
      <c r="B254" s="32"/>
      <c r="C254" s="32"/>
      <c r="D254" s="32"/>
      <c r="E254" s="32"/>
      <c r="F254" s="32"/>
      <c r="G254" s="32"/>
      <c r="H254" s="32"/>
      <c r="I254" s="32"/>
      <c r="J254" s="32"/>
    </row>
    <row r="255" customFormat="false" ht="15.75" hidden="false" customHeight="true" outlineLevel="0" collapsed="false">
      <c r="A255" s="32"/>
      <c r="B255" s="32"/>
      <c r="C255" s="32"/>
      <c r="D255" s="32"/>
      <c r="E255" s="32"/>
      <c r="F255" s="32"/>
      <c r="G255" s="32"/>
      <c r="H255" s="32"/>
      <c r="I255" s="32"/>
      <c r="J255" s="32"/>
    </row>
    <row r="256" customFormat="false" ht="15.75" hidden="false" customHeight="true" outlineLevel="0" collapsed="false">
      <c r="A256" s="32"/>
      <c r="B256" s="32"/>
      <c r="C256" s="32"/>
      <c r="D256" s="32"/>
      <c r="E256" s="32"/>
      <c r="F256" s="32"/>
      <c r="G256" s="32"/>
      <c r="H256" s="32"/>
      <c r="I256" s="32"/>
      <c r="J256" s="32"/>
    </row>
    <row r="257" customFormat="false" ht="15.75" hidden="false" customHeight="true" outlineLevel="0" collapsed="false">
      <c r="A257" s="32"/>
      <c r="B257" s="32"/>
      <c r="C257" s="32"/>
      <c r="D257" s="32"/>
      <c r="E257" s="32"/>
      <c r="F257" s="32"/>
      <c r="G257" s="32"/>
      <c r="H257" s="32"/>
      <c r="I257" s="32"/>
      <c r="J257" s="32"/>
    </row>
    <row r="258" customFormat="false" ht="15.75" hidden="false" customHeight="true" outlineLevel="0" collapsed="false">
      <c r="A258" s="32"/>
      <c r="B258" s="32"/>
      <c r="C258" s="32"/>
      <c r="D258" s="32"/>
      <c r="E258" s="32"/>
      <c r="F258" s="32"/>
      <c r="G258" s="32"/>
      <c r="H258" s="32"/>
      <c r="I258" s="32"/>
      <c r="J258" s="32"/>
    </row>
    <row r="259" customFormat="false" ht="15.75" hidden="false" customHeight="true" outlineLevel="0" collapsed="false">
      <c r="A259" s="32"/>
      <c r="B259" s="32"/>
      <c r="C259" s="32"/>
      <c r="D259" s="32"/>
      <c r="E259" s="32"/>
      <c r="F259" s="32"/>
      <c r="G259" s="32"/>
      <c r="H259" s="32"/>
      <c r="I259" s="32"/>
      <c r="J259" s="32"/>
    </row>
    <row r="260" customFormat="false" ht="15.75" hidden="false" customHeight="true" outlineLevel="0" collapsed="false">
      <c r="A260" s="32"/>
      <c r="B260" s="32"/>
      <c r="C260" s="32"/>
      <c r="D260" s="32"/>
      <c r="E260" s="32"/>
      <c r="F260" s="32"/>
      <c r="G260" s="32"/>
      <c r="H260" s="32"/>
      <c r="I260" s="32"/>
      <c r="J260" s="32"/>
    </row>
    <row r="261" customFormat="false" ht="15.75" hidden="false" customHeight="true" outlineLevel="0" collapsed="false">
      <c r="A261" s="32"/>
      <c r="B261" s="32"/>
      <c r="C261" s="32"/>
      <c r="D261" s="32"/>
      <c r="E261" s="32"/>
      <c r="F261" s="32"/>
      <c r="G261" s="32"/>
      <c r="H261" s="32"/>
      <c r="I261" s="32"/>
      <c r="J261" s="32"/>
    </row>
    <row r="262" customFormat="false" ht="15.75" hidden="false" customHeight="true" outlineLevel="0" collapsed="false">
      <c r="A262" s="32"/>
      <c r="B262" s="32"/>
      <c r="C262" s="32"/>
      <c r="D262" s="32"/>
      <c r="E262" s="32"/>
      <c r="F262" s="32"/>
      <c r="G262" s="32"/>
      <c r="H262" s="32"/>
      <c r="I262" s="32"/>
      <c r="J262" s="32"/>
    </row>
    <row r="263" customFormat="false" ht="15.75" hidden="false" customHeight="true" outlineLevel="0" collapsed="false">
      <c r="A263" s="32"/>
      <c r="B263" s="32"/>
      <c r="C263" s="32"/>
      <c r="D263" s="32"/>
      <c r="E263" s="32"/>
      <c r="F263" s="32"/>
      <c r="G263" s="32"/>
      <c r="H263" s="32"/>
      <c r="I263" s="32"/>
      <c r="J263" s="32"/>
    </row>
    <row r="264" customFormat="false" ht="15.75" hidden="false" customHeight="true" outlineLevel="0" collapsed="false">
      <c r="A264" s="32"/>
      <c r="B264" s="32"/>
      <c r="C264" s="32"/>
      <c r="D264" s="32"/>
      <c r="E264" s="32"/>
      <c r="F264" s="32"/>
      <c r="G264" s="32"/>
      <c r="H264" s="32"/>
      <c r="I264" s="32"/>
      <c r="J264" s="32"/>
    </row>
    <row r="265" customFormat="false" ht="15.75" hidden="false" customHeight="true" outlineLevel="0" collapsed="false">
      <c r="A265" s="32"/>
      <c r="B265" s="32"/>
      <c r="C265" s="32"/>
      <c r="D265" s="32"/>
      <c r="E265" s="32"/>
      <c r="F265" s="32"/>
      <c r="G265" s="32"/>
      <c r="H265" s="32"/>
      <c r="I265" s="32"/>
      <c r="J265" s="32"/>
    </row>
    <row r="266" customFormat="false" ht="15.75" hidden="false" customHeight="true" outlineLevel="0" collapsed="false">
      <c r="A266" s="32"/>
      <c r="B266" s="32"/>
      <c r="C266" s="32"/>
      <c r="D266" s="32"/>
      <c r="E266" s="32"/>
      <c r="F266" s="32"/>
      <c r="G266" s="32"/>
      <c r="H266" s="32"/>
      <c r="I266" s="32"/>
      <c r="J266" s="32"/>
    </row>
    <row r="267" customFormat="false" ht="15.75" hidden="false" customHeight="true" outlineLevel="0" collapsed="false">
      <c r="A267" s="32"/>
      <c r="B267" s="32"/>
      <c r="C267" s="32"/>
      <c r="D267" s="32"/>
      <c r="E267" s="32"/>
      <c r="F267" s="32"/>
      <c r="G267" s="32"/>
      <c r="H267" s="32"/>
      <c r="I267" s="32"/>
      <c r="J267" s="32"/>
    </row>
    <row r="268" customFormat="false" ht="15.75" hidden="false" customHeight="true" outlineLevel="0" collapsed="false">
      <c r="A268" s="32"/>
      <c r="B268" s="32"/>
      <c r="C268" s="32"/>
      <c r="D268" s="32"/>
      <c r="E268" s="32"/>
      <c r="F268" s="32"/>
      <c r="G268" s="32"/>
      <c r="H268" s="32"/>
      <c r="I268" s="32"/>
      <c r="J268" s="32"/>
    </row>
    <row r="269" customFormat="false" ht="15.75" hidden="false" customHeight="true" outlineLevel="0" collapsed="false">
      <c r="A269" s="32"/>
      <c r="B269" s="32"/>
      <c r="C269" s="32"/>
      <c r="D269" s="32"/>
      <c r="E269" s="32"/>
      <c r="F269" s="32"/>
      <c r="G269" s="32"/>
      <c r="H269" s="32"/>
      <c r="I269" s="32"/>
      <c r="J269" s="32"/>
    </row>
    <row r="270" customFormat="false" ht="15.75" hidden="false" customHeight="true" outlineLevel="0" collapsed="false">
      <c r="A270" s="32"/>
      <c r="B270" s="32"/>
      <c r="C270" s="32"/>
      <c r="D270" s="32"/>
      <c r="E270" s="32"/>
      <c r="F270" s="32"/>
      <c r="G270" s="32"/>
      <c r="H270" s="32"/>
      <c r="I270" s="32"/>
      <c r="J270" s="32"/>
    </row>
    <row r="271" customFormat="false" ht="15.75" hidden="false" customHeight="true" outlineLevel="0" collapsed="false">
      <c r="A271" s="32"/>
      <c r="B271" s="32"/>
      <c r="C271" s="32"/>
      <c r="D271" s="32"/>
      <c r="E271" s="32"/>
      <c r="F271" s="32"/>
      <c r="G271" s="32"/>
      <c r="H271" s="32"/>
      <c r="I271" s="32"/>
      <c r="J271" s="32"/>
    </row>
    <row r="272" customFormat="false" ht="15.75" hidden="false" customHeight="true" outlineLevel="0" collapsed="false">
      <c r="A272" s="32"/>
      <c r="B272" s="32"/>
      <c r="C272" s="32"/>
      <c r="D272" s="32"/>
      <c r="E272" s="32"/>
      <c r="F272" s="32"/>
      <c r="G272" s="32"/>
      <c r="H272" s="32"/>
      <c r="I272" s="32"/>
      <c r="J272" s="32"/>
    </row>
    <row r="273" customFormat="false" ht="15.75" hidden="false" customHeight="true" outlineLevel="0" collapsed="false">
      <c r="A273" s="32"/>
      <c r="B273" s="32"/>
      <c r="C273" s="32"/>
      <c r="D273" s="32"/>
      <c r="E273" s="32"/>
      <c r="F273" s="32"/>
      <c r="G273" s="32"/>
      <c r="H273" s="32"/>
      <c r="I273" s="32"/>
      <c r="J273" s="32"/>
    </row>
    <row r="274" customFormat="false" ht="15.75" hidden="false" customHeight="true" outlineLevel="0" collapsed="false">
      <c r="A274" s="32"/>
      <c r="B274" s="32"/>
      <c r="C274" s="32"/>
      <c r="D274" s="32"/>
      <c r="E274" s="32"/>
      <c r="F274" s="32"/>
      <c r="G274" s="32"/>
      <c r="H274" s="32"/>
      <c r="I274" s="32"/>
      <c r="J274" s="32"/>
    </row>
    <row r="275" customFormat="false" ht="15.75" hidden="false" customHeight="true" outlineLevel="0" collapsed="false">
      <c r="A275" s="32"/>
      <c r="B275" s="32"/>
      <c r="C275" s="32"/>
      <c r="D275" s="32"/>
      <c r="E275" s="32"/>
      <c r="F275" s="32"/>
      <c r="G275" s="32"/>
      <c r="H275" s="32"/>
      <c r="I275" s="32"/>
      <c r="J275" s="32"/>
    </row>
    <row r="276" customFormat="false" ht="15.75" hidden="false" customHeight="true" outlineLevel="0" collapsed="false">
      <c r="A276" s="32"/>
      <c r="B276" s="32"/>
      <c r="C276" s="32"/>
      <c r="D276" s="32"/>
      <c r="E276" s="32"/>
      <c r="F276" s="32"/>
      <c r="G276" s="32"/>
      <c r="H276" s="32"/>
      <c r="I276" s="32"/>
      <c r="J276" s="32"/>
    </row>
    <row r="277" customFormat="false" ht="15.75" hidden="false" customHeight="true" outlineLevel="0" collapsed="false">
      <c r="A277" s="32"/>
      <c r="B277" s="32"/>
      <c r="C277" s="32"/>
      <c r="D277" s="32"/>
      <c r="E277" s="32"/>
      <c r="F277" s="32"/>
      <c r="G277" s="32"/>
      <c r="H277" s="32"/>
      <c r="I277" s="32"/>
      <c r="J277" s="32"/>
    </row>
    <row r="278" customFormat="false" ht="15.75" hidden="false" customHeight="true" outlineLevel="0" collapsed="false">
      <c r="A278" s="32"/>
      <c r="B278" s="32"/>
      <c r="C278" s="32"/>
      <c r="D278" s="32"/>
      <c r="E278" s="32"/>
      <c r="F278" s="32"/>
      <c r="G278" s="32"/>
      <c r="H278" s="32"/>
      <c r="I278" s="32"/>
      <c r="J278" s="32"/>
    </row>
    <row r="279" customFormat="false" ht="15.75" hidden="false" customHeight="true" outlineLevel="0" collapsed="false">
      <c r="A279" s="32"/>
      <c r="B279" s="32"/>
      <c r="C279" s="32"/>
      <c r="D279" s="32"/>
      <c r="E279" s="32"/>
      <c r="F279" s="32"/>
      <c r="G279" s="32"/>
      <c r="H279" s="32"/>
      <c r="I279" s="32"/>
      <c r="J279" s="32"/>
    </row>
    <row r="280" customFormat="false" ht="15.75" hidden="false" customHeight="true" outlineLevel="0" collapsed="false">
      <c r="A280" s="32"/>
      <c r="B280" s="32"/>
      <c r="C280" s="32"/>
      <c r="D280" s="32"/>
      <c r="E280" s="32"/>
      <c r="F280" s="32"/>
      <c r="G280" s="32"/>
      <c r="H280" s="32"/>
      <c r="I280" s="32"/>
      <c r="J280" s="32"/>
    </row>
    <row r="281" customFormat="false" ht="15.75" hidden="false" customHeight="true" outlineLevel="0" collapsed="false">
      <c r="A281" s="32"/>
      <c r="B281" s="32"/>
      <c r="C281" s="32"/>
      <c r="D281" s="32"/>
      <c r="E281" s="32"/>
      <c r="F281" s="32"/>
      <c r="G281" s="32"/>
      <c r="H281" s="32"/>
      <c r="I281" s="32"/>
      <c r="J281" s="32"/>
    </row>
    <row r="282" customFormat="false" ht="15.75" hidden="false" customHeight="true" outlineLevel="0" collapsed="false">
      <c r="A282" s="32"/>
      <c r="B282" s="32"/>
      <c r="C282" s="32"/>
      <c r="D282" s="32"/>
      <c r="E282" s="32"/>
      <c r="F282" s="32"/>
      <c r="G282" s="32"/>
      <c r="H282" s="32"/>
      <c r="I282" s="32"/>
      <c r="J282" s="32"/>
    </row>
    <row r="283" customFormat="false" ht="15.75" hidden="false" customHeight="true" outlineLevel="0" collapsed="false">
      <c r="A283" s="32"/>
      <c r="B283" s="32"/>
      <c r="C283" s="32"/>
      <c r="D283" s="32"/>
      <c r="E283" s="32"/>
      <c r="F283" s="32"/>
      <c r="G283" s="32"/>
      <c r="H283" s="32"/>
      <c r="I283" s="32"/>
      <c r="J283" s="32"/>
    </row>
    <row r="284" customFormat="false" ht="15.75" hidden="false" customHeight="true" outlineLevel="0" collapsed="false">
      <c r="A284" s="32"/>
      <c r="B284" s="32"/>
      <c r="C284" s="32"/>
      <c r="D284" s="32"/>
      <c r="E284" s="32"/>
      <c r="F284" s="32"/>
      <c r="G284" s="32"/>
      <c r="H284" s="32"/>
      <c r="I284" s="32"/>
      <c r="J284" s="32"/>
    </row>
    <row r="285" customFormat="false" ht="15.75" hidden="false" customHeight="true" outlineLevel="0" collapsed="false">
      <c r="A285" s="32"/>
      <c r="B285" s="32"/>
      <c r="C285" s="32"/>
      <c r="D285" s="32"/>
      <c r="E285" s="32"/>
      <c r="F285" s="32"/>
      <c r="G285" s="32"/>
      <c r="H285" s="32"/>
      <c r="I285" s="32"/>
      <c r="J285" s="32"/>
    </row>
    <row r="286" customFormat="false" ht="15.75" hidden="false" customHeight="true" outlineLevel="0" collapsed="false">
      <c r="A286" s="32"/>
      <c r="B286" s="32"/>
      <c r="C286" s="32"/>
      <c r="D286" s="32"/>
      <c r="E286" s="32"/>
      <c r="F286" s="32"/>
      <c r="G286" s="32"/>
      <c r="H286" s="32"/>
      <c r="I286" s="32"/>
      <c r="J286" s="32"/>
    </row>
    <row r="287" customFormat="false" ht="15.75" hidden="false" customHeight="true" outlineLevel="0" collapsed="false">
      <c r="A287" s="32"/>
      <c r="B287" s="32"/>
      <c r="C287" s="32"/>
      <c r="D287" s="32"/>
      <c r="E287" s="32"/>
      <c r="F287" s="32"/>
      <c r="G287" s="32"/>
      <c r="H287" s="32"/>
      <c r="I287" s="32"/>
      <c r="J287" s="32"/>
    </row>
    <row r="288" customFormat="false" ht="15.75" hidden="false" customHeight="true" outlineLevel="0" collapsed="false">
      <c r="A288" s="32"/>
      <c r="B288" s="32"/>
      <c r="C288" s="32"/>
      <c r="D288" s="32"/>
      <c r="E288" s="32"/>
      <c r="F288" s="32"/>
      <c r="G288" s="32"/>
      <c r="H288" s="32"/>
      <c r="I288" s="32"/>
      <c r="J288" s="32"/>
    </row>
    <row r="289" customFormat="false" ht="15.75" hidden="false" customHeight="true" outlineLevel="0" collapsed="false">
      <c r="A289" s="32"/>
      <c r="B289" s="32"/>
      <c r="C289" s="32"/>
      <c r="D289" s="32"/>
      <c r="E289" s="32"/>
      <c r="F289" s="32"/>
      <c r="G289" s="32"/>
      <c r="H289" s="32"/>
      <c r="I289" s="32"/>
      <c r="J289" s="32"/>
    </row>
    <row r="290" customFormat="false" ht="15.75" hidden="false" customHeight="true" outlineLevel="0" collapsed="false">
      <c r="A290" s="32"/>
      <c r="B290" s="32"/>
      <c r="C290" s="32"/>
      <c r="D290" s="32"/>
      <c r="E290" s="32"/>
      <c r="F290" s="32"/>
      <c r="G290" s="32"/>
      <c r="H290" s="32"/>
      <c r="I290" s="32"/>
      <c r="J290" s="32"/>
    </row>
    <row r="291" customFormat="false" ht="15.75" hidden="false" customHeight="true" outlineLevel="0" collapsed="false">
      <c r="A291" s="32"/>
      <c r="B291" s="32"/>
      <c r="C291" s="32"/>
      <c r="D291" s="32"/>
      <c r="E291" s="32"/>
      <c r="F291" s="32"/>
      <c r="G291" s="32"/>
      <c r="H291" s="32"/>
      <c r="I291" s="32"/>
      <c r="J291" s="32"/>
    </row>
    <row r="292" customFormat="false" ht="15.75" hidden="false" customHeight="true" outlineLevel="0" collapsed="false">
      <c r="A292" s="32"/>
      <c r="B292" s="32"/>
      <c r="C292" s="32"/>
      <c r="D292" s="32"/>
      <c r="E292" s="32"/>
      <c r="F292" s="32"/>
      <c r="G292" s="32"/>
      <c r="H292" s="32"/>
      <c r="I292" s="32"/>
      <c r="J292" s="32"/>
    </row>
    <row r="293" customFormat="false" ht="15.75" hidden="false" customHeight="true" outlineLevel="0" collapsed="false">
      <c r="A293" s="32"/>
      <c r="B293" s="32"/>
      <c r="C293" s="32"/>
      <c r="D293" s="32"/>
      <c r="E293" s="32"/>
      <c r="F293" s="32"/>
      <c r="G293" s="32"/>
      <c r="H293" s="32"/>
      <c r="I293" s="32"/>
      <c r="J293" s="32"/>
    </row>
    <row r="294" customFormat="false" ht="15.75" hidden="false" customHeight="true" outlineLevel="0" collapsed="false">
      <c r="A294" s="32"/>
      <c r="B294" s="32"/>
      <c r="C294" s="32"/>
      <c r="D294" s="32"/>
      <c r="E294" s="32"/>
      <c r="F294" s="32"/>
      <c r="G294" s="32"/>
      <c r="H294" s="32"/>
      <c r="I294" s="32"/>
      <c r="J294" s="32"/>
    </row>
    <row r="295" customFormat="false" ht="15.75" hidden="false" customHeight="true" outlineLevel="0" collapsed="false">
      <c r="A295" s="32"/>
      <c r="B295" s="32"/>
      <c r="C295" s="32"/>
      <c r="D295" s="32"/>
      <c r="E295" s="32"/>
      <c r="F295" s="32"/>
      <c r="G295" s="32"/>
      <c r="H295" s="32"/>
      <c r="I295" s="32"/>
      <c r="J295" s="32"/>
    </row>
    <row r="296" customFormat="false" ht="15.75" hidden="false" customHeight="true" outlineLevel="0" collapsed="false">
      <c r="A296" s="32"/>
      <c r="B296" s="32"/>
      <c r="C296" s="32"/>
      <c r="D296" s="32"/>
      <c r="E296" s="32"/>
      <c r="F296" s="32"/>
      <c r="G296" s="32"/>
      <c r="H296" s="32"/>
      <c r="I296" s="32"/>
      <c r="J296" s="32"/>
    </row>
    <row r="297" customFormat="false" ht="15.75" hidden="false" customHeight="true" outlineLevel="0" collapsed="false">
      <c r="A297" s="32"/>
      <c r="B297" s="32"/>
      <c r="C297" s="32"/>
      <c r="D297" s="32"/>
      <c r="E297" s="32"/>
      <c r="F297" s="32"/>
      <c r="G297" s="32"/>
      <c r="H297" s="32"/>
      <c r="I297" s="32"/>
      <c r="J297" s="32"/>
    </row>
    <row r="298" customFormat="false" ht="15.75" hidden="false" customHeight="true" outlineLevel="0" collapsed="false">
      <c r="A298" s="32"/>
      <c r="B298" s="32"/>
      <c r="C298" s="32"/>
      <c r="D298" s="32"/>
      <c r="E298" s="32"/>
      <c r="F298" s="32"/>
      <c r="G298" s="32"/>
      <c r="H298" s="32"/>
      <c r="I298" s="32"/>
      <c r="J298" s="32"/>
    </row>
    <row r="299" customFormat="false" ht="15.75" hidden="false" customHeight="true" outlineLevel="0" collapsed="false">
      <c r="A299" s="32"/>
      <c r="B299" s="32"/>
      <c r="C299" s="32"/>
      <c r="D299" s="32"/>
      <c r="E299" s="32"/>
      <c r="F299" s="32"/>
      <c r="G299" s="32"/>
      <c r="H299" s="32"/>
      <c r="I299" s="32"/>
      <c r="J299" s="32"/>
    </row>
    <row r="300" customFormat="false" ht="15.75" hidden="false" customHeight="true" outlineLevel="0" collapsed="false">
      <c r="A300" s="32"/>
      <c r="B300" s="32"/>
      <c r="C300" s="32"/>
      <c r="D300" s="32"/>
      <c r="E300" s="32"/>
      <c r="F300" s="32"/>
      <c r="G300" s="32"/>
      <c r="H300" s="32"/>
      <c r="I300" s="32"/>
      <c r="J300" s="32"/>
    </row>
    <row r="301" customFormat="false" ht="15.75" hidden="false" customHeight="true" outlineLevel="0" collapsed="false">
      <c r="A301" s="32"/>
      <c r="B301" s="32"/>
      <c r="C301" s="32"/>
      <c r="D301" s="32"/>
      <c r="E301" s="32"/>
      <c r="F301" s="32"/>
      <c r="G301" s="32"/>
      <c r="H301" s="32"/>
      <c r="I301" s="32"/>
      <c r="J301" s="32"/>
    </row>
    <row r="302" customFormat="false" ht="15.75" hidden="false" customHeight="true" outlineLevel="0" collapsed="false">
      <c r="A302" s="32"/>
      <c r="B302" s="32"/>
      <c r="C302" s="32"/>
      <c r="D302" s="32"/>
      <c r="E302" s="32"/>
      <c r="F302" s="32"/>
      <c r="G302" s="32"/>
      <c r="H302" s="32"/>
      <c r="I302" s="32"/>
      <c r="J302" s="32"/>
    </row>
    <row r="303" customFormat="false" ht="15.75" hidden="false" customHeight="true" outlineLevel="0" collapsed="false">
      <c r="A303" s="32"/>
      <c r="B303" s="32"/>
      <c r="C303" s="32"/>
      <c r="D303" s="32"/>
      <c r="E303" s="32"/>
      <c r="F303" s="32"/>
      <c r="G303" s="32"/>
      <c r="H303" s="32"/>
      <c r="I303" s="32"/>
      <c r="J303" s="32"/>
    </row>
    <row r="304" customFormat="false" ht="15.75" hidden="false" customHeight="true" outlineLevel="0" collapsed="false">
      <c r="A304" s="32"/>
      <c r="B304" s="32"/>
      <c r="C304" s="32"/>
      <c r="D304" s="32"/>
      <c r="E304" s="32"/>
      <c r="F304" s="32"/>
      <c r="G304" s="32"/>
      <c r="H304" s="32"/>
      <c r="I304" s="32"/>
      <c r="J304" s="32"/>
    </row>
    <row r="305" customFormat="false" ht="15.75" hidden="false" customHeight="true" outlineLevel="0" collapsed="false">
      <c r="A305" s="32"/>
      <c r="B305" s="32"/>
      <c r="C305" s="32"/>
      <c r="D305" s="32"/>
      <c r="E305" s="32"/>
      <c r="F305" s="32"/>
      <c r="G305" s="32"/>
      <c r="H305" s="32"/>
      <c r="I305" s="32"/>
      <c r="J305" s="32"/>
    </row>
    <row r="306" customFormat="false" ht="15.75" hidden="false" customHeight="true" outlineLevel="0" collapsed="false">
      <c r="A306" s="32"/>
      <c r="B306" s="32"/>
      <c r="C306" s="32"/>
      <c r="D306" s="32"/>
      <c r="E306" s="32"/>
      <c r="F306" s="32"/>
      <c r="G306" s="32"/>
      <c r="H306" s="32"/>
      <c r="I306" s="32"/>
      <c r="J306" s="32"/>
    </row>
    <row r="307" customFormat="false" ht="15.75" hidden="false" customHeight="true" outlineLevel="0" collapsed="false">
      <c r="A307" s="32"/>
      <c r="B307" s="32"/>
      <c r="C307" s="32"/>
      <c r="D307" s="32"/>
      <c r="E307" s="32"/>
      <c r="F307" s="32"/>
      <c r="G307" s="32"/>
      <c r="H307" s="32"/>
      <c r="I307" s="32"/>
      <c r="J307" s="32"/>
    </row>
    <row r="308" customFormat="false" ht="15.75" hidden="false" customHeight="true" outlineLevel="0" collapsed="false">
      <c r="A308" s="32"/>
      <c r="B308" s="32"/>
      <c r="C308" s="32"/>
      <c r="D308" s="32"/>
      <c r="E308" s="32"/>
      <c r="F308" s="32"/>
      <c r="G308" s="32"/>
      <c r="H308" s="32"/>
      <c r="I308" s="32"/>
      <c r="J308" s="32"/>
    </row>
    <row r="309" customFormat="false" ht="15.75" hidden="false" customHeight="true" outlineLevel="0" collapsed="false">
      <c r="A309" s="32"/>
      <c r="B309" s="32"/>
      <c r="C309" s="32"/>
      <c r="D309" s="32"/>
      <c r="E309" s="32"/>
      <c r="F309" s="32"/>
      <c r="G309" s="32"/>
      <c r="H309" s="32"/>
      <c r="I309" s="32"/>
      <c r="J309" s="32"/>
    </row>
    <row r="310" customFormat="false" ht="15.75" hidden="false" customHeight="true" outlineLevel="0" collapsed="false">
      <c r="A310" s="32"/>
      <c r="B310" s="32"/>
      <c r="C310" s="32"/>
      <c r="D310" s="32"/>
      <c r="E310" s="32"/>
      <c r="F310" s="32"/>
      <c r="G310" s="32"/>
      <c r="H310" s="32"/>
      <c r="I310" s="32"/>
      <c r="J310" s="32"/>
    </row>
    <row r="311" customFormat="false" ht="15.75" hidden="false" customHeight="true" outlineLevel="0" collapsed="false">
      <c r="A311" s="32"/>
      <c r="B311" s="32"/>
      <c r="C311" s="32"/>
      <c r="D311" s="32"/>
      <c r="E311" s="32"/>
      <c r="F311" s="32"/>
      <c r="G311" s="32"/>
      <c r="H311" s="32"/>
      <c r="I311" s="32"/>
      <c r="J311" s="32"/>
    </row>
    <row r="312" customFormat="false" ht="15.75" hidden="false" customHeight="true" outlineLevel="0" collapsed="false">
      <c r="A312" s="32"/>
      <c r="B312" s="32"/>
      <c r="C312" s="32"/>
      <c r="D312" s="32"/>
      <c r="E312" s="32"/>
      <c r="F312" s="32"/>
      <c r="G312" s="32"/>
      <c r="H312" s="32"/>
      <c r="I312" s="32"/>
      <c r="J312" s="32"/>
    </row>
    <row r="313" customFormat="false" ht="15.75" hidden="false" customHeight="true" outlineLevel="0" collapsed="false">
      <c r="A313" s="32"/>
      <c r="B313" s="32"/>
      <c r="C313" s="32"/>
      <c r="D313" s="32"/>
      <c r="E313" s="32"/>
      <c r="F313" s="32"/>
      <c r="G313" s="32"/>
      <c r="H313" s="32"/>
      <c r="I313" s="32"/>
      <c r="J313" s="32"/>
    </row>
    <row r="314" customFormat="false" ht="15.75" hidden="false" customHeight="true" outlineLevel="0" collapsed="false">
      <c r="A314" s="32"/>
      <c r="B314" s="32"/>
      <c r="C314" s="32"/>
      <c r="D314" s="32"/>
      <c r="E314" s="32"/>
      <c r="F314" s="32"/>
      <c r="G314" s="32"/>
      <c r="H314" s="32"/>
      <c r="I314" s="32"/>
      <c r="J314" s="32"/>
    </row>
    <row r="315" customFormat="false" ht="15.75" hidden="false" customHeight="true" outlineLevel="0" collapsed="false">
      <c r="A315" s="32"/>
      <c r="B315" s="32"/>
      <c r="C315" s="32"/>
      <c r="D315" s="32"/>
      <c r="E315" s="32"/>
      <c r="F315" s="32"/>
      <c r="G315" s="32"/>
      <c r="H315" s="32"/>
      <c r="I315" s="32"/>
      <c r="J315" s="32"/>
    </row>
    <row r="316" customFormat="false" ht="15.75" hidden="false" customHeight="true" outlineLevel="0" collapsed="false">
      <c r="A316" s="32"/>
      <c r="B316" s="32"/>
      <c r="C316" s="32"/>
      <c r="D316" s="32"/>
      <c r="E316" s="32"/>
      <c r="F316" s="32"/>
      <c r="G316" s="32"/>
      <c r="H316" s="32"/>
      <c r="I316" s="32"/>
      <c r="J316" s="32"/>
    </row>
    <row r="317" customFormat="false" ht="15.75" hidden="false" customHeight="true" outlineLevel="0" collapsed="false">
      <c r="A317" s="32"/>
      <c r="B317" s="32"/>
      <c r="C317" s="32"/>
      <c r="D317" s="32"/>
      <c r="E317" s="32"/>
      <c r="F317" s="32"/>
      <c r="G317" s="32"/>
      <c r="H317" s="32"/>
      <c r="I317" s="32"/>
      <c r="J317" s="32"/>
    </row>
    <row r="318" customFormat="false" ht="15.75" hidden="false" customHeight="true" outlineLevel="0" collapsed="false">
      <c r="A318" s="32"/>
      <c r="B318" s="32"/>
      <c r="C318" s="32"/>
      <c r="D318" s="32"/>
      <c r="E318" s="32"/>
      <c r="F318" s="32"/>
      <c r="G318" s="32"/>
      <c r="H318" s="32"/>
      <c r="I318" s="32"/>
      <c r="J318" s="32"/>
    </row>
    <row r="319" customFormat="false" ht="15.75" hidden="false" customHeight="true" outlineLevel="0" collapsed="false">
      <c r="A319" s="32"/>
      <c r="B319" s="32"/>
      <c r="C319" s="32"/>
      <c r="D319" s="32"/>
      <c r="E319" s="32"/>
      <c r="F319" s="32"/>
      <c r="G319" s="32"/>
      <c r="H319" s="32"/>
      <c r="I319" s="32"/>
      <c r="J319" s="32"/>
    </row>
    <row r="320" customFormat="false" ht="15.75" hidden="false" customHeight="true" outlineLevel="0" collapsed="false">
      <c r="A320" s="32"/>
      <c r="B320" s="32"/>
      <c r="C320" s="32"/>
      <c r="D320" s="32"/>
      <c r="E320" s="32"/>
      <c r="F320" s="32"/>
      <c r="G320" s="32"/>
      <c r="H320" s="32"/>
      <c r="I320" s="32"/>
      <c r="J320" s="32"/>
    </row>
    <row r="321" customFormat="false" ht="15.75" hidden="false" customHeight="true" outlineLevel="0" collapsed="false">
      <c r="A321" s="32"/>
      <c r="B321" s="32"/>
      <c r="C321" s="32"/>
      <c r="D321" s="32"/>
      <c r="E321" s="32"/>
      <c r="F321" s="32"/>
      <c r="G321" s="32"/>
      <c r="H321" s="32"/>
      <c r="I321" s="32"/>
      <c r="J321" s="32"/>
    </row>
    <row r="322" customFormat="false" ht="15.75" hidden="false" customHeight="true" outlineLevel="0" collapsed="false">
      <c r="A322" s="32"/>
      <c r="B322" s="32"/>
      <c r="C322" s="32"/>
      <c r="D322" s="32"/>
      <c r="E322" s="32"/>
      <c r="F322" s="32"/>
      <c r="G322" s="32"/>
      <c r="H322" s="32"/>
      <c r="I322" s="32"/>
      <c r="J322" s="32"/>
    </row>
    <row r="323" customFormat="false" ht="15.75" hidden="false" customHeight="true" outlineLevel="0" collapsed="false">
      <c r="A323" s="32"/>
      <c r="B323" s="32"/>
      <c r="C323" s="32"/>
      <c r="D323" s="32"/>
      <c r="E323" s="32"/>
      <c r="F323" s="32"/>
      <c r="G323" s="32"/>
      <c r="H323" s="32"/>
      <c r="I323" s="32"/>
      <c r="J323" s="32"/>
    </row>
    <row r="324" customFormat="false" ht="15.75" hidden="false" customHeight="true" outlineLevel="0" collapsed="false">
      <c r="A324" s="32"/>
      <c r="B324" s="32"/>
      <c r="C324" s="32"/>
      <c r="D324" s="32"/>
      <c r="E324" s="32"/>
      <c r="F324" s="32"/>
      <c r="G324" s="32"/>
      <c r="H324" s="32"/>
      <c r="I324" s="32"/>
      <c r="J324" s="32"/>
    </row>
    <row r="325" customFormat="false" ht="15.75" hidden="false" customHeight="true" outlineLevel="0" collapsed="false">
      <c r="A325" s="32"/>
      <c r="B325" s="32"/>
      <c r="C325" s="32"/>
      <c r="D325" s="32"/>
      <c r="E325" s="32"/>
      <c r="F325" s="32"/>
      <c r="G325" s="32"/>
      <c r="H325" s="32"/>
      <c r="I325" s="32"/>
      <c r="J325" s="32"/>
    </row>
    <row r="326" customFormat="false" ht="15.75" hidden="false" customHeight="true" outlineLevel="0" collapsed="false">
      <c r="A326" s="32"/>
      <c r="B326" s="32"/>
      <c r="C326" s="32"/>
      <c r="D326" s="32"/>
      <c r="E326" s="32"/>
      <c r="F326" s="32"/>
      <c r="G326" s="32"/>
      <c r="H326" s="32"/>
      <c r="I326" s="32"/>
      <c r="J326" s="32"/>
    </row>
    <row r="327" customFormat="false" ht="15.75" hidden="false" customHeight="true" outlineLevel="0" collapsed="false">
      <c r="A327" s="32"/>
      <c r="B327" s="32"/>
      <c r="C327" s="32"/>
      <c r="D327" s="32"/>
      <c r="E327" s="32"/>
      <c r="F327" s="32"/>
      <c r="G327" s="32"/>
      <c r="H327" s="32"/>
      <c r="I327" s="32"/>
      <c r="J327" s="32"/>
    </row>
    <row r="328" customFormat="false" ht="15.75" hidden="false" customHeight="true" outlineLevel="0" collapsed="false">
      <c r="A328" s="32"/>
      <c r="B328" s="32"/>
      <c r="C328" s="32"/>
      <c r="D328" s="32"/>
      <c r="E328" s="32"/>
      <c r="F328" s="32"/>
      <c r="G328" s="32"/>
      <c r="H328" s="32"/>
      <c r="I328" s="32"/>
      <c r="J328" s="32"/>
    </row>
    <row r="329" customFormat="false" ht="15.75" hidden="false" customHeight="true" outlineLevel="0" collapsed="false">
      <c r="A329" s="32"/>
      <c r="B329" s="32"/>
      <c r="C329" s="32"/>
      <c r="D329" s="32"/>
      <c r="E329" s="32"/>
      <c r="F329" s="32"/>
      <c r="G329" s="32"/>
      <c r="H329" s="32"/>
      <c r="I329" s="32"/>
      <c r="J329" s="32"/>
    </row>
    <row r="330" customFormat="false" ht="15.75" hidden="false" customHeight="true" outlineLevel="0" collapsed="false">
      <c r="A330" s="32"/>
      <c r="B330" s="32"/>
      <c r="C330" s="32"/>
      <c r="D330" s="32"/>
      <c r="E330" s="32"/>
      <c r="F330" s="32"/>
      <c r="G330" s="32"/>
      <c r="H330" s="32"/>
      <c r="I330" s="32"/>
      <c r="J330" s="32"/>
    </row>
    <row r="331" customFormat="false" ht="15.75" hidden="false" customHeight="true" outlineLevel="0" collapsed="false">
      <c r="A331" s="32"/>
      <c r="B331" s="32"/>
      <c r="C331" s="32"/>
      <c r="D331" s="32"/>
      <c r="E331" s="32"/>
      <c r="F331" s="32"/>
      <c r="G331" s="32"/>
      <c r="H331" s="32"/>
      <c r="I331" s="32"/>
      <c r="J331" s="32"/>
    </row>
    <row r="332" customFormat="false" ht="15.75" hidden="false" customHeight="true" outlineLevel="0" collapsed="false">
      <c r="A332" s="32"/>
      <c r="B332" s="32"/>
      <c r="C332" s="32"/>
      <c r="D332" s="32"/>
      <c r="E332" s="32"/>
      <c r="F332" s="32"/>
      <c r="G332" s="32"/>
      <c r="H332" s="32"/>
      <c r="I332" s="32"/>
      <c r="J332" s="32"/>
    </row>
    <row r="333" customFormat="false" ht="15.75" hidden="false" customHeight="true" outlineLevel="0" collapsed="false">
      <c r="A333" s="32"/>
      <c r="B333" s="32"/>
      <c r="C333" s="32"/>
      <c r="D333" s="32"/>
      <c r="E333" s="32"/>
      <c r="F333" s="32"/>
      <c r="G333" s="32"/>
      <c r="H333" s="32"/>
      <c r="I333" s="32"/>
      <c r="J333" s="32"/>
    </row>
    <row r="334" customFormat="false" ht="15.75" hidden="false" customHeight="true" outlineLevel="0" collapsed="false">
      <c r="A334" s="32"/>
      <c r="B334" s="32"/>
      <c r="C334" s="32"/>
      <c r="D334" s="32"/>
      <c r="E334" s="32"/>
      <c r="F334" s="32"/>
      <c r="G334" s="32"/>
      <c r="H334" s="32"/>
      <c r="I334" s="32"/>
      <c r="J334" s="32"/>
    </row>
    <row r="335" customFormat="false" ht="15.75" hidden="false" customHeight="true" outlineLevel="0" collapsed="false">
      <c r="A335" s="32"/>
      <c r="B335" s="32"/>
      <c r="C335" s="32"/>
      <c r="D335" s="32"/>
      <c r="E335" s="32"/>
      <c r="F335" s="32"/>
      <c r="G335" s="32"/>
      <c r="H335" s="32"/>
      <c r="I335" s="32"/>
      <c r="J335" s="32"/>
    </row>
    <row r="336" customFormat="false" ht="15.75" hidden="false" customHeight="true" outlineLevel="0" collapsed="false">
      <c r="A336" s="32"/>
      <c r="B336" s="32"/>
      <c r="C336" s="32"/>
      <c r="D336" s="32"/>
      <c r="E336" s="32"/>
      <c r="F336" s="32"/>
      <c r="G336" s="32"/>
      <c r="H336" s="32"/>
      <c r="I336" s="32"/>
      <c r="J336" s="32"/>
    </row>
    <row r="337" customFormat="false" ht="15.75" hidden="false" customHeight="true" outlineLevel="0" collapsed="false">
      <c r="A337" s="32"/>
      <c r="B337" s="32"/>
      <c r="C337" s="32"/>
      <c r="D337" s="32"/>
      <c r="E337" s="32"/>
      <c r="F337" s="32"/>
      <c r="G337" s="32"/>
      <c r="H337" s="32"/>
      <c r="I337" s="32"/>
      <c r="J337" s="32"/>
    </row>
    <row r="338" customFormat="false" ht="15.75" hidden="false" customHeight="true" outlineLevel="0" collapsed="false">
      <c r="A338" s="32"/>
      <c r="B338" s="32"/>
      <c r="C338" s="32"/>
      <c r="D338" s="32"/>
      <c r="E338" s="32"/>
      <c r="F338" s="32"/>
      <c r="G338" s="32"/>
      <c r="H338" s="32"/>
      <c r="I338" s="32"/>
      <c r="J338" s="32"/>
    </row>
    <row r="339" customFormat="false" ht="15.75" hidden="false" customHeight="true" outlineLevel="0" collapsed="false">
      <c r="A339" s="32"/>
      <c r="B339" s="32"/>
      <c r="C339" s="32"/>
      <c r="D339" s="32"/>
      <c r="E339" s="32"/>
      <c r="F339" s="32"/>
      <c r="G339" s="32"/>
      <c r="H339" s="32"/>
      <c r="I339" s="32"/>
      <c r="J339" s="32"/>
    </row>
    <row r="340" customFormat="false" ht="15.75" hidden="false" customHeight="true" outlineLevel="0" collapsed="false">
      <c r="A340" s="32"/>
      <c r="B340" s="32"/>
      <c r="C340" s="32"/>
      <c r="D340" s="32"/>
      <c r="E340" s="32"/>
      <c r="F340" s="32"/>
      <c r="G340" s="32"/>
      <c r="H340" s="32"/>
      <c r="I340" s="32"/>
      <c r="J340" s="32"/>
    </row>
    <row r="341" customFormat="false" ht="15.75" hidden="false" customHeight="true" outlineLevel="0" collapsed="false">
      <c r="A341" s="32"/>
      <c r="B341" s="32"/>
      <c r="C341" s="32"/>
      <c r="D341" s="32"/>
      <c r="E341" s="32"/>
      <c r="F341" s="32"/>
      <c r="G341" s="32"/>
      <c r="H341" s="32"/>
      <c r="I341" s="32"/>
      <c r="J341" s="32"/>
    </row>
    <row r="342" customFormat="false" ht="15.75" hidden="false" customHeight="true" outlineLevel="0" collapsed="false">
      <c r="A342" s="32"/>
      <c r="B342" s="32"/>
      <c r="C342" s="32"/>
      <c r="D342" s="32"/>
      <c r="E342" s="32"/>
      <c r="F342" s="32"/>
      <c r="G342" s="32"/>
      <c r="H342" s="32"/>
      <c r="I342" s="32"/>
      <c r="J342" s="32"/>
    </row>
    <row r="343" customFormat="false" ht="15.75" hidden="false" customHeight="true" outlineLevel="0" collapsed="false">
      <c r="A343" s="32"/>
      <c r="B343" s="32"/>
      <c r="C343" s="32"/>
      <c r="D343" s="32"/>
      <c r="E343" s="32"/>
      <c r="F343" s="32"/>
      <c r="G343" s="32"/>
      <c r="H343" s="32"/>
      <c r="I343" s="32"/>
      <c r="J343" s="32"/>
    </row>
    <row r="344" customFormat="false" ht="15.75" hidden="false" customHeight="true" outlineLevel="0" collapsed="false">
      <c r="A344" s="32"/>
      <c r="B344" s="32"/>
      <c r="C344" s="32"/>
      <c r="D344" s="32"/>
      <c r="E344" s="32"/>
      <c r="F344" s="32"/>
      <c r="G344" s="32"/>
      <c r="H344" s="32"/>
      <c r="I344" s="32"/>
      <c r="J344" s="32"/>
    </row>
    <row r="345" customFormat="false" ht="15.75" hidden="false" customHeight="true" outlineLevel="0" collapsed="false">
      <c r="A345" s="32"/>
      <c r="B345" s="32"/>
      <c r="C345" s="32"/>
      <c r="D345" s="32"/>
      <c r="E345" s="32"/>
      <c r="F345" s="32"/>
      <c r="G345" s="32"/>
      <c r="H345" s="32"/>
      <c r="I345" s="32"/>
      <c r="J345" s="32"/>
    </row>
    <row r="346" customFormat="false" ht="15.75" hidden="false" customHeight="true" outlineLevel="0" collapsed="false">
      <c r="A346" s="32"/>
      <c r="B346" s="32"/>
      <c r="C346" s="32"/>
      <c r="D346" s="32"/>
      <c r="E346" s="32"/>
      <c r="F346" s="32"/>
      <c r="G346" s="32"/>
      <c r="H346" s="32"/>
      <c r="I346" s="32"/>
      <c r="J346" s="32"/>
    </row>
    <row r="347" customFormat="false" ht="15.75" hidden="false" customHeight="true" outlineLevel="0" collapsed="false">
      <c r="A347" s="32"/>
      <c r="B347" s="32"/>
      <c r="C347" s="32"/>
      <c r="D347" s="32"/>
      <c r="E347" s="32"/>
      <c r="F347" s="32"/>
      <c r="G347" s="32"/>
      <c r="H347" s="32"/>
      <c r="I347" s="32"/>
      <c r="J347" s="32"/>
    </row>
    <row r="348" customFormat="false" ht="15.75" hidden="false" customHeight="true" outlineLevel="0" collapsed="false">
      <c r="A348" s="32"/>
      <c r="B348" s="32"/>
      <c r="C348" s="32"/>
      <c r="D348" s="32"/>
      <c r="E348" s="32"/>
      <c r="F348" s="32"/>
      <c r="G348" s="32"/>
      <c r="H348" s="32"/>
      <c r="I348" s="32"/>
      <c r="J348" s="32"/>
    </row>
    <row r="349" customFormat="false" ht="15.75" hidden="false" customHeight="true" outlineLevel="0" collapsed="false">
      <c r="A349" s="32"/>
      <c r="B349" s="32"/>
      <c r="C349" s="32"/>
      <c r="D349" s="32"/>
      <c r="E349" s="32"/>
      <c r="F349" s="32"/>
      <c r="G349" s="32"/>
      <c r="H349" s="32"/>
      <c r="I349" s="32"/>
      <c r="J349" s="32"/>
    </row>
    <row r="350" customFormat="false" ht="15.75" hidden="false" customHeight="true" outlineLevel="0" collapsed="false">
      <c r="A350" s="32"/>
      <c r="B350" s="32"/>
      <c r="C350" s="32"/>
      <c r="D350" s="32"/>
      <c r="E350" s="32"/>
      <c r="F350" s="32"/>
      <c r="G350" s="32"/>
      <c r="H350" s="32"/>
      <c r="I350" s="32"/>
      <c r="J350" s="32"/>
    </row>
    <row r="351" customFormat="false" ht="15.75" hidden="false" customHeight="true" outlineLevel="0" collapsed="false">
      <c r="A351" s="32"/>
      <c r="B351" s="32"/>
      <c r="C351" s="32"/>
      <c r="D351" s="32"/>
      <c r="E351" s="32"/>
      <c r="F351" s="32"/>
      <c r="G351" s="32"/>
      <c r="H351" s="32"/>
      <c r="I351" s="32"/>
      <c r="J351" s="32"/>
    </row>
    <row r="352" customFormat="false" ht="15.75" hidden="false" customHeight="true" outlineLevel="0" collapsed="false">
      <c r="A352" s="32"/>
      <c r="B352" s="32"/>
      <c r="C352" s="32"/>
      <c r="D352" s="32"/>
      <c r="E352" s="32"/>
      <c r="F352" s="32"/>
      <c r="G352" s="32"/>
      <c r="H352" s="32"/>
      <c r="I352" s="32"/>
      <c r="J352" s="32"/>
    </row>
    <row r="353" customFormat="false" ht="15.75" hidden="false" customHeight="true" outlineLevel="0" collapsed="false">
      <c r="A353" s="32"/>
      <c r="B353" s="32"/>
      <c r="C353" s="32"/>
      <c r="D353" s="32"/>
      <c r="E353" s="32"/>
      <c r="F353" s="32"/>
      <c r="G353" s="32"/>
      <c r="H353" s="32"/>
      <c r="I353" s="32"/>
      <c r="J353" s="32"/>
    </row>
    <row r="354" customFormat="false" ht="15.75" hidden="false" customHeight="true" outlineLevel="0" collapsed="false">
      <c r="A354" s="32"/>
      <c r="B354" s="32"/>
      <c r="C354" s="32"/>
      <c r="D354" s="32"/>
      <c r="E354" s="32"/>
      <c r="F354" s="32"/>
      <c r="G354" s="32"/>
      <c r="H354" s="32"/>
      <c r="I354" s="32"/>
      <c r="J354" s="32"/>
    </row>
    <row r="355" customFormat="false" ht="15.75" hidden="false" customHeight="true" outlineLevel="0" collapsed="false">
      <c r="A355" s="32"/>
      <c r="B355" s="32"/>
      <c r="C355" s="32"/>
      <c r="D355" s="32"/>
      <c r="E355" s="32"/>
      <c r="F355" s="32"/>
      <c r="G355" s="32"/>
      <c r="H355" s="32"/>
      <c r="I355" s="32"/>
      <c r="J355" s="32"/>
    </row>
    <row r="356" customFormat="false" ht="15.75" hidden="false" customHeight="true" outlineLevel="0" collapsed="false">
      <c r="A356" s="32"/>
      <c r="B356" s="32"/>
      <c r="C356" s="32"/>
      <c r="D356" s="32"/>
      <c r="E356" s="32"/>
      <c r="F356" s="32"/>
      <c r="G356" s="32"/>
      <c r="H356" s="32"/>
      <c r="I356" s="32"/>
      <c r="J356" s="32"/>
    </row>
    <row r="357" customFormat="false" ht="15.75" hidden="false" customHeight="true" outlineLevel="0" collapsed="false">
      <c r="A357" s="32"/>
      <c r="B357" s="32"/>
      <c r="C357" s="32"/>
      <c r="D357" s="32"/>
      <c r="E357" s="32"/>
      <c r="F357" s="32"/>
      <c r="G357" s="32"/>
      <c r="H357" s="32"/>
      <c r="I357" s="32"/>
      <c r="J357" s="32"/>
    </row>
    <row r="358" customFormat="false" ht="15.75" hidden="false" customHeight="true" outlineLevel="0" collapsed="false">
      <c r="A358" s="32"/>
      <c r="B358" s="32"/>
      <c r="C358" s="32"/>
      <c r="D358" s="32"/>
      <c r="E358" s="32"/>
      <c r="F358" s="32"/>
      <c r="G358" s="32"/>
      <c r="H358" s="32"/>
      <c r="I358" s="32"/>
      <c r="J358" s="32"/>
    </row>
    <row r="359" customFormat="false" ht="15.75" hidden="false" customHeight="true" outlineLevel="0" collapsed="false">
      <c r="A359" s="32"/>
      <c r="B359" s="32"/>
      <c r="C359" s="32"/>
      <c r="D359" s="32"/>
      <c r="E359" s="32"/>
      <c r="F359" s="32"/>
      <c r="G359" s="32"/>
      <c r="H359" s="32"/>
      <c r="I359" s="32"/>
      <c r="J359" s="32"/>
    </row>
    <row r="360" customFormat="false" ht="15.75" hidden="false" customHeight="true" outlineLevel="0" collapsed="false">
      <c r="A360" s="32"/>
      <c r="B360" s="32"/>
      <c r="C360" s="32"/>
      <c r="D360" s="32"/>
      <c r="E360" s="32"/>
      <c r="F360" s="32"/>
      <c r="G360" s="32"/>
      <c r="H360" s="32"/>
      <c r="I360" s="32"/>
      <c r="J360" s="32"/>
    </row>
    <row r="361" customFormat="false" ht="15.75" hidden="false" customHeight="true" outlineLevel="0" collapsed="false">
      <c r="A361" s="32"/>
      <c r="B361" s="32"/>
      <c r="C361" s="32"/>
      <c r="D361" s="32"/>
      <c r="E361" s="32"/>
      <c r="F361" s="32"/>
      <c r="G361" s="32"/>
      <c r="H361" s="32"/>
      <c r="I361" s="32"/>
      <c r="J361" s="32"/>
    </row>
    <row r="362" customFormat="false" ht="15.75" hidden="false" customHeight="true" outlineLevel="0" collapsed="false">
      <c r="A362" s="32"/>
      <c r="B362" s="32"/>
      <c r="C362" s="32"/>
      <c r="D362" s="32"/>
      <c r="E362" s="32"/>
      <c r="F362" s="32"/>
      <c r="G362" s="32"/>
      <c r="H362" s="32"/>
      <c r="I362" s="32"/>
      <c r="J362" s="32"/>
    </row>
    <row r="363" customFormat="false" ht="15.75" hidden="false" customHeight="true" outlineLevel="0" collapsed="false">
      <c r="A363" s="32"/>
      <c r="B363" s="32"/>
      <c r="C363" s="32"/>
      <c r="D363" s="32"/>
      <c r="E363" s="32"/>
      <c r="F363" s="32"/>
      <c r="G363" s="32"/>
      <c r="H363" s="32"/>
      <c r="I363" s="32"/>
      <c r="J363" s="32"/>
    </row>
    <row r="364" customFormat="false" ht="15.75" hidden="false" customHeight="true" outlineLevel="0" collapsed="false">
      <c r="A364" s="32"/>
      <c r="B364" s="32"/>
      <c r="C364" s="32"/>
      <c r="D364" s="32"/>
      <c r="E364" s="32"/>
      <c r="F364" s="32"/>
      <c r="G364" s="32"/>
      <c r="H364" s="32"/>
      <c r="I364" s="32"/>
      <c r="J364" s="32"/>
    </row>
    <row r="365" customFormat="false" ht="15.75" hidden="false" customHeight="true" outlineLevel="0" collapsed="false">
      <c r="A365" s="32"/>
      <c r="B365" s="32"/>
      <c r="C365" s="32"/>
      <c r="D365" s="32"/>
      <c r="E365" s="32"/>
      <c r="F365" s="32"/>
      <c r="G365" s="32"/>
      <c r="H365" s="32"/>
      <c r="I365" s="32"/>
      <c r="J365" s="32"/>
    </row>
    <row r="366" customFormat="false" ht="15.75" hidden="false" customHeight="true" outlineLevel="0" collapsed="false">
      <c r="A366" s="32"/>
      <c r="B366" s="32"/>
      <c r="C366" s="32"/>
      <c r="D366" s="32"/>
      <c r="E366" s="32"/>
      <c r="F366" s="32"/>
      <c r="G366" s="32"/>
      <c r="H366" s="32"/>
      <c r="I366" s="32"/>
      <c r="J366" s="32"/>
    </row>
    <row r="367" customFormat="false" ht="15.75" hidden="false" customHeight="true" outlineLevel="0" collapsed="false">
      <c r="A367" s="32"/>
      <c r="B367" s="32"/>
      <c r="C367" s="32"/>
      <c r="D367" s="32"/>
      <c r="E367" s="32"/>
      <c r="F367" s="32"/>
      <c r="G367" s="32"/>
      <c r="H367" s="32"/>
      <c r="I367" s="32"/>
      <c r="J367" s="32"/>
    </row>
    <row r="368" customFormat="false" ht="15.75" hidden="false" customHeight="true" outlineLevel="0" collapsed="false">
      <c r="A368" s="32"/>
      <c r="B368" s="32"/>
      <c r="C368" s="32"/>
      <c r="D368" s="32"/>
      <c r="E368" s="32"/>
      <c r="F368" s="32"/>
      <c r="G368" s="32"/>
      <c r="H368" s="32"/>
      <c r="I368" s="32"/>
      <c r="J368" s="32"/>
    </row>
    <row r="369" customFormat="false" ht="15.75" hidden="false" customHeight="true" outlineLevel="0" collapsed="false">
      <c r="A369" s="32"/>
      <c r="B369" s="32"/>
      <c r="C369" s="32"/>
      <c r="D369" s="32"/>
      <c r="E369" s="32"/>
      <c r="F369" s="32"/>
      <c r="G369" s="32"/>
      <c r="H369" s="32"/>
      <c r="I369" s="32"/>
      <c r="J369" s="32"/>
    </row>
    <row r="370" customFormat="false" ht="15.75" hidden="false" customHeight="true" outlineLevel="0" collapsed="false">
      <c r="A370" s="32"/>
      <c r="B370" s="32"/>
      <c r="C370" s="32"/>
      <c r="D370" s="32"/>
      <c r="E370" s="32"/>
      <c r="F370" s="32"/>
      <c r="G370" s="32"/>
      <c r="H370" s="32"/>
      <c r="I370" s="32"/>
      <c r="J370" s="32"/>
    </row>
    <row r="371" customFormat="false" ht="15.75" hidden="false" customHeight="true" outlineLevel="0" collapsed="false">
      <c r="A371" s="32"/>
      <c r="B371" s="32"/>
      <c r="C371" s="32"/>
      <c r="D371" s="32"/>
      <c r="E371" s="32"/>
      <c r="F371" s="32"/>
      <c r="G371" s="32"/>
      <c r="H371" s="32"/>
      <c r="I371" s="32"/>
      <c r="J371" s="32"/>
    </row>
    <row r="372" customFormat="false" ht="15.75" hidden="false" customHeight="true" outlineLevel="0" collapsed="false">
      <c r="A372" s="32"/>
      <c r="B372" s="32"/>
      <c r="C372" s="32"/>
      <c r="D372" s="32"/>
      <c r="E372" s="32"/>
      <c r="F372" s="32"/>
      <c r="G372" s="32"/>
      <c r="H372" s="32"/>
      <c r="I372" s="32"/>
      <c r="J372" s="32"/>
    </row>
    <row r="373" customFormat="false" ht="15.75" hidden="false" customHeight="true" outlineLevel="0" collapsed="false">
      <c r="A373" s="32"/>
      <c r="B373" s="32"/>
      <c r="C373" s="32"/>
      <c r="D373" s="32"/>
      <c r="E373" s="32"/>
      <c r="F373" s="32"/>
      <c r="G373" s="32"/>
      <c r="H373" s="32"/>
      <c r="I373" s="32"/>
      <c r="J373" s="32"/>
    </row>
    <row r="374" customFormat="false" ht="15.75" hidden="false" customHeight="true" outlineLevel="0" collapsed="false">
      <c r="A374" s="32"/>
      <c r="B374" s="32"/>
      <c r="C374" s="32"/>
      <c r="D374" s="32"/>
      <c r="E374" s="32"/>
      <c r="F374" s="32"/>
      <c r="G374" s="32"/>
      <c r="H374" s="32"/>
      <c r="I374" s="32"/>
      <c r="J374" s="32"/>
    </row>
    <row r="375" customFormat="false" ht="15.75" hidden="false" customHeight="true" outlineLevel="0" collapsed="false">
      <c r="A375" s="32"/>
      <c r="B375" s="32"/>
      <c r="C375" s="32"/>
      <c r="D375" s="32"/>
      <c r="E375" s="32"/>
      <c r="F375" s="32"/>
      <c r="G375" s="32"/>
      <c r="H375" s="32"/>
      <c r="I375" s="32"/>
      <c r="J375" s="32"/>
    </row>
    <row r="376" customFormat="false" ht="15.75" hidden="false" customHeight="true" outlineLevel="0" collapsed="false">
      <c r="A376" s="32"/>
      <c r="B376" s="32"/>
      <c r="C376" s="32"/>
      <c r="D376" s="32"/>
      <c r="E376" s="32"/>
      <c r="F376" s="32"/>
      <c r="G376" s="32"/>
      <c r="H376" s="32"/>
      <c r="I376" s="32"/>
      <c r="J376" s="32"/>
    </row>
    <row r="377" customFormat="false" ht="15.75" hidden="false" customHeight="true" outlineLevel="0" collapsed="false">
      <c r="A377" s="32"/>
      <c r="B377" s="32"/>
      <c r="C377" s="32"/>
      <c r="D377" s="32"/>
      <c r="E377" s="32"/>
      <c r="F377" s="32"/>
      <c r="G377" s="32"/>
      <c r="H377" s="32"/>
      <c r="I377" s="32"/>
      <c r="J377" s="32"/>
    </row>
    <row r="378" customFormat="false" ht="15.75" hidden="false" customHeight="true" outlineLevel="0" collapsed="false">
      <c r="A378" s="32"/>
      <c r="B378" s="32"/>
      <c r="C378" s="32"/>
      <c r="D378" s="32"/>
      <c r="E378" s="32"/>
      <c r="F378" s="32"/>
      <c r="G378" s="32"/>
      <c r="H378" s="32"/>
      <c r="I378" s="32"/>
      <c r="J378" s="32"/>
    </row>
    <row r="379" customFormat="false" ht="15.75" hidden="false" customHeight="true" outlineLevel="0" collapsed="false">
      <c r="A379" s="32"/>
      <c r="B379" s="32"/>
      <c r="C379" s="32"/>
      <c r="D379" s="32"/>
      <c r="E379" s="32"/>
      <c r="F379" s="32"/>
      <c r="G379" s="32"/>
      <c r="H379" s="32"/>
      <c r="I379" s="32"/>
      <c r="J379" s="32"/>
    </row>
    <row r="380" customFormat="false" ht="15.75" hidden="false" customHeight="true" outlineLevel="0" collapsed="false">
      <c r="A380" s="32"/>
      <c r="B380" s="32"/>
      <c r="C380" s="32"/>
      <c r="D380" s="32"/>
      <c r="E380" s="32"/>
      <c r="F380" s="32"/>
      <c r="G380" s="32"/>
      <c r="H380" s="32"/>
      <c r="I380" s="32"/>
      <c r="J380" s="32"/>
    </row>
    <row r="381" customFormat="false" ht="15.75" hidden="false" customHeight="true" outlineLevel="0" collapsed="false">
      <c r="A381" s="32"/>
      <c r="B381" s="32"/>
      <c r="C381" s="32"/>
      <c r="D381" s="32"/>
      <c r="E381" s="32"/>
      <c r="F381" s="32"/>
      <c r="G381" s="32"/>
      <c r="H381" s="32"/>
      <c r="I381" s="32"/>
      <c r="J381" s="32"/>
    </row>
    <row r="382" customFormat="false" ht="15.75" hidden="false" customHeight="true" outlineLevel="0" collapsed="false">
      <c r="A382" s="32"/>
      <c r="B382" s="32"/>
      <c r="C382" s="32"/>
      <c r="D382" s="32"/>
      <c r="E382" s="32"/>
      <c r="F382" s="32"/>
      <c r="G382" s="32"/>
      <c r="H382" s="32"/>
      <c r="I382" s="32"/>
      <c r="J382" s="32"/>
    </row>
    <row r="383" customFormat="false" ht="15.75" hidden="false" customHeight="true" outlineLevel="0" collapsed="false">
      <c r="A383" s="32"/>
      <c r="B383" s="32"/>
      <c r="C383" s="32"/>
      <c r="D383" s="32"/>
      <c r="E383" s="32"/>
      <c r="F383" s="32"/>
      <c r="G383" s="32"/>
      <c r="H383" s="32"/>
      <c r="I383" s="32"/>
      <c r="J383" s="32"/>
    </row>
    <row r="384" customFormat="false" ht="15.75" hidden="false" customHeight="true" outlineLevel="0" collapsed="false">
      <c r="A384" s="32"/>
      <c r="B384" s="32"/>
      <c r="C384" s="32"/>
      <c r="D384" s="32"/>
      <c r="E384" s="32"/>
      <c r="F384" s="32"/>
      <c r="G384" s="32"/>
      <c r="H384" s="32"/>
      <c r="I384" s="32"/>
      <c r="J384" s="32"/>
    </row>
    <row r="385" customFormat="false" ht="15.75" hidden="false" customHeight="true" outlineLevel="0" collapsed="false">
      <c r="A385" s="32"/>
      <c r="B385" s="32"/>
      <c r="C385" s="32"/>
      <c r="D385" s="32"/>
      <c r="E385" s="32"/>
      <c r="F385" s="32"/>
      <c r="G385" s="32"/>
      <c r="H385" s="32"/>
      <c r="I385" s="32"/>
      <c r="J385" s="32"/>
    </row>
    <row r="386" customFormat="false" ht="15.75" hidden="false" customHeight="true" outlineLevel="0" collapsed="false">
      <c r="A386" s="32"/>
      <c r="B386" s="32"/>
      <c r="C386" s="32"/>
      <c r="D386" s="32"/>
      <c r="E386" s="32"/>
      <c r="F386" s="32"/>
      <c r="G386" s="32"/>
      <c r="H386" s="32"/>
      <c r="I386" s="32"/>
      <c r="J386" s="32"/>
    </row>
    <row r="387" customFormat="false" ht="15.75" hidden="false" customHeight="true" outlineLevel="0" collapsed="false">
      <c r="A387" s="32"/>
      <c r="B387" s="32"/>
      <c r="C387" s="32"/>
      <c r="D387" s="32"/>
      <c r="E387" s="32"/>
      <c r="F387" s="32"/>
      <c r="G387" s="32"/>
      <c r="H387" s="32"/>
      <c r="I387" s="32"/>
      <c r="J387" s="32"/>
    </row>
    <row r="388" customFormat="false" ht="15.75" hidden="false" customHeight="true" outlineLevel="0" collapsed="false">
      <c r="A388" s="32"/>
      <c r="B388" s="32"/>
      <c r="C388" s="32"/>
      <c r="D388" s="32"/>
      <c r="E388" s="32"/>
      <c r="F388" s="32"/>
      <c r="G388" s="32"/>
      <c r="H388" s="32"/>
      <c r="I388" s="32"/>
      <c r="J388" s="32"/>
    </row>
    <row r="389" customFormat="false" ht="15.75" hidden="false" customHeight="true" outlineLevel="0" collapsed="false">
      <c r="A389" s="32"/>
      <c r="B389" s="32"/>
      <c r="C389" s="32"/>
      <c r="D389" s="32"/>
      <c r="E389" s="32"/>
      <c r="F389" s="32"/>
      <c r="G389" s="32"/>
      <c r="H389" s="32"/>
      <c r="I389" s="32"/>
      <c r="J389" s="32"/>
    </row>
    <row r="390" customFormat="false" ht="15.75" hidden="false" customHeight="true" outlineLevel="0" collapsed="false">
      <c r="A390" s="32"/>
      <c r="B390" s="32"/>
      <c r="C390" s="32"/>
      <c r="D390" s="32"/>
      <c r="E390" s="32"/>
      <c r="F390" s="32"/>
      <c r="G390" s="32"/>
      <c r="H390" s="32"/>
      <c r="I390" s="32"/>
      <c r="J390" s="32"/>
    </row>
    <row r="391" customFormat="false" ht="15.75" hidden="false" customHeight="true" outlineLevel="0" collapsed="false">
      <c r="A391" s="32"/>
      <c r="B391" s="32"/>
      <c r="C391" s="32"/>
      <c r="D391" s="32"/>
      <c r="E391" s="32"/>
      <c r="F391" s="32"/>
      <c r="G391" s="32"/>
      <c r="H391" s="32"/>
      <c r="I391" s="32"/>
      <c r="J391" s="32"/>
    </row>
    <row r="392" customFormat="false" ht="15.75" hidden="false" customHeight="true" outlineLevel="0" collapsed="false">
      <c r="A392" s="32"/>
      <c r="B392" s="32"/>
      <c r="C392" s="32"/>
      <c r="D392" s="32"/>
      <c r="E392" s="32"/>
      <c r="F392" s="32"/>
      <c r="G392" s="32"/>
      <c r="H392" s="32"/>
      <c r="I392" s="32"/>
      <c r="J392" s="32"/>
    </row>
    <row r="393" customFormat="false" ht="15.75" hidden="false" customHeight="true" outlineLevel="0" collapsed="false">
      <c r="A393" s="32"/>
      <c r="B393" s="32"/>
      <c r="C393" s="32"/>
      <c r="D393" s="32"/>
      <c r="E393" s="32"/>
      <c r="F393" s="32"/>
      <c r="G393" s="32"/>
      <c r="H393" s="32"/>
      <c r="I393" s="32"/>
      <c r="J393" s="32"/>
    </row>
    <row r="394" customFormat="false" ht="15.75" hidden="false" customHeight="true" outlineLevel="0" collapsed="false">
      <c r="A394" s="32"/>
      <c r="B394" s="32"/>
      <c r="C394" s="32"/>
      <c r="D394" s="32"/>
      <c r="E394" s="32"/>
      <c r="F394" s="32"/>
      <c r="G394" s="32"/>
      <c r="H394" s="32"/>
      <c r="I394" s="32"/>
      <c r="J394" s="32"/>
    </row>
    <row r="395" customFormat="false" ht="15.75" hidden="false" customHeight="true" outlineLevel="0" collapsed="false">
      <c r="A395" s="32"/>
      <c r="B395" s="32"/>
      <c r="C395" s="32"/>
      <c r="D395" s="32"/>
      <c r="E395" s="32"/>
      <c r="F395" s="32"/>
      <c r="G395" s="32"/>
      <c r="H395" s="32"/>
      <c r="I395" s="32"/>
      <c r="J395" s="32"/>
    </row>
    <row r="396" customFormat="false" ht="15.75" hidden="false" customHeight="true" outlineLevel="0" collapsed="false">
      <c r="A396" s="32"/>
      <c r="B396" s="32"/>
      <c r="C396" s="32"/>
      <c r="D396" s="32"/>
      <c r="E396" s="32"/>
      <c r="F396" s="32"/>
      <c r="G396" s="32"/>
      <c r="H396" s="32"/>
      <c r="I396" s="32"/>
      <c r="J396" s="32"/>
    </row>
    <row r="397" customFormat="false" ht="15.75" hidden="false" customHeight="true" outlineLevel="0" collapsed="false">
      <c r="A397" s="32"/>
      <c r="B397" s="32"/>
      <c r="C397" s="32"/>
      <c r="D397" s="32"/>
      <c r="E397" s="32"/>
      <c r="F397" s="32"/>
      <c r="G397" s="32"/>
      <c r="H397" s="32"/>
      <c r="I397" s="32"/>
      <c r="J397" s="32"/>
    </row>
    <row r="398" customFormat="false" ht="15.75" hidden="false" customHeight="true" outlineLevel="0" collapsed="false">
      <c r="A398" s="32"/>
      <c r="B398" s="32"/>
      <c r="C398" s="32"/>
      <c r="D398" s="32"/>
      <c r="E398" s="32"/>
      <c r="F398" s="32"/>
      <c r="G398" s="32"/>
      <c r="H398" s="32"/>
      <c r="I398" s="32"/>
      <c r="J398" s="32"/>
    </row>
    <row r="399" customFormat="false" ht="15.75" hidden="false" customHeight="true" outlineLevel="0" collapsed="false">
      <c r="A399" s="32"/>
      <c r="B399" s="32"/>
      <c r="C399" s="32"/>
      <c r="D399" s="32"/>
      <c r="E399" s="32"/>
      <c r="F399" s="32"/>
      <c r="G399" s="32"/>
      <c r="H399" s="32"/>
      <c r="I399" s="32"/>
      <c r="J399" s="32"/>
    </row>
    <row r="400" customFormat="false" ht="15.75" hidden="false" customHeight="true" outlineLevel="0" collapsed="false">
      <c r="A400" s="32"/>
      <c r="B400" s="32"/>
      <c r="C400" s="32"/>
      <c r="D400" s="32"/>
      <c r="E400" s="32"/>
      <c r="F400" s="32"/>
      <c r="G400" s="32"/>
      <c r="H400" s="32"/>
      <c r="I400" s="32"/>
      <c r="J400" s="32"/>
    </row>
    <row r="401" customFormat="false" ht="15.75" hidden="false" customHeight="true" outlineLevel="0" collapsed="false">
      <c r="A401" s="32"/>
      <c r="B401" s="32"/>
      <c r="C401" s="32"/>
      <c r="D401" s="32"/>
      <c r="E401" s="32"/>
      <c r="F401" s="32"/>
      <c r="G401" s="32"/>
      <c r="H401" s="32"/>
      <c r="I401" s="32"/>
      <c r="J401" s="32"/>
    </row>
    <row r="402" customFormat="false" ht="15.75" hidden="false" customHeight="true" outlineLevel="0" collapsed="false">
      <c r="A402" s="32"/>
      <c r="B402" s="32"/>
      <c r="C402" s="32"/>
      <c r="D402" s="32"/>
      <c r="E402" s="32"/>
      <c r="F402" s="32"/>
      <c r="G402" s="32"/>
      <c r="H402" s="32"/>
      <c r="I402" s="32"/>
      <c r="J402" s="32"/>
    </row>
    <row r="403" customFormat="false" ht="15.75" hidden="false" customHeight="true" outlineLevel="0" collapsed="false">
      <c r="A403" s="32"/>
      <c r="B403" s="32"/>
      <c r="C403" s="32"/>
      <c r="D403" s="32"/>
      <c r="E403" s="32"/>
      <c r="F403" s="32"/>
      <c r="G403" s="32"/>
      <c r="H403" s="32"/>
      <c r="I403" s="32"/>
      <c r="J403" s="32"/>
    </row>
    <row r="404" customFormat="false" ht="15.75" hidden="false" customHeight="true" outlineLevel="0" collapsed="false">
      <c r="A404" s="32"/>
      <c r="B404" s="32"/>
      <c r="C404" s="32"/>
      <c r="D404" s="32"/>
      <c r="E404" s="32"/>
      <c r="F404" s="32"/>
      <c r="G404" s="32"/>
      <c r="H404" s="32"/>
      <c r="I404" s="32"/>
      <c r="J404" s="32"/>
    </row>
    <row r="405" customFormat="false" ht="15.75" hidden="false" customHeight="true" outlineLevel="0" collapsed="false">
      <c r="A405" s="32"/>
      <c r="B405" s="32"/>
      <c r="C405" s="32"/>
      <c r="D405" s="32"/>
      <c r="E405" s="32"/>
      <c r="F405" s="32"/>
      <c r="G405" s="32"/>
      <c r="H405" s="32"/>
      <c r="I405" s="32"/>
      <c r="J405" s="32"/>
    </row>
    <row r="406" customFormat="false" ht="15.75" hidden="false" customHeight="true" outlineLevel="0" collapsed="false">
      <c r="A406" s="32"/>
      <c r="B406" s="32"/>
      <c r="C406" s="32"/>
      <c r="D406" s="32"/>
      <c r="E406" s="32"/>
      <c r="F406" s="32"/>
      <c r="G406" s="32"/>
      <c r="H406" s="32"/>
      <c r="I406" s="32"/>
      <c r="J406" s="32"/>
    </row>
    <row r="407" customFormat="false" ht="15.75" hidden="false" customHeight="true" outlineLevel="0" collapsed="false">
      <c r="A407" s="32"/>
      <c r="B407" s="32"/>
      <c r="C407" s="32"/>
      <c r="D407" s="32"/>
      <c r="E407" s="32"/>
      <c r="F407" s="32"/>
      <c r="G407" s="32"/>
      <c r="H407" s="32"/>
      <c r="I407" s="32"/>
      <c r="J407" s="32"/>
    </row>
    <row r="408" customFormat="false" ht="15.75" hidden="false" customHeight="true" outlineLevel="0" collapsed="false">
      <c r="A408" s="32"/>
      <c r="B408" s="32"/>
      <c r="C408" s="32"/>
      <c r="D408" s="32"/>
      <c r="E408" s="32"/>
      <c r="F408" s="32"/>
      <c r="G408" s="32"/>
      <c r="H408" s="32"/>
      <c r="I408" s="32"/>
      <c r="J408" s="32"/>
    </row>
    <row r="409" customFormat="false" ht="15.75" hidden="false" customHeight="true" outlineLevel="0" collapsed="false">
      <c r="A409" s="32"/>
      <c r="B409" s="32"/>
      <c r="C409" s="32"/>
      <c r="D409" s="32"/>
      <c r="E409" s="32"/>
      <c r="F409" s="32"/>
      <c r="G409" s="32"/>
      <c r="H409" s="32"/>
      <c r="I409" s="32"/>
      <c r="J409" s="32"/>
    </row>
    <row r="410" customFormat="false" ht="15.75" hidden="false" customHeight="true" outlineLevel="0" collapsed="false">
      <c r="A410" s="32"/>
      <c r="B410" s="32"/>
      <c r="C410" s="32"/>
      <c r="D410" s="32"/>
      <c r="E410" s="32"/>
      <c r="F410" s="32"/>
      <c r="G410" s="32"/>
      <c r="H410" s="32"/>
      <c r="I410" s="32"/>
      <c r="J410" s="32"/>
    </row>
    <row r="411" customFormat="false" ht="15.75" hidden="false" customHeight="true" outlineLevel="0" collapsed="false">
      <c r="A411" s="32"/>
      <c r="B411" s="32"/>
      <c r="C411" s="32"/>
      <c r="D411" s="32"/>
      <c r="E411" s="32"/>
      <c r="F411" s="32"/>
      <c r="G411" s="32"/>
      <c r="H411" s="32"/>
      <c r="I411" s="32"/>
      <c r="J411" s="32"/>
    </row>
    <row r="412" customFormat="false" ht="15.75" hidden="false" customHeight="true" outlineLevel="0" collapsed="false">
      <c r="A412" s="32"/>
      <c r="B412" s="32"/>
      <c r="C412" s="32"/>
      <c r="D412" s="32"/>
      <c r="E412" s="32"/>
      <c r="F412" s="32"/>
      <c r="G412" s="32"/>
      <c r="H412" s="32"/>
      <c r="I412" s="32"/>
      <c r="J412" s="32"/>
    </row>
    <row r="413" customFormat="false" ht="15.75" hidden="false" customHeight="true" outlineLevel="0" collapsed="false">
      <c r="A413" s="32"/>
      <c r="B413" s="32"/>
      <c r="C413" s="32"/>
      <c r="D413" s="32"/>
      <c r="E413" s="32"/>
      <c r="F413" s="32"/>
      <c r="G413" s="32"/>
      <c r="H413" s="32"/>
      <c r="I413" s="32"/>
      <c r="J413" s="32"/>
    </row>
    <row r="414" customFormat="false" ht="15.75" hidden="false" customHeight="true" outlineLevel="0" collapsed="false">
      <c r="A414" s="32"/>
      <c r="B414" s="32"/>
      <c r="C414" s="32"/>
      <c r="D414" s="32"/>
      <c r="E414" s="32"/>
      <c r="F414" s="32"/>
      <c r="G414" s="32"/>
      <c r="H414" s="32"/>
      <c r="I414" s="32"/>
      <c r="J414" s="32"/>
    </row>
    <row r="415" customFormat="false" ht="15.75" hidden="false" customHeight="true" outlineLevel="0" collapsed="false">
      <c r="A415" s="32"/>
      <c r="B415" s="32"/>
      <c r="C415" s="32"/>
      <c r="D415" s="32"/>
      <c r="E415" s="32"/>
      <c r="F415" s="32"/>
      <c r="G415" s="32"/>
      <c r="H415" s="32"/>
      <c r="I415" s="32"/>
      <c r="J415" s="32"/>
    </row>
    <row r="416" customFormat="false" ht="15.75" hidden="false" customHeight="true" outlineLevel="0" collapsed="false">
      <c r="A416" s="32"/>
      <c r="B416" s="32"/>
      <c r="C416" s="32"/>
      <c r="D416" s="32"/>
      <c r="E416" s="32"/>
      <c r="F416" s="32"/>
      <c r="G416" s="32"/>
      <c r="H416" s="32"/>
      <c r="I416" s="32"/>
      <c r="J416" s="32"/>
    </row>
    <row r="417" customFormat="false" ht="15.75" hidden="false" customHeight="true" outlineLevel="0" collapsed="false">
      <c r="A417" s="32"/>
      <c r="B417" s="32"/>
      <c r="C417" s="32"/>
      <c r="D417" s="32"/>
      <c r="E417" s="32"/>
      <c r="F417" s="32"/>
      <c r="G417" s="32"/>
      <c r="H417" s="32"/>
      <c r="I417" s="32"/>
      <c r="J417" s="32"/>
    </row>
    <row r="418" customFormat="false" ht="15.75" hidden="false" customHeight="true" outlineLevel="0" collapsed="false">
      <c r="A418" s="32"/>
      <c r="B418" s="32"/>
      <c r="C418" s="32"/>
      <c r="D418" s="32"/>
      <c r="E418" s="32"/>
      <c r="F418" s="32"/>
      <c r="G418" s="32"/>
      <c r="H418" s="32"/>
      <c r="I418" s="32"/>
      <c r="J418" s="32"/>
    </row>
    <row r="419" customFormat="false" ht="15.75" hidden="false" customHeight="true" outlineLevel="0" collapsed="false">
      <c r="A419" s="32"/>
      <c r="B419" s="32"/>
      <c r="C419" s="32"/>
      <c r="D419" s="32"/>
      <c r="E419" s="32"/>
      <c r="F419" s="32"/>
      <c r="G419" s="32"/>
      <c r="H419" s="32"/>
      <c r="I419" s="32"/>
      <c r="J419" s="32"/>
    </row>
    <row r="420" customFormat="false" ht="15.75" hidden="false" customHeight="true" outlineLevel="0" collapsed="false">
      <c r="A420" s="32"/>
      <c r="B420" s="32"/>
      <c r="C420" s="32"/>
      <c r="D420" s="32"/>
      <c r="E420" s="32"/>
      <c r="F420" s="32"/>
      <c r="G420" s="32"/>
      <c r="H420" s="32"/>
      <c r="I420" s="32"/>
      <c r="J420" s="32"/>
    </row>
    <row r="421" customFormat="false" ht="15.75" hidden="false" customHeight="true" outlineLevel="0" collapsed="false">
      <c r="A421" s="32"/>
      <c r="B421" s="32"/>
      <c r="C421" s="32"/>
      <c r="D421" s="32"/>
      <c r="E421" s="32"/>
      <c r="F421" s="32"/>
      <c r="G421" s="32"/>
      <c r="H421" s="32"/>
      <c r="I421" s="32"/>
      <c r="J421" s="32"/>
    </row>
    <row r="422" customFormat="false" ht="15.75" hidden="false" customHeight="true" outlineLevel="0" collapsed="false">
      <c r="A422" s="32"/>
      <c r="B422" s="32"/>
      <c r="C422" s="32"/>
      <c r="D422" s="32"/>
      <c r="E422" s="32"/>
      <c r="F422" s="32"/>
      <c r="G422" s="32"/>
      <c r="H422" s="32"/>
      <c r="I422" s="32"/>
      <c r="J422" s="32"/>
    </row>
    <row r="423" customFormat="false" ht="15.75" hidden="false" customHeight="true" outlineLevel="0" collapsed="false">
      <c r="A423" s="32"/>
      <c r="B423" s="32"/>
      <c r="C423" s="32"/>
      <c r="D423" s="32"/>
      <c r="E423" s="32"/>
      <c r="F423" s="32"/>
      <c r="G423" s="32"/>
      <c r="H423" s="32"/>
      <c r="I423" s="32"/>
      <c r="J423" s="32"/>
    </row>
    <row r="424" customFormat="false" ht="15.75" hidden="false" customHeight="true" outlineLevel="0" collapsed="false">
      <c r="A424" s="32"/>
      <c r="B424" s="32"/>
      <c r="C424" s="32"/>
      <c r="D424" s="32"/>
      <c r="E424" s="32"/>
      <c r="F424" s="32"/>
      <c r="G424" s="32"/>
      <c r="H424" s="32"/>
      <c r="I424" s="32"/>
      <c r="J424" s="32"/>
    </row>
    <row r="425" customFormat="false" ht="15.75" hidden="false" customHeight="true" outlineLevel="0" collapsed="false">
      <c r="A425" s="32"/>
      <c r="B425" s="32"/>
      <c r="C425" s="32"/>
      <c r="D425" s="32"/>
      <c r="E425" s="32"/>
      <c r="F425" s="32"/>
      <c r="G425" s="32"/>
      <c r="H425" s="32"/>
      <c r="I425" s="32"/>
      <c r="J425" s="32"/>
    </row>
    <row r="426" customFormat="false" ht="15.75" hidden="false" customHeight="true" outlineLevel="0" collapsed="false">
      <c r="A426" s="32"/>
      <c r="B426" s="32"/>
      <c r="C426" s="32"/>
      <c r="D426" s="32"/>
      <c r="E426" s="32"/>
      <c r="F426" s="32"/>
      <c r="G426" s="32"/>
      <c r="H426" s="32"/>
      <c r="I426" s="32"/>
      <c r="J426" s="32"/>
    </row>
    <row r="427" customFormat="false" ht="15.75" hidden="false" customHeight="true" outlineLevel="0" collapsed="false">
      <c r="A427" s="32"/>
      <c r="B427" s="32"/>
      <c r="C427" s="32"/>
      <c r="D427" s="32"/>
      <c r="E427" s="32"/>
      <c r="F427" s="32"/>
      <c r="G427" s="32"/>
      <c r="H427" s="32"/>
      <c r="I427" s="32"/>
      <c r="J427" s="32"/>
    </row>
    <row r="428" customFormat="false" ht="15.75" hidden="false" customHeight="true" outlineLevel="0" collapsed="false">
      <c r="A428" s="32"/>
      <c r="B428" s="32"/>
      <c r="C428" s="32"/>
      <c r="D428" s="32"/>
      <c r="E428" s="32"/>
      <c r="F428" s="32"/>
      <c r="G428" s="32"/>
      <c r="H428" s="32"/>
      <c r="I428" s="32"/>
      <c r="J428" s="32"/>
    </row>
    <row r="429" customFormat="false" ht="15.75" hidden="false" customHeight="true" outlineLevel="0" collapsed="false">
      <c r="A429" s="32"/>
      <c r="B429" s="32"/>
      <c r="C429" s="32"/>
      <c r="D429" s="32"/>
      <c r="E429" s="32"/>
      <c r="F429" s="32"/>
      <c r="G429" s="32"/>
      <c r="H429" s="32"/>
      <c r="I429" s="32"/>
      <c r="J429" s="32"/>
    </row>
    <row r="430" customFormat="false" ht="15.75" hidden="false" customHeight="true" outlineLevel="0" collapsed="false">
      <c r="A430" s="32"/>
      <c r="B430" s="32"/>
      <c r="C430" s="32"/>
      <c r="D430" s="32"/>
      <c r="E430" s="32"/>
      <c r="F430" s="32"/>
      <c r="G430" s="32"/>
      <c r="H430" s="32"/>
      <c r="I430" s="32"/>
      <c r="J430" s="32"/>
    </row>
    <row r="431" customFormat="false" ht="15.75" hidden="false" customHeight="true" outlineLevel="0" collapsed="false">
      <c r="A431" s="32"/>
      <c r="B431" s="32"/>
      <c r="C431" s="32"/>
      <c r="D431" s="32"/>
      <c r="E431" s="32"/>
      <c r="F431" s="32"/>
      <c r="G431" s="32"/>
      <c r="H431" s="32"/>
      <c r="I431" s="32"/>
      <c r="J431" s="32"/>
    </row>
    <row r="432" customFormat="false" ht="15.75" hidden="false" customHeight="true" outlineLevel="0" collapsed="false">
      <c r="A432" s="32"/>
      <c r="B432" s="32"/>
      <c r="C432" s="32"/>
      <c r="D432" s="32"/>
      <c r="E432" s="32"/>
      <c r="F432" s="32"/>
      <c r="G432" s="32"/>
      <c r="H432" s="32"/>
      <c r="I432" s="32"/>
      <c r="J432" s="32"/>
    </row>
    <row r="433" customFormat="false" ht="15.75" hidden="false" customHeight="true" outlineLevel="0" collapsed="false">
      <c r="A433" s="32"/>
      <c r="B433" s="32"/>
      <c r="C433" s="32"/>
      <c r="D433" s="32"/>
      <c r="E433" s="32"/>
      <c r="F433" s="32"/>
      <c r="G433" s="32"/>
      <c r="H433" s="32"/>
      <c r="I433" s="32"/>
      <c r="J433" s="32"/>
    </row>
    <row r="434" customFormat="false" ht="15.75" hidden="false" customHeight="true" outlineLevel="0" collapsed="false">
      <c r="A434" s="32"/>
      <c r="B434" s="32"/>
      <c r="C434" s="32"/>
      <c r="D434" s="32"/>
      <c r="E434" s="32"/>
      <c r="F434" s="32"/>
      <c r="G434" s="32"/>
      <c r="H434" s="32"/>
      <c r="I434" s="32"/>
      <c r="J434" s="32"/>
    </row>
    <row r="435" customFormat="false" ht="15.75" hidden="false" customHeight="true" outlineLevel="0" collapsed="false">
      <c r="A435" s="32"/>
      <c r="B435" s="32"/>
      <c r="C435" s="32"/>
      <c r="D435" s="32"/>
      <c r="E435" s="32"/>
      <c r="F435" s="32"/>
      <c r="G435" s="32"/>
      <c r="H435" s="32"/>
      <c r="I435" s="32"/>
      <c r="J435" s="32"/>
    </row>
    <row r="436" customFormat="false" ht="15.75" hidden="false" customHeight="true" outlineLevel="0" collapsed="false">
      <c r="A436" s="32"/>
      <c r="B436" s="32"/>
      <c r="C436" s="32"/>
      <c r="D436" s="32"/>
      <c r="E436" s="32"/>
      <c r="F436" s="32"/>
      <c r="G436" s="32"/>
      <c r="H436" s="32"/>
      <c r="I436" s="32"/>
      <c r="J436" s="32"/>
    </row>
    <row r="437" customFormat="false" ht="15.75" hidden="false" customHeight="true" outlineLevel="0" collapsed="false">
      <c r="A437" s="32"/>
      <c r="B437" s="32"/>
      <c r="C437" s="32"/>
      <c r="D437" s="32"/>
      <c r="E437" s="32"/>
      <c r="F437" s="32"/>
      <c r="G437" s="32"/>
      <c r="H437" s="32"/>
      <c r="I437" s="32"/>
      <c r="J437" s="32"/>
    </row>
    <row r="438" customFormat="false" ht="15.75" hidden="false" customHeight="true" outlineLevel="0" collapsed="false">
      <c r="A438" s="32"/>
      <c r="B438" s="32"/>
      <c r="C438" s="32"/>
      <c r="D438" s="32"/>
      <c r="E438" s="32"/>
      <c r="F438" s="32"/>
      <c r="G438" s="32"/>
      <c r="H438" s="32"/>
      <c r="I438" s="32"/>
      <c r="J438" s="32"/>
    </row>
    <row r="439" customFormat="false" ht="15.75" hidden="false" customHeight="true" outlineLevel="0" collapsed="false">
      <c r="A439" s="32"/>
      <c r="B439" s="32"/>
      <c r="C439" s="32"/>
      <c r="D439" s="32"/>
      <c r="E439" s="32"/>
      <c r="F439" s="32"/>
      <c r="G439" s="32"/>
      <c r="H439" s="32"/>
      <c r="I439" s="32"/>
      <c r="J439" s="32"/>
    </row>
    <row r="440" customFormat="false" ht="15.75" hidden="false" customHeight="true" outlineLevel="0" collapsed="false">
      <c r="A440" s="32"/>
      <c r="B440" s="32"/>
      <c r="C440" s="32"/>
      <c r="D440" s="32"/>
      <c r="E440" s="32"/>
      <c r="F440" s="32"/>
      <c r="G440" s="32"/>
      <c r="H440" s="32"/>
      <c r="I440" s="32"/>
      <c r="J440" s="32"/>
    </row>
    <row r="441" customFormat="false" ht="15.75" hidden="false" customHeight="true" outlineLevel="0" collapsed="false">
      <c r="A441" s="32"/>
      <c r="B441" s="32"/>
      <c r="C441" s="32"/>
      <c r="D441" s="32"/>
      <c r="E441" s="32"/>
      <c r="F441" s="32"/>
      <c r="G441" s="32"/>
      <c r="H441" s="32"/>
      <c r="I441" s="32"/>
      <c r="J441" s="32"/>
    </row>
    <row r="442" customFormat="false" ht="15.75" hidden="false" customHeight="true" outlineLevel="0" collapsed="false">
      <c r="A442" s="32"/>
      <c r="B442" s="32"/>
      <c r="C442" s="32"/>
      <c r="D442" s="32"/>
      <c r="E442" s="32"/>
      <c r="F442" s="32"/>
      <c r="G442" s="32"/>
      <c r="H442" s="32"/>
      <c r="I442" s="32"/>
      <c r="J442" s="32"/>
    </row>
    <row r="443" customFormat="false" ht="15.75" hidden="false" customHeight="true" outlineLevel="0" collapsed="false">
      <c r="A443" s="32"/>
      <c r="B443" s="32"/>
      <c r="C443" s="32"/>
      <c r="D443" s="32"/>
      <c r="E443" s="32"/>
      <c r="F443" s="32"/>
      <c r="G443" s="32"/>
      <c r="H443" s="32"/>
      <c r="I443" s="32"/>
      <c r="J443" s="32"/>
    </row>
    <row r="444" customFormat="false" ht="15.75" hidden="false" customHeight="true" outlineLevel="0" collapsed="false">
      <c r="A444" s="32"/>
      <c r="B444" s="32"/>
      <c r="C444" s="32"/>
      <c r="D444" s="32"/>
      <c r="E444" s="32"/>
      <c r="F444" s="32"/>
      <c r="G444" s="32"/>
      <c r="H444" s="32"/>
      <c r="I444" s="32"/>
      <c r="J444" s="32"/>
    </row>
    <row r="445" customFormat="false" ht="15.75" hidden="false" customHeight="true" outlineLevel="0" collapsed="false">
      <c r="A445" s="32"/>
      <c r="B445" s="32"/>
      <c r="C445" s="32"/>
      <c r="D445" s="32"/>
      <c r="E445" s="32"/>
      <c r="F445" s="32"/>
      <c r="G445" s="32"/>
      <c r="H445" s="32"/>
      <c r="I445" s="32"/>
      <c r="J445" s="32"/>
    </row>
    <row r="446" customFormat="false" ht="15.75" hidden="false" customHeight="true" outlineLevel="0" collapsed="false">
      <c r="A446" s="32"/>
      <c r="B446" s="32"/>
      <c r="C446" s="32"/>
      <c r="D446" s="32"/>
      <c r="E446" s="32"/>
      <c r="F446" s="32"/>
      <c r="G446" s="32"/>
      <c r="H446" s="32"/>
      <c r="I446" s="32"/>
      <c r="J446" s="32"/>
    </row>
    <row r="447" customFormat="false" ht="15.75" hidden="false" customHeight="true" outlineLevel="0" collapsed="false">
      <c r="A447" s="32"/>
      <c r="B447" s="32"/>
      <c r="C447" s="32"/>
      <c r="D447" s="32"/>
      <c r="E447" s="32"/>
      <c r="F447" s="32"/>
      <c r="G447" s="32"/>
      <c r="H447" s="32"/>
      <c r="I447" s="32"/>
      <c r="J447" s="32"/>
    </row>
    <row r="448" customFormat="false" ht="15.75" hidden="false" customHeight="true" outlineLevel="0" collapsed="false">
      <c r="A448" s="32"/>
      <c r="B448" s="32"/>
      <c r="C448" s="32"/>
      <c r="D448" s="32"/>
      <c r="E448" s="32"/>
      <c r="F448" s="32"/>
      <c r="G448" s="32"/>
      <c r="H448" s="32"/>
      <c r="I448" s="32"/>
      <c r="J448" s="32"/>
    </row>
    <row r="449" customFormat="false" ht="15.75" hidden="false" customHeight="true" outlineLevel="0" collapsed="false">
      <c r="A449" s="32"/>
      <c r="B449" s="32"/>
      <c r="C449" s="32"/>
      <c r="D449" s="32"/>
      <c r="E449" s="32"/>
      <c r="F449" s="32"/>
      <c r="G449" s="32"/>
      <c r="H449" s="32"/>
      <c r="I449" s="32"/>
      <c r="J449" s="32"/>
    </row>
    <row r="450" customFormat="false" ht="15.75" hidden="false" customHeight="true" outlineLevel="0" collapsed="false">
      <c r="A450" s="32"/>
      <c r="B450" s="32"/>
      <c r="C450" s="32"/>
      <c r="D450" s="32"/>
      <c r="E450" s="32"/>
      <c r="F450" s="32"/>
      <c r="G450" s="32"/>
      <c r="H450" s="32"/>
      <c r="I450" s="32"/>
      <c r="J450" s="32"/>
    </row>
    <row r="451" customFormat="false" ht="15.75" hidden="false" customHeight="true" outlineLevel="0" collapsed="false">
      <c r="A451" s="32"/>
      <c r="B451" s="32"/>
      <c r="C451" s="32"/>
      <c r="D451" s="32"/>
      <c r="E451" s="32"/>
      <c r="F451" s="32"/>
      <c r="G451" s="32"/>
      <c r="H451" s="32"/>
      <c r="I451" s="32"/>
      <c r="J451" s="32"/>
    </row>
    <row r="452" customFormat="false" ht="15.75" hidden="false" customHeight="true" outlineLevel="0" collapsed="false">
      <c r="A452" s="32"/>
      <c r="B452" s="32"/>
      <c r="C452" s="32"/>
      <c r="D452" s="32"/>
      <c r="E452" s="32"/>
      <c r="F452" s="32"/>
      <c r="G452" s="32"/>
      <c r="H452" s="32"/>
      <c r="I452" s="32"/>
      <c r="J452" s="32"/>
    </row>
    <row r="453" customFormat="false" ht="15.75" hidden="false" customHeight="true" outlineLevel="0" collapsed="false">
      <c r="A453" s="32"/>
      <c r="B453" s="32"/>
      <c r="C453" s="32"/>
      <c r="D453" s="32"/>
      <c r="E453" s="32"/>
      <c r="F453" s="32"/>
      <c r="G453" s="32"/>
      <c r="H453" s="32"/>
      <c r="I453" s="32"/>
      <c r="J453" s="32"/>
    </row>
    <row r="454" customFormat="false" ht="15.75" hidden="false" customHeight="true" outlineLevel="0" collapsed="false">
      <c r="A454" s="32"/>
      <c r="B454" s="32"/>
      <c r="C454" s="32"/>
      <c r="D454" s="32"/>
      <c r="E454" s="32"/>
      <c r="F454" s="32"/>
      <c r="G454" s="32"/>
      <c r="H454" s="32"/>
      <c r="I454" s="32"/>
      <c r="J454" s="32"/>
    </row>
    <row r="455" customFormat="false" ht="15.75" hidden="false" customHeight="true" outlineLevel="0" collapsed="false">
      <c r="A455" s="32"/>
      <c r="B455" s="32"/>
      <c r="C455" s="32"/>
      <c r="D455" s="32"/>
      <c r="E455" s="32"/>
      <c r="F455" s="32"/>
      <c r="G455" s="32"/>
      <c r="H455" s="32"/>
      <c r="I455" s="32"/>
      <c r="J455" s="32"/>
    </row>
    <row r="456" customFormat="false" ht="15.75" hidden="false" customHeight="true" outlineLevel="0" collapsed="false">
      <c r="A456" s="32"/>
      <c r="B456" s="32"/>
      <c r="C456" s="32"/>
      <c r="D456" s="32"/>
      <c r="E456" s="32"/>
      <c r="F456" s="32"/>
      <c r="G456" s="32"/>
      <c r="H456" s="32"/>
      <c r="I456" s="32"/>
      <c r="J456" s="32"/>
    </row>
    <row r="457" customFormat="false" ht="15.75" hidden="false" customHeight="true" outlineLevel="0" collapsed="false">
      <c r="A457" s="32"/>
      <c r="B457" s="32"/>
      <c r="C457" s="32"/>
      <c r="D457" s="32"/>
      <c r="E457" s="32"/>
      <c r="F457" s="32"/>
      <c r="G457" s="32"/>
      <c r="H457" s="32"/>
      <c r="I457" s="32"/>
      <c r="J457" s="32"/>
    </row>
    <row r="458" customFormat="false" ht="15.75" hidden="false" customHeight="true" outlineLevel="0" collapsed="false">
      <c r="A458" s="32"/>
      <c r="B458" s="32"/>
      <c r="C458" s="32"/>
      <c r="D458" s="32"/>
      <c r="E458" s="32"/>
      <c r="F458" s="32"/>
      <c r="G458" s="32"/>
      <c r="H458" s="32"/>
      <c r="I458" s="32"/>
      <c r="J458" s="32"/>
    </row>
    <row r="459" customFormat="false" ht="15.75" hidden="false" customHeight="true" outlineLevel="0" collapsed="false">
      <c r="A459" s="32"/>
      <c r="B459" s="32"/>
      <c r="C459" s="32"/>
      <c r="D459" s="32"/>
      <c r="E459" s="32"/>
      <c r="F459" s="32"/>
      <c r="G459" s="32"/>
      <c r="H459" s="32"/>
      <c r="I459" s="32"/>
      <c r="J459" s="32"/>
    </row>
    <row r="460" customFormat="false" ht="15.75" hidden="false" customHeight="true" outlineLevel="0" collapsed="false">
      <c r="A460" s="32"/>
      <c r="B460" s="32"/>
      <c r="C460" s="32"/>
      <c r="D460" s="32"/>
      <c r="E460" s="32"/>
      <c r="F460" s="32"/>
      <c r="G460" s="32"/>
      <c r="H460" s="32"/>
      <c r="I460" s="32"/>
      <c r="J460" s="32"/>
    </row>
    <row r="461" customFormat="false" ht="15.75" hidden="false" customHeight="true" outlineLevel="0" collapsed="false">
      <c r="A461" s="32"/>
      <c r="B461" s="32"/>
      <c r="C461" s="32"/>
      <c r="D461" s="32"/>
      <c r="E461" s="32"/>
      <c r="F461" s="32"/>
      <c r="G461" s="32"/>
      <c r="H461" s="32"/>
      <c r="I461" s="32"/>
      <c r="J461" s="32"/>
    </row>
    <row r="462" customFormat="false" ht="15.75" hidden="false" customHeight="true" outlineLevel="0" collapsed="false">
      <c r="A462" s="32"/>
      <c r="B462" s="32"/>
      <c r="C462" s="32"/>
      <c r="D462" s="32"/>
      <c r="E462" s="32"/>
      <c r="F462" s="32"/>
      <c r="G462" s="32"/>
      <c r="H462" s="32"/>
      <c r="I462" s="32"/>
      <c r="J462" s="32"/>
    </row>
    <row r="463" customFormat="false" ht="15.75" hidden="false" customHeight="true" outlineLevel="0" collapsed="false">
      <c r="A463" s="32"/>
      <c r="B463" s="32"/>
      <c r="C463" s="32"/>
      <c r="D463" s="32"/>
      <c r="E463" s="32"/>
      <c r="F463" s="32"/>
      <c r="G463" s="32"/>
      <c r="H463" s="32"/>
      <c r="I463" s="32"/>
      <c r="J463" s="32"/>
    </row>
    <row r="464" customFormat="false" ht="15.75" hidden="false" customHeight="true" outlineLevel="0" collapsed="false">
      <c r="A464" s="32"/>
      <c r="B464" s="32"/>
      <c r="C464" s="32"/>
      <c r="D464" s="32"/>
      <c r="E464" s="32"/>
      <c r="F464" s="32"/>
      <c r="G464" s="32"/>
      <c r="H464" s="32"/>
      <c r="I464" s="32"/>
      <c r="J464" s="32"/>
    </row>
    <row r="465" customFormat="false" ht="15.75" hidden="false" customHeight="true" outlineLevel="0" collapsed="false">
      <c r="A465" s="32"/>
      <c r="B465" s="32"/>
      <c r="C465" s="32"/>
      <c r="D465" s="32"/>
      <c r="E465" s="32"/>
      <c r="F465" s="32"/>
      <c r="G465" s="32"/>
      <c r="H465" s="32"/>
      <c r="I465" s="32"/>
      <c r="J465" s="32"/>
    </row>
    <row r="466" customFormat="false" ht="15.75" hidden="false" customHeight="true" outlineLevel="0" collapsed="false">
      <c r="A466" s="32"/>
      <c r="B466" s="32"/>
      <c r="C466" s="32"/>
      <c r="D466" s="32"/>
      <c r="E466" s="32"/>
      <c r="F466" s="32"/>
      <c r="G466" s="32"/>
      <c r="H466" s="32"/>
      <c r="I466" s="32"/>
      <c r="J466" s="32"/>
    </row>
    <row r="467" customFormat="false" ht="15.75" hidden="false" customHeight="true" outlineLevel="0" collapsed="false">
      <c r="A467" s="32"/>
      <c r="B467" s="32"/>
      <c r="C467" s="32"/>
      <c r="D467" s="32"/>
      <c r="E467" s="32"/>
      <c r="F467" s="32"/>
      <c r="G467" s="32"/>
      <c r="H467" s="32"/>
      <c r="I467" s="32"/>
      <c r="J467" s="32"/>
    </row>
    <row r="468" customFormat="false" ht="15.75" hidden="false" customHeight="true" outlineLevel="0" collapsed="false">
      <c r="A468" s="32"/>
      <c r="B468" s="32"/>
      <c r="C468" s="32"/>
      <c r="D468" s="32"/>
      <c r="E468" s="32"/>
      <c r="F468" s="32"/>
      <c r="G468" s="32"/>
      <c r="H468" s="32"/>
      <c r="I468" s="32"/>
      <c r="J468" s="32"/>
    </row>
    <row r="469" customFormat="false" ht="15.75" hidden="false" customHeight="true" outlineLevel="0" collapsed="false">
      <c r="A469" s="32"/>
      <c r="B469" s="32"/>
      <c r="C469" s="32"/>
      <c r="D469" s="32"/>
      <c r="E469" s="32"/>
      <c r="F469" s="32"/>
      <c r="G469" s="32"/>
      <c r="H469" s="32"/>
      <c r="I469" s="32"/>
      <c r="J469" s="32"/>
    </row>
    <row r="470" customFormat="false" ht="15.75" hidden="false" customHeight="true" outlineLevel="0" collapsed="false">
      <c r="A470" s="32"/>
      <c r="B470" s="32"/>
      <c r="C470" s="32"/>
      <c r="D470" s="32"/>
      <c r="E470" s="32"/>
      <c r="F470" s="32"/>
      <c r="G470" s="32"/>
      <c r="H470" s="32"/>
      <c r="I470" s="32"/>
      <c r="J470" s="32"/>
    </row>
    <row r="471" customFormat="false" ht="15.75" hidden="false" customHeight="true" outlineLevel="0" collapsed="false">
      <c r="A471" s="32"/>
      <c r="B471" s="32"/>
      <c r="C471" s="32"/>
      <c r="D471" s="32"/>
      <c r="E471" s="32"/>
      <c r="F471" s="32"/>
      <c r="G471" s="32"/>
      <c r="H471" s="32"/>
      <c r="I471" s="32"/>
      <c r="J471" s="32"/>
    </row>
    <row r="472" customFormat="false" ht="15.75" hidden="false" customHeight="true" outlineLevel="0" collapsed="false">
      <c r="A472" s="32"/>
      <c r="B472" s="32"/>
      <c r="C472" s="32"/>
      <c r="D472" s="32"/>
      <c r="E472" s="32"/>
      <c r="F472" s="32"/>
      <c r="G472" s="32"/>
      <c r="H472" s="32"/>
      <c r="I472" s="32"/>
      <c r="J472" s="32"/>
    </row>
    <row r="473" customFormat="false" ht="15.75" hidden="false" customHeight="true" outlineLevel="0" collapsed="false">
      <c r="A473" s="32"/>
      <c r="B473" s="32"/>
      <c r="C473" s="32"/>
      <c r="D473" s="32"/>
      <c r="E473" s="32"/>
      <c r="F473" s="32"/>
      <c r="G473" s="32"/>
      <c r="H473" s="32"/>
      <c r="I473" s="32"/>
      <c r="J473" s="32"/>
    </row>
    <row r="474" customFormat="false" ht="15.75" hidden="false" customHeight="true" outlineLevel="0" collapsed="false">
      <c r="A474" s="32"/>
      <c r="B474" s="32"/>
      <c r="C474" s="32"/>
      <c r="D474" s="32"/>
      <c r="E474" s="32"/>
      <c r="F474" s="32"/>
      <c r="G474" s="32"/>
      <c r="H474" s="32"/>
      <c r="I474" s="32"/>
      <c r="J474" s="32"/>
    </row>
    <row r="475" customFormat="false" ht="15.75" hidden="false" customHeight="true" outlineLevel="0" collapsed="false">
      <c r="A475" s="32"/>
      <c r="B475" s="32"/>
      <c r="C475" s="32"/>
      <c r="D475" s="32"/>
      <c r="E475" s="32"/>
      <c r="F475" s="32"/>
      <c r="G475" s="32"/>
      <c r="H475" s="32"/>
      <c r="I475" s="32"/>
      <c r="J475" s="32"/>
    </row>
    <row r="476" customFormat="false" ht="15.75" hidden="false" customHeight="true" outlineLevel="0" collapsed="false">
      <c r="A476" s="32"/>
      <c r="B476" s="32"/>
      <c r="C476" s="32"/>
      <c r="D476" s="32"/>
      <c r="E476" s="32"/>
      <c r="F476" s="32"/>
      <c r="G476" s="32"/>
      <c r="H476" s="32"/>
      <c r="I476" s="32"/>
      <c r="J476" s="32"/>
    </row>
    <row r="477" customFormat="false" ht="15.75" hidden="false" customHeight="true" outlineLevel="0" collapsed="false">
      <c r="A477" s="32"/>
      <c r="B477" s="32"/>
      <c r="C477" s="32"/>
      <c r="D477" s="32"/>
      <c r="E477" s="32"/>
      <c r="F477" s="32"/>
      <c r="G477" s="32"/>
      <c r="H477" s="32"/>
      <c r="I477" s="32"/>
      <c r="J477" s="32"/>
    </row>
    <row r="478" customFormat="false" ht="15.75" hidden="false" customHeight="true" outlineLevel="0" collapsed="false">
      <c r="A478" s="32"/>
      <c r="B478" s="32"/>
      <c r="C478" s="32"/>
      <c r="D478" s="32"/>
      <c r="E478" s="32"/>
      <c r="F478" s="32"/>
      <c r="G478" s="32"/>
      <c r="H478" s="32"/>
      <c r="I478" s="32"/>
      <c r="J478" s="32"/>
    </row>
    <row r="479" customFormat="false" ht="15.75" hidden="false" customHeight="true" outlineLevel="0" collapsed="false">
      <c r="A479" s="32"/>
      <c r="B479" s="32"/>
      <c r="C479" s="32"/>
      <c r="D479" s="32"/>
      <c r="E479" s="32"/>
      <c r="F479" s="32"/>
      <c r="G479" s="32"/>
      <c r="H479" s="32"/>
      <c r="I479" s="32"/>
      <c r="J479" s="32"/>
    </row>
    <row r="480" customFormat="false" ht="15.75" hidden="false" customHeight="true" outlineLevel="0" collapsed="false">
      <c r="A480" s="32"/>
      <c r="B480" s="32"/>
      <c r="C480" s="32"/>
      <c r="D480" s="32"/>
      <c r="E480" s="32"/>
      <c r="F480" s="32"/>
      <c r="G480" s="32"/>
      <c r="H480" s="32"/>
      <c r="I480" s="32"/>
      <c r="J480" s="32"/>
    </row>
    <row r="481" customFormat="false" ht="15.75" hidden="false" customHeight="true" outlineLevel="0" collapsed="false">
      <c r="A481" s="32"/>
      <c r="B481" s="32"/>
      <c r="C481" s="32"/>
      <c r="D481" s="32"/>
      <c r="E481" s="32"/>
      <c r="F481" s="32"/>
      <c r="G481" s="32"/>
      <c r="H481" s="32"/>
      <c r="I481" s="32"/>
      <c r="J481" s="32"/>
    </row>
    <row r="482" customFormat="false" ht="15.75" hidden="false" customHeight="true" outlineLevel="0" collapsed="false">
      <c r="A482" s="32"/>
      <c r="B482" s="32"/>
      <c r="C482" s="32"/>
      <c r="D482" s="32"/>
      <c r="E482" s="32"/>
      <c r="F482" s="32"/>
      <c r="G482" s="32"/>
      <c r="H482" s="32"/>
      <c r="I482" s="32"/>
      <c r="J482" s="32"/>
    </row>
    <row r="483" customFormat="false" ht="15.75" hidden="false" customHeight="true" outlineLevel="0" collapsed="false">
      <c r="A483" s="32"/>
      <c r="B483" s="32"/>
      <c r="C483" s="32"/>
      <c r="D483" s="32"/>
      <c r="E483" s="32"/>
      <c r="F483" s="32"/>
      <c r="G483" s="32"/>
      <c r="H483" s="32"/>
      <c r="I483" s="32"/>
      <c r="J483" s="32"/>
    </row>
    <row r="484" customFormat="false" ht="15.75" hidden="false" customHeight="true" outlineLevel="0" collapsed="false">
      <c r="A484" s="32"/>
      <c r="B484" s="32"/>
      <c r="C484" s="32"/>
      <c r="D484" s="32"/>
      <c r="E484" s="32"/>
      <c r="F484" s="32"/>
      <c r="G484" s="32"/>
      <c r="H484" s="32"/>
      <c r="I484" s="32"/>
      <c r="J484" s="32"/>
    </row>
    <row r="485" customFormat="false" ht="15.75" hidden="false" customHeight="true" outlineLevel="0" collapsed="false">
      <c r="A485" s="32"/>
      <c r="B485" s="32"/>
      <c r="C485" s="32"/>
      <c r="D485" s="32"/>
      <c r="E485" s="32"/>
      <c r="F485" s="32"/>
      <c r="G485" s="32"/>
      <c r="H485" s="32"/>
      <c r="I485" s="32"/>
      <c r="J485" s="32"/>
    </row>
    <row r="486" customFormat="false" ht="15.75" hidden="false" customHeight="true" outlineLevel="0" collapsed="false">
      <c r="A486" s="32"/>
      <c r="B486" s="32"/>
      <c r="C486" s="32"/>
      <c r="D486" s="32"/>
      <c r="E486" s="32"/>
      <c r="F486" s="32"/>
      <c r="G486" s="32"/>
      <c r="H486" s="32"/>
      <c r="I486" s="32"/>
      <c r="J486" s="32"/>
    </row>
    <row r="487" customFormat="false" ht="15.75" hidden="false" customHeight="true" outlineLevel="0" collapsed="false">
      <c r="A487" s="32"/>
      <c r="B487" s="32"/>
      <c r="C487" s="32"/>
      <c r="D487" s="32"/>
      <c r="E487" s="32"/>
      <c r="F487" s="32"/>
      <c r="G487" s="32"/>
      <c r="H487" s="32"/>
      <c r="I487" s="32"/>
      <c r="J487" s="32"/>
    </row>
    <row r="488" customFormat="false" ht="15.75" hidden="false" customHeight="true" outlineLevel="0" collapsed="false">
      <c r="A488" s="32"/>
      <c r="B488" s="32"/>
      <c r="C488" s="32"/>
      <c r="D488" s="32"/>
      <c r="E488" s="32"/>
      <c r="F488" s="32"/>
      <c r="G488" s="32"/>
      <c r="H488" s="32"/>
      <c r="I488" s="32"/>
      <c r="J488" s="32"/>
    </row>
    <row r="489" customFormat="false" ht="15.75" hidden="false" customHeight="true" outlineLevel="0" collapsed="false">
      <c r="A489" s="32"/>
      <c r="B489" s="32"/>
      <c r="C489" s="32"/>
      <c r="D489" s="32"/>
      <c r="E489" s="32"/>
      <c r="F489" s="32"/>
      <c r="G489" s="32"/>
      <c r="H489" s="32"/>
      <c r="I489" s="32"/>
      <c r="J489" s="32"/>
    </row>
    <row r="490" customFormat="false" ht="15.75" hidden="false" customHeight="true" outlineLevel="0" collapsed="false">
      <c r="A490" s="32"/>
      <c r="B490" s="32"/>
      <c r="C490" s="32"/>
      <c r="D490" s="32"/>
      <c r="E490" s="32"/>
      <c r="F490" s="32"/>
      <c r="G490" s="32"/>
      <c r="H490" s="32"/>
      <c r="I490" s="32"/>
      <c r="J490" s="32"/>
    </row>
    <row r="491" customFormat="false" ht="15.75" hidden="false" customHeight="true" outlineLevel="0" collapsed="false">
      <c r="A491" s="32"/>
      <c r="B491" s="32"/>
      <c r="C491" s="32"/>
      <c r="D491" s="32"/>
      <c r="E491" s="32"/>
      <c r="F491" s="32"/>
      <c r="G491" s="32"/>
      <c r="H491" s="32"/>
      <c r="I491" s="32"/>
      <c r="J491" s="32"/>
    </row>
    <row r="492" customFormat="false" ht="15.75" hidden="false" customHeight="true" outlineLevel="0" collapsed="false">
      <c r="A492" s="32"/>
      <c r="B492" s="32"/>
      <c r="C492" s="32"/>
      <c r="D492" s="32"/>
      <c r="E492" s="32"/>
      <c r="F492" s="32"/>
      <c r="G492" s="32"/>
      <c r="H492" s="32"/>
      <c r="I492" s="32"/>
      <c r="J492" s="32"/>
    </row>
    <row r="493" customFormat="false" ht="15.75" hidden="false" customHeight="true" outlineLevel="0" collapsed="false">
      <c r="A493" s="32"/>
      <c r="B493" s="32"/>
      <c r="C493" s="32"/>
      <c r="D493" s="32"/>
      <c r="E493" s="32"/>
      <c r="F493" s="32"/>
      <c r="G493" s="32"/>
      <c r="H493" s="32"/>
      <c r="I493" s="32"/>
      <c r="J493" s="32"/>
    </row>
    <row r="494" customFormat="false" ht="15.75" hidden="false" customHeight="true" outlineLevel="0" collapsed="false">
      <c r="A494" s="32"/>
      <c r="B494" s="32"/>
      <c r="C494" s="32"/>
      <c r="D494" s="32"/>
      <c r="E494" s="32"/>
      <c r="F494" s="32"/>
      <c r="G494" s="32"/>
      <c r="H494" s="32"/>
      <c r="I494" s="32"/>
      <c r="J494" s="32"/>
    </row>
    <row r="495" customFormat="false" ht="15.75" hidden="false" customHeight="true" outlineLevel="0" collapsed="false">
      <c r="A495" s="32"/>
      <c r="B495" s="32"/>
      <c r="C495" s="32"/>
      <c r="D495" s="32"/>
      <c r="E495" s="32"/>
      <c r="F495" s="32"/>
      <c r="G495" s="32"/>
      <c r="H495" s="32"/>
      <c r="I495" s="32"/>
      <c r="J495" s="32"/>
    </row>
    <row r="496" customFormat="false" ht="15.75" hidden="false" customHeight="true" outlineLevel="0" collapsed="false">
      <c r="A496" s="32"/>
      <c r="B496" s="32"/>
      <c r="C496" s="32"/>
      <c r="D496" s="32"/>
      <c r="E496" s="32"/>
      <c r="F496" s="32"/>
      <c r="G496" s="32"/>
      <c r="H496" s="32"/>
      <c r="I496" s="32"/>
      <c r="J496" s="32"/>
    </row>
    <row r="497" customFormat="false" ht="15.75" hidden="false" customHeight="true" outlineLevel="0" collapsed="false">
      <c r="A497" s="32"/>
      <c r="B497" s="32"/>
      <c r="C497" s="32"/>
      <c r="D497" s="32"/>
      <c r="E497" s="32"/>
      <c r="F497" s="32"/>
      <c r="G497" s="32"/>
      <c r="H497" s="32"/>
      <c r="I497" s="32"/>
      <c r="J497" s="32"/>
    </row>
    <row r="498" customFormat="false" ht="15.75" hidden="false" customHeight="true" outlineLevel="0" collapsed="false">
      <c r="A498" s="32"/>
      <c r="B498" s="32"/>
      <c r="C498" s="32"/>
      <c r="D498" s="32"/>
      <c r="E498" s="32"/>
      <c r="F498" s="32"/>
      <c r="G498" s="32"/>
      <c r="H498" s="32"/>
      <c r="I498" s="32"/>
      <c r="J498" s="32"/>
    </row>
    <row r="499" customFormat="false" ht="15.75" hidden="false" customHeight="true" outlineLevel="0" collapsed="false">
      <c r="A499" s="32"/>
      <c r="B499" s="32"/>
      <c r="C499" s="32"/>
      <c r="D499" s="32"/>
      <c r="E499" s="32"/>
      <c r="F499" s="32"/>
      <c r="G499" s="32"/>
      <c r="H499" s="32"/>
      <c r="I499" s="32"/>
      <c r="J499" s="32"/>
    </row>
    <row r="500" customFormat="false" ht="15.75" hidden="false" customHeight="true" outlineLevel="0" collapsed="false">
      <c r="A500" s="32"/>
      <c r="B500" s="32"/>
      <c r="C500" s="32"/>
      <c r="D500" s="32"/>
      <c r="E500" s="32"/>
      <c r="F500" s="32"/>
      <c r="G500" s="32"/>
      <c r="H500" s="32"/>
      <c r="I500" s="32"/>
      <c r="J500" s="32"/>
    </row>
    <row r="501" customFormat="false" ht="15.75" hidden="false" customHeight="true" outlineLevel="0" collapsed="false">
      <c r="A501" s="32"/>
      <c r="B501" s="32"/>
      <c r="C501" s="32"/>
      <c r="D501" s="32"/>
      <c r="E501" s="32"/>
      <c r="F501" s="32"/>
      <c r="G501" s="32"/>
      <c r="H501" s="32"/>
      <c r="I501" s="32"/>
      <c r="J501" s="32"/>
    </row>
    <row r="502" customFormat="false" ht="15.75" hidden="false" customHeight="true" outlineLevel="0" collapsed="false">
      <c r="A502" s="32"/>
      <c r="B502" s="32"/>
      <c r="C502" s="32"/>
      <c r="D502" s="32"/>
      <c r="E502" s="32"/>
      <c r="F502" s="32"/>
      <c r="G502" s="32"/>
      <c r="H502" s="32"/>
      <c r="I502" s="32"/>
      <c r="J502" s="32"/>
    </row>
    <row r="503" customFormat="false" ht="15.75" hidden="false" customHeight="true" outlineLevel="0" collapsed="false">
      <c r="A503" s="32"/>
      <c r="B503" s="32"/>
      <c r="C503" s="32"/>
      <c r="D503" s="32"/>
      <c r="E503" s="32"/>
      <c r="F503" s="32"/>
      <c r="G503" s="32"/>
      <c r="H503" s="32"/>
      <c r="I503" s="32"/>
      <c r="J503" s="32"/>
    </row>
    <row r="504" customFormat="false" ht="15.75" hidden="false" customHeight="true" outlineLevel="0" collapsed="false">
      <c r="A504" s="32"/>
      <c r="B504" s="32"/>
      <c r="C504" s="32"/>
      <c r="D504" s="32"/>
      <c r="E504" s="32"/>
      <c r="F504" s="32"/>
      <c r="G504" s="32"/>
      <c r="H504" s="32"/>
      <c r="I504" s="32"/>
      <c r="J504" s="32"/>
    </row>
    <row r="505" customFormat="false" ht="15.75" hidden="false" customHeight="true" outlineLevel="0" collapsed="false">
      <c r="A505" s="32"/>
      <c r="B505" s="32"/>
      <c r="C505" s="32"/>
      <c r="D505" s="32"/>
      <c r="E505" s="32"/>
      <c r="F505" s="32"/>
      <c r="G505" s="32"/>
      <c r="H505" s="32"/>
      <c r="I505" s="32"/>
      <c r="J505" s="32"/>
    </row>
    <row r="506" customFormat="false" ht="15.75" hidden="false" customHeight="true" outlineLevel="0" collapsed="false">
      <c r="A506" s="32"/>
      <c r="B506" s="32"/>
      <c r="C506" s="32"/>
      <c r="D506" s="32"/>
      <c r="E506" s="32"/>
      <c r="F506" s="32"/>
      <c r="G506" s="32"/>
      <c r="H506" s="32"/>
      <c r="I506" s="32"/>
      <c r="J506" s="32"/>
    </row>
    <row r="507" customFormat="false" ht="15.75" hidden="false" customHeight="true" outlineLevel="0" collapsed="false">
      <c r="A507" s="32"/>
      <c r="B507" s="32"/>
      <c r="C507" s="32"/>
      <c r="D507" s="32"/>
      <c r="E507" s="32"/>
      <c r="F507" s="32"/>
      <c r="G507" s="32"/>
      <c r="H507" s="32"/>
      <c r="I507" s="32"/>
      <c r="J507" s="32"/>
    </row>
    <row r="508" customFormat="false" ht="15.75" hidden="false" customHeight="true" outlineLevel="0" collapsed="false">
      <c r="A508" s="32"/>
      <c r="B508" s="32"/>
      <c r="C508" s="32"/>
      <c r="D508" s="32"/>
      <c r="E508" s="32"/>
      <c r="F508" s="32"/>
      <c r="G508" s="32"/>
      <c r="H508" s="32"/>
      <c r="I508" s="32"/>
      <c r="J508" s="32"/>
    </row>
    <row r="509" customFormat="false" ht="15.75" hidden="false" customHeight="true" outlineLevel="0" collapsed="false">
      <c r="A509" s="32"/>
      <c r="B509" s="32"/>
      <c r="C509" s="32"/>
      <c r="D509" s="32"/>
      <c r="E509" s="32"/>
      <c r="F509" s="32"/>
      <c r="G509" s="32"/>
      <c r="H509" s="32"/>
      <c r="I509" s="32"/>
      <c r="J509" s="32"/>
    </row>
    <row r="510" customFormat="false" ht="15.75" hidden="false" customHeight="true" outlineLevel="0" collapsed="false">
      <c r="A510" s="32"/>
      <c r="B510" s="32"/>
      <c r="C510" s="32"/>
      <c r="D510" s="32"/>
      <c r="E510" s="32"/>
      <c r="F510" s="32"/>
      <c r="G510" s="32"/>
      <c r="H510" s="32"/>
      <c r="I510" s="32"/>
      <c r="J510" s="32"/>
    </row>
    <row r="511" customFormat="false" ht="15.75" hidden="false" customHeight="true" outlineLevel="0" collapsed="false">
      <c r="A511" s="32"/>
      <c r="B511" s="32"/>
      <c r="C511" s="32"/>
      <c r="D511" s="32"/>
      <c r="E511" s="32"/>
      <c r="F511" s="32"/>
      <c r="G511" s="32"/>
      <c r="H511" s="32"/>
      <c r="I511" s="32"/>
      <c r="J511" s="32"/>
    </row>
    <row r="512" customFormat="false" ht="15.75" hidden="false" customHeight="true" outlineLevel="0" collapsed="false">
      <c r="A512" s="32"/>
      <c r="B512" s="32"/>
      <c r="C512" s="32"/>
      <c r="D512" s="32"/>
      <c r="E512" s="32"/>
      <c r="F512" s="32"/>
      <c r="G512" s="32"/>
      <c r="H512" s="32"/>
      <c r="I512" s="32"/>
      <c r="J512" s="32"/>
    </row>
    <row r="513" customFormat="false" ht="15.75" hidden="false" customHeight="true" outlineLevel="0" collapsed="false">
      <c r="A513" s="32"/>
      <c r="B513" s="32"/>
      <c r="C513" s="32"/>
      <c r="D513" s="32"/>
      <c r="E513" s="32"/>
      <c r="F513" s="32"/>
      <c r="G513" s="32"/>
      <c r="H513" s="32"/>
      <c r="I513" s="32"/>
      <c r="J513" s="32"/>
    </row>
    <row r="514" customFormat="false" ht="15.75" hidden="false" customHeight="true" outlineLevel="0" collapsed="false">
      <c r="A514" s="32"/>
      <c r="B514" s="32"/>
      <c r="C514" s="32"/>
      <c r="D514" s="32"/>
      <c r="E514" s="32"/>
      <c r="F514" s="32"/>
      <c r="G514" s="32"/>
      <c r="H514" s="32"/>
      <c r="I514" s="32"/>
      <c r="J514" s="32"/>
    </row>
    <row r="515" customFormat="false" ht="15.75" hidden="false" customHeight="true" outlineLevel="0" collapsed="false">
      <c r="A515" s="32"/>
      <c r="B515" s="32"/>
      <c r="C515" s="32"/>
      <c r="D515" s="32"/>
      <c r="E515" s="32"/>
      <c r="F515" s="32"/>
      <c r="G515" s="32"/>
      <c r="H515" s="32"/>
      <c r="I515" s="32"/>
      <c r="J515" s="32"/>
    </row>
    <row r="516" customFormat="false" ht="15.75" hidden="false" customHeight="true" outlineLevel="0" collapsed="false">
      <c r="A516" s="32"/>
      <c r="B516" s="32"/>
      <c r="C516" s="32"/>
      <c r="D516" s="32"/>
      <c r="E516" s="32"/>
      <c r="F516" s="32"/>
      <c r="G516" s="32"/>
      <c r="H516" s="32"/>
      <c r="I516" s="32"/>
      <c r="J516" s="32"/>
    </row>
    <row r="517" customFormat="false" ht="15.75" hidden="false" customHeight="true" outlineLevel="0" collapsed="false">
      <c r="A517" s="32"/>
      <c r="B517" s="32"/>
      <c r="C517" s="32"/>
      <c r="D517" s="32"/>
      <c r="E517" s="32"/>
      <c r="F517" s="32"/>
      <c r="G517" s="32"/>
      <c r="H517" s="32"/>
      <c r="I517" s="32"/>
      <c r="J517" s="32"/>
    </row>
    <row r="518" customFormat="false" ht="15.75" hidden="false" customHeight="true" outlineLevel="0" collapsed="false">
      <c r="A518" s="32"/>
      <c r="B518" s="32"/>
      <c r="C518" s="32"/>
      <c r="D518" s="32"/>
      <c r="E518" s="32"/>
      <c r="F518" s="32"/>
      <c r="G518" s="32"/>
      <c r="H518" s="32"/>
      <c r="I518" s="32"/>
      <c r="J518" s="32"/>
    </row>
    <row r="519" customFormat="false" ht="15.75" hidden="false" customHeight="true" outlineLevel="0" collapsed="false">
      <c r="A519" s="32"/>
      <c r="B519" s="32"/>
      <c r="C519" s="32"/>
      <c r="D519" s="32"/>
      <c r="E519" s="32"/>
      <c r="F519" s="32"/>
      <c r="G519" s="32"/>
      <c r="H519" s="32"/>
      <c r="I519" s="32"/>
      <c r="J519" s="32"/>
    </row>
    <row r="520" customFormat="false" ht="15.75" hidden="false" customHeight="true" outlineLevel="0" collapsed="false">
      <c r="A520" s="32"/>
      <c r="B520" s="32"/>
      <c r="C520" s="32"/>
      <c r="D520" s="32"/>
      <c r="E520" s="32"/>
      <c r="F520" s="32"/>
      <c r="G520" s="32"/>
      <c r="H520" s="32"/>
      <c r="I520" s="32"/>
      <c r="J520" s="32"/>
    </row>
    <row r="521" customFormat="false" ht="15.75" hidden="false" customHeight="true" outlineLevel="0" collapsed="false">
      <c r="A521" s="32"/>
      <c r="B521" s="32"/>
      <c r="C521" s="32"/>
      <c r="D521" s="32"/>
      <c r="E521" s="32"/>
      <c r="F521" s="32"/>
      <c r="G521" s="32"/>
      <c r="H521" s="32"/>
      <c r="I521" s="32"/>
      <c r="J521" s="32"/>
    </row>
    <row r="522" customFormat="false" ht="15.75" hidden="false" customHeight="true" outlineLevel="0" collapsed="false">
      <c r="A522" s="32"/>
      <c r="B522" s="32"/>
      <c r="C522" s="32"/>
      <c r="D522" s="32"/>
      <c r="E522" s="32"/>
      <c r="F522" s="32"/>
      <c r="G522" s="32"/>
      <c r="H522" s="32"/>
      <c r="I522" s="32"/>
      <c r="J522" s="32"/>
    </row>
    <row r="523" customFormat="false" ht="15.75" hidden="false" customHeight="true" outlineLevel="0" collapsed="false">
      <c r="A523" s="32"/>
      <c r="B523" s="32"/>
      <c r="C523" s="32"/>
      <c r="D523" s="32"/>
      <c r="E523" s="32"/>
      <c r="F523" s="32"/>
      <c r="G523" s="32"/>
      <c r="H523" s="32"/>
      <c r="I523" s="32"/>
      <c r="J523" s="32"/>
    </row>
    <row r="524" customFormat="false" ht="15.75" hidden="false" customHeight="true" outlineLevel="0" collapsed="false">
      <c r="A524" s="32"/>
      <c r="B524" s="32"/>
      <c r="C524" s="32"/>
      <c r="D524" s="32"/>
      <c r="E524" s="32"/>
      <c r="F524" s="32"/>
      <c r="G524" s="32"/>
      <c r="H524" s="32"/>
      <c r="I524" s="32"/>
      <c r="J524" s="32"/>
    </row>
    <row r="525" customFormat="false" ht="15.75" hidden="false" customHeight="true" outlineLevel="0" collapsed="false">
      <c r="A525" s="32"/>
      <c r="B525" s="32"/>
      <c r="C525" s="32"/>
      <c r="D525" s="32"/>
      <c r="E525" s="32"/>
      <c r="F525" s="32"/>
      <c r="G525" s="32"/>
      <c r="H525" s="32"/>
      <c r="I525" s="32"/>
      <c r="J525" s="32"/>
    </row>
    <row r="526" customFormat="false" ht="15.75" hidden="false" customHeight="true" outlineLevel="0" collapsed="false">
      <c r="A526" s="32"/>
      <c r="B526" s="32"/>
      <c r="C526" s="32"/>
      <c r="D526" s="32"/>
      <c r="E526" s="32"/>
      <c r="F526" s="32"/>
      <c r="G526" s="32"/>
      <c r="H526" s="32"/>
      <c r="I526" s="32"/>
      <c r="J526" s="32"/>
    </row>
    <row r="527" customFormat="false" ht="15.75" hidden="false" customHeight="true" outlineLevel="0" collapsed="false">
      <c r="A527" s="32"/>
      <c r="B527" s="32"/>
      <c r="C527" s="32"/>
      <c r="D527" s="32"/>
      <c r="E527" s="32"/>
      <c r="F527" s="32"/>
      <c r="G527" s="32"/>
      <c r="H527" s="32"/>
      <c r="I527" s="32"/>
      <c r="J527" s="32"/>
    </row>
    <row r="528" customFormat="false" ht="15.75" hidden="false" customHeight="true" outlineLevel="0" collapsed="false">
      <c r="A528" s="32"/>
      <c r="B528" s="32"/>
      <c r="C528" s="32"/>
      <c r="D528" s="32"/>
      <c r="E528" s="32"/>
      <c r="F528" s="32"/>
      <c r="G528" s="32"/>
      <c r="H528" s="32"/>
      <c r="I528" s="32"/>
      <c r="J528" s="32"/>
    </row>
    <row r="529" customFormat="false" ht="15.75" hidden="false" customHeight="true" outlineLevel="0" collapsed="false">
      <c r="A529" s="32"/>
      <c r="B529" s="32"/>
      <c r="C529" s="32"/>
      <c r="D529" s="32"/>
      <c r="E529" s="32"/>
      <c r="F529" s="32"/>
      <c r="G529" s="32"/>
      <c r="H529" s="32"/>
      <c r="I529" s="32"/>
      <c r="J529" s="32"/>
    </row>
    <row r="530" customFormat="false" ht="15.75" hidden="false" customHeight="true" outlineLevel="0" collapsed="false">
      <c r="A530" s="32"/>
      <c r="B530" s="32"/>
      <c r="C530" s="32"/>
      <c r="D530" s="32"/>
      <c r="E530" s="32"/>
      <c r="F530" s="32"/>
      <c r="G530" s="32"/>
      <c r="H530" s="32"/>
      <c r="I530" s="32"/>
      <c r="J530" s="32"/>
    </row>
    <row r="531" customFormat="false" ht="15.75" hidden="false" customHeight="true" outlineLevel="0" collapsed="false">
      <c r="A531" s="32"/>
      <c r="B531" s="32"/>
      <c r="C531" s="32"/>
      <c r="D531" s="32"/>
      <c r="E531" s="32"/>
      <c r="F531" s="32"/>
      <c r="G531" s="32"/>
      <c r="H531" s="32"/>
      <c r="I531" s="32"/>
      <c r="J531" s="32"/>
    </row>
    <row r="532" customFormat="false" ht="15.75" hidden="false" customHeight="true" outlineLevel="0" collapsed="false">
      <c r="A532" s="32"/>
      <c r="B532" s="32"/>
      <c r="C532" s="32"/>
      <c r="D532" s="32"/>
      <c r="E532" s="32"/>
      <c r="F532" s="32"/>
      <c r="G532" s="32"/>
      <c r="H532" s="32"/>
      <c r="I532" s="32"/>
      <c r="J532" s="32"/>
    </row>
    <row r="533" customFormat="false" ht="15.75" hidden="false" customHeight="true" outlineLevel="0" collapsed="false">
      <c r="A533" s="32"/>
      <c r="B533" s="32"/>
      <c r="C533" s="32"/>
      <c r="D533" s="32"/>
      <c r="E533" s="32"/>
      <c r="F533" s="32"/>
      <c r="G533" s="32"/>
      <c r="H533" s="32"/>
      <c r="I533" s="32"/>
      <c r="J533" s="32"/>
    </row>
    <row r="534" customFormat="false" ht="15.75" hidden="false" customHeight="true" outlineLevel="0" collapsed="false">
      <c r="A534" s="32"/>
      <c r="B534" s="32"/>
      <c r="C534" s="32"/>
      <c r="D534" s="32"/>
      <c r="E534" s="32"/>
      <c r="F534" s="32"/>
      <c r="G534" s="32"/>
      <c r="H534" s="32"/>
      <c r="I534" s="32"/>
      <c r="J534" s="32"/>
    </row>
    <row r="535" customFormat="false" ht="15.75" hidden="false" customHeight="true" outlineLevel="0" collapsed="false">
      <c r="A535" s="32"/>
      <c r="B535" s="32"/>
      <c r="C535" s="32"/>
      <c r="D535" s="32"/>
      <c r="E535" s="32"/>
      <c r="F535" s="32"/>
      <c r="G535" s="32"/>
      <c r="H535" s="32"/>
      <c r="I535" s="32"/>
      <c r="J535" s="32"/>
    </row>
    <row r="536" customFormat="false" ht="15.75" hidden="false" customHeight="true" outlineLevel="0" collapsed="false">
      <c r="A536" s="32"/>
      <c r="B536" s="32"/>
      <c r="C536" s="32"/>
      <c r="D536" s="32"/>
      <c r="E536" s="32"/>
      <c r="F536" s="32"/>
      <c r="G536" s="32"/>
      <c r="H536" s="32"/>
      <c r="I536" s="32"/>
      <c r="J536" s="32"/>
    </row>
    <row r="537" customFormat="false" ht="15.75" hidden="false" customHeight="true" outlineLevel="0" collapsed="false">
      <c r="A537" s="32"/>
      <c r="B537" s="32"/>
      <c r="C537" s="32"/>
      <c r="D537" s="32"/>
      <c r="E537" s="32"/>
      <c r="F537" s="32"/>
      <c r="G537" s="32"/>
      <c r="H537" s="32"/>
      <c r="I537" s="32"/>
      <c r="J537" s="32"/>
    </row>
    <row r="538" customFormat="false" ht="15.75" hidden="false" customHeight="true" outlineLevel="0" collapsed="false">
      <c r="A538" s="32"/>
      <c r="B538" s="32"/>
      <c r="C538" s="32"/>
      <c r="D538" s="32"/>
      <c r="E538" s="32"/>
      <c r="F538" s="32"/>
      <c r="G538" s="32"/>
      <c r="H538" s="32"/>
      <c r="I538" s="32"/>
      <c r="J538" s="32"/>
    </row>
    <row r="539" customFormat="false" ht="15.75" hidden="false" customHeight="true" outlineLevel="0" collapsed="false">
      <c r="A539" s="32"/>
      <c r="B539" s="32"/>
      <c r="C539" s="32"/>
      <c r="D539" s="32"/>
      <c r="E539" s="32"/>
      <c r="F539" s="32"/>
      <c r="G539" s="32"/>
      <c r="H539" s="32"/>
      <c r="I539" s="32"/>
      <c r="J539" s="32"/>
    </row>
    <row r="540" customFormat="false" ht="15.75" hidden="false" customHeight="true" outlineLevel="0" collapsed="false">
      <c r="A540" s="32"/>
      <c r="B540" s="32"/>
      <c r="C540" s="32"/>
      <c r="D540" s="32"/>
      <c r="E540" s="32"/>
      <c r="F540" s="32"/>
      <c r="G540" s="32"/>
      <c r="H540" s="32"/>
      <c r="I540" s="32"/>
      <c r="J540" s="32"/>
    </row>
    <row r="541" customFormat="false" ht="15.75" hidden="false" customHeight="true" outlineLevel="0" collapsed="false">
      <c r="A541" s="32"/>
      <c r="B541" s="32"/>
      <c r="C541" s="32"/>
      <c r="D541" s="32"/>
      <c r="E541" s="32"/>
      <c r="F541" s="32"/>
      <c r="G541" s="32"/>
      <c r="H541" s="32"/>
      <c r="I541" s="32"/>
      <c r="J541" s="32"/>
    </row>
    <row r="542" customFormat="false" ht="15.75" hidden="false" customHeight="true" outlineLevel="0" collapsed="false">
      <c r="A542" s="32"/>
      <c r="B542" s="32"/>
      <c r="C542" s="32"/>
      <c r="D542" s="32"/>
      <c r="E542" s="32"/>
      <c r="F542" s="32"/>
      <c r="G542" s="32"/>
      <c r="H542" s="32"/>
      <c r="I542" s="32"/>
      <c r="J542" s="32"/>
    </row>
    <row r="543" customFormat="false" ht="15.75" hidden="false" customHeight="true" outlineLevel="0" collapsed="false">
      <c r="A543" s="32"/>
      <c r="B543" s="32"/>
      <c r="C543" s="32"/>
      <c r="D543" s="32"/>
      <c r="E543" s="32"/>
      <c r="F543" s="32"/>
      <c r="G543" s="32"/>
      <c r="H543" s="32"/>
      <c r="I543" s="32"/>
      <c r="J543" s="32"/>
    </row>
    <row r="544" customFormat="false" ht="15.75" hidden="false" customHeight="true" outlineLevel="0" collapsed="false">
      <c r="A544" s="32"/>
      <c r="B544" s="32"/>
      <c r="C544" s="32"/>
      <c r="D544" s="32"/>
      <c r="E544" s="32"/>
      <c r="F544" s="32"/>
      <c r="G544" s="32"/>
      <c r="H544" s="32"/>
      <c r="I544" s="32"/>
      <c r="J544" s="32"/>
    </row>
    <row r="545" customFormat="false" ht="15.75" hidden="false" customHeight="true" outlineLevel="0" collapsed="false">
      <c r="A545" s="32"/>
      <c r="B545" s="32"/>
      <c r="C545" s="32"/>
      <c r="D545" s="32"/>
      <c r="E545" s="32"/>
      <c r="F545" s="32"/>
      <c r="G545" s="32"/>
      <c r="H545" s="32"/>
      <c r="I545" s="32"/>
      <c r="J545" s="32"/>
    </row>
    <row r="546" customFormat="false" ht="15.75" hidden="false" customHeight="true" outlineLevel="0" collapsed="false">
      <c r="A546" s="32"/>
      <c r="B546" s="32"/>
      <c r="C546" s="32"/>
      <c r="D546" s="32"/>
      <c r="E546" s="32"/>
      <c r="F546" s="32"/>
      <c r="G546" s="32"/>
      <c r="H546" s="32"/>
      <c r="I546" s="32"/>
      <c r="J546" s="32"/>
    </row>
    <row r="547" customFormat="false" ht="15.75" hidden="false" customHeight="true" outlineLevel="0" collapsed="false">
      <c r="A547" s="32"/>
      <c r="B547" s="32"/>
      <c r="C547" s="32"/>
      <c r="D547" s="32"/>
      <c r="E547" s="32"/>
      <c r="F547" s="32"/>
      <c r="G547" s="32"/>
      <c r="H547" s="32"/>
      <c r="I547" s="32"/>
      <c r="J547" s="32"/>
    </row>
    <row r="548" customFormat="false" ht="15.75" hidden="false" customHeight="true" outlineLevel="0" collapsed="false">
      <c r="A548" s="32"/>
      <c r="B548" s="32"/>
      <c r="C548" s="32"/>
      <c r="D548" s="32"/>
      <c r="E548" s="32"/>
      <c r="F548" s="32"/>
      <c r="G548" s="32"/>
      <c r="H548" s="32"/>
      <c r="I548" s="32"/>
      <c r="J548" s="32"/>
    </row>
    <row r="549" customFormat="false" ht="15.75" hidden="false" customHeight="true" outlineLevel="0" collapsed="false">
      <c r="A549" s="32"/>
      <c r="B549" s="32"/>
      <c r="C549" s="32"/>
      <c r="D549" s="32"/>
      <c r="E549" s="32"/>
      <c r="F549" s="32"/>
      <c r="G549" s="32"/>
      <c r="H549" s="32"/>
      <c r="I549" s="32"/>
      <c r="J549" s="32"/>
    </row>
    <row r="550" customFormat="false" ht="15.75" hidden="false" customHeight="true" outlineLevel="0" collapsed="false">
      <c r="A550" s="32"/>
      <c r="B550" s="32"/>
      <c r="C550" s="32"/>
      <c r="D550" s="32"/>
      <c r="E550" s="32"/>
      <c r="F550" s="32"/>
      <c r="G550" s="32"/>
      <c r="H550" s="32"/>
      <c r="I550" s="32"/>
      <c r="J550" s="32"/>
    </row>
    <row r="551" customFormat="false" ht="15.75" hidden="false" customHeight="true" outlineLevel="0" collapsed="false">
      <c r="A551" s="32"/>
      <c r="B551" s="32"/>
      <c r="C551" s="32"/>
      <c r="D551" s="32"/>
      <c r="E551" s="32"/>
      <c r="F551" s="32"/>
      <c r="G551" s="32"/>
      <c r="H551" s="32"/>
      <c r="I551" s="32"/>
      <c r="J551" s="32"/>
    </row>
    <row r="552" customFormat="false" ht="15.75" hidden="false" customHeight="true" outlineLevel="0" collapsed="false">
      <c r="A552" s="32"/>
      <c r="B552" s="32"/>
      <c r="C552" s="32"/>
      <c r="D552" s="32"/>
      <c r="E552" s="32"/>
      <c r="F552" s="32"/>
      <c r="G552" s="32"/>
      <c r="H552" s="32"/>
      <c r="I552" s="32"/>
      <c r="J552" s="32"/>
    </row>
    <row r="553" customFormat="false" ht="15.75" hidden="false" customHeight="true" outlineLevel="0" collapsed="false">
      <c r="A553" s="32"/>
      <c r="B553" s="32"/>
      <c r="C553" s="32"/>
      <c r="D553" s="32"/>
      <c r="E553" s="32"/>
      <c r="F553" s="32"/>
      <c r="G553" s="32"/>
      <c r="H553" s="32"/>
      <c r="I553" s="32"/>
      <c r="J553" s="32"/>
    </row>
    <row r="554" customFormat="false" ht="15.75" hidden="false" customHeight="true" outlineLevel="0" collapsed="false">
      <c r="A554" s="32"/>
      <c r="B554" s="32"/>
      <c r="C554" s="32"/>
      <c r="D554" s="32"/>
      <c r="E554" s="32"/>
      <c r="F554" s="32"/>
      <c r="G554" s="32"/>
      <c r="H554" s="32"/>
      <c r="I554" s="32"/>
      <c r="J554" s="32"/>
    </row>
    <row r="555" customFormat="false" ht="15.75" hidden="false" customHeight="true" outlineLevel="0" collapsed="false">
      <c r="A555" s="32"/>
      <c r="B555" s="32"/>
      <c r="C555" s="32"/>
      <c r="D555" s="32"/>
      <c r="E555" s="32"/>
      <c r="F555" s="32"/>
      <c r="G555" s="32"/>
      <c r="H555" s="32"/>
      <c r="I555" s="32"/>
      <c r="J555" s="32"/>
    </row>
    <row r="556" customFormat="false" ht="15.75" hidden="false" customHeight="true" outlineLevel="0" collapsed="false">
      <c r="A556" s="32"/>
      <c r="B556" s="32"/>
      <c r="C556" s="32"/>
      <c r="D556" s="32"/>
      <c r="E556" s="32"/>
      <c r="F556" s="32"/>
      <c r="G556" s="32"/>
      <c r="H556" s="32"/>
      <c r="I556" s="32"/>
      <c r="J556" s="32"/>
    </row>
    <row r="557" customFormat="false" ht="15.75" hidden="false" customHeight="true" outlineLevel="0" collapsed="false">
      <c r="A557" s="32"/>
      <c r="B557" s="32"/>
      <c r="C557" s="32"/>
      <c r="D557" s="32"/>
      <c r="E557" s="32"/>
      <c r="F557" s="32"/>
      <c r="G557" s="32"/>
      <c r="H557" s="32"/>
      <c r="I557" s="32"/>
      <c r="J557" s="32"/>
    </row>
    <row r="558" customFormat="false" ht="15.75" hidden="false" customHeight="true" outlineLevel="0" collapsed="false">
      <c r="A558" s="32"/>
      <c r="B558" s="32"/>
      <c r="C558" s="32"/>
      <c r="D558" s="32"/>
      <c r="E558" s="32"/>
      <c r="F558" s="32"/>
      <c r="G558" s="32"/>
      <c r="H558" s="32"/>
      <c r="I558" s="32"/>
      <c r="J558" s="32"/>
    </row>
    <row r="559" customFormat="false" ht="15.75" hidden="false" customHeight="true" outlineLevel="0" collapsed="false">
      <c r="A559" s="32"/>
      <c r="B559" s="32"/>
      <c r="C559" s="32"/>
      <c r="D559" s="32"/>
      <c r="E559" s="32"/>
      <c r="F559" s="32"/>
      <c r="G559" s="32"/>
      <c r="H559" s="32"/>
      <c r="I559" s="32"/>
      <c r="J559" s="32"/>
    </row>
    <row r="560" customFormat="false" ht="15.75" hidden="false" customHeight="true" outlineLevel="0" collapsed="false">
      <c r="A560" s="32"/>
      <c r="B560" s="32"/>
      <c r="C560" s="32"/>
      <c r="D560" s="32"/>
      <c r="E560" s="32"/>
      <c r="F560" s="32"/>
      <c r="G560" s="32"/>
      <c r="H560" s="32"/>
      <c r="I560" s="32"/>
      <c r="J560" s="32"/>
    </row>
    <row r="561" customFormat="false" ht="15.75" hidden="false" customHeight="true" outlineLevel="0" collapsed="false">
      <c r="A561" s="32"/>
      <c r="B561" s="32"/>
      <c r="C561" s="32"/>
      <c r="D561" s="32"/>
      <c r="E561" s="32"/>
      <c r="F561" s="32"/>
      <c r="G561" s="32"/>
      <c r="H561" s="32"/>
      <c r="I561" s="32"/>
      <c r="J561" s="32"/>
    </row>
    <row r="562" customFormat="false" ht="15.75" hidden="false" customHeight="true" outlineLevel="0" collapsed="false">
      <c r="A562" s="32"/>
      <c r="B562" s="32"/>
      <c r="C562" s="32"/>
      <c r="D562" s="32"/>
      <c r="E562" s="32"/>
      <c r="F562" s="32"/>
      <c r="G562" s="32"/>
      <c r="H562" s="32"/>
      <c r="I562" s="32"/>
      <c r="J562" s="32"/>
    </row>
    <row r="563" customFormat="false" ht="15.75" hidden="false" customHeight="true" outlineLevel="0" collapsed="false">
      <c r="A563" s="32"/>
      <c r="B563" s="32"/>
      <c r="C563" s="32"/>
      <c r="D563" s="32"/>
      <c r="E563" s="32"/>
      <c r="F563" s="32"/>
      <c r="G563" s="32"/>
      <c r="H563" s="32"/>
      <c r="I563" s="32"/>
      <c r="J563" s="32"/>
    </row>
    <row r="564" customFormat="false" ht="15.75" hidden="false" customHeight="true" outlineLevel="0" collapsed="false">
      <c r="A564" s="32"/>
      <c r="B564" s="32"/>
      <c r="C564" s="32"/>
      <c r="D564" s="32"/>
      <c r="E564" s="32"/>
      <c r="F564" s="32"/>
      <c r="G564" s="32"/>
      <c r="H564" s="32"/>
      <c r="I564" s="32"/>
      <c r="J564" s="32"/>
    </row>
    <row r="565" customFormat="false" ht="15.75" hidden="false" customHeight="true" outlineLevel="0" collapsed="false">
      <c r="A565" s="32"/>
      <c r="B565" s="32"/>
      <c r="C565" s="32"/>
      <c r="D565" s="32"/>
      <c r="E565" s="32"/>
      <c r="F565" s="32"/>
      <c r="G565" s="32"/>
      <c r="H565" s="32"/>
      <c r="I565" s="32"/>
      <c r="J565" s="32"/>
    </row>
    <row r="566" customFormat="false" ht="15.75" hidden="false" customHeight="true" outlineLevel="0" collapsed="false">
      <c r="A566" s="32"/>
      <c r="B566" s="32"/>
      <c r="C566" s="32"/>
      <c r="D566" s="32"/>
      <c r="E566" s="32"/>
      <c r="F566" s="32"/>
      <c r="G566" s="32"/>
      <c r="H566" s="32"/>
      <c r="I566" s="32"/>
      <c r="J566" s="32"/>
    </row>
    <row r="567" customFormat="false" ht="15.75" hidden="false" customHeight="true" outlineLevel="0" collapsed="false">
      <c r="A567" s="32"/>
      <c r="B567" s="32"/>
      <c r="C567" s="32"/>
      <c r="D567" s="32"/>
      <c r="E567" s="32"/>
      <c r="F567" s="32"/>
      <c r="G567" s="32"/>
      <c r="H567" s="32"/>
      <c r="I567" s="32"/>
      <c r="J567" s="32"/>
    </row>
    <row r="568" customFormat="false" ht="15.75" hidden="false" customHeight="true" outlineLevel="0" collapsed="false">
      <c r="A568" s="32"/>
      <c r="B568" s="32"/>
      <c r="C568" s="32"/>
      <c r="D568" s="32"/>
      <c r="E568" s="32"/>
      <c r="F568" s="32"/>
      <c r="G568" s="32"/>
      <c r="H568" s="32"/>
      <c r="I568" s="32"/>
      <c r="J568" s="32"/>
    </row>
    <row r="569" customFormat="false" ht="15.75" hidden="false" customHeight="true" outlineLevel="0" collapsed="false">
      <c r="A569" s="32"/>
      <c r="B569" s="32"/>
      <c r="C569" s="32"/>
      <c r="D569" s="32"/>
      <c r="E569" s="32"/>
      <c r="F569" s="32"/>
      <c r="G569" s="32"/>
      <c r="H569" s="32"/>
      <c r="I569" s="32"/>
      <c r="J569" s="32"/>
    </row>
    <row r="570" customFormat="false" ht="15.75" hidden="false" customHeight="true" outlineLevel="0" collapsed="false">
      <c r="A570" s="32"/>
      <c r="B570" s="32"/>
      <c r="C570" s="32"/>
      <c r="D570" s="32"/>
      <c r="E570" s="32"/>
      <c r="F570" s="32"/>
      <c r="G570" s="32"/>
      <c r="H570" s="32"/>
      <c r="I570" s="32"/>
      <c r="J570" s="32"/>
    </row>
    <row r="571" customFormat="false" ht="15.75" hidden="false" customHeight="true" outlineLevel="0" collapsed="false">
      <c r="A571" s="32"/>
      <c r="B571" s="32"/>
      <c r="C571" s="32"/>
      <c r="D571" s="32"/>
      <c r="E571" s="32"/>
      <c r="F571" s="32"/>
      <c r="G571" s="32"/>
      <c r="H571" s="32"/>
      <c r="I571" s="32"/>
      <c r="J571" s="32"/>
    </row>
    <row r="572" customFormat="false" ht="15.75" hidden="false" customHeight="true" outlineLevel="0" collapsed="false">
      <c r="A572" s="32"/>
      <c r="B572" s="32"/>
      <c r="C572" s="32"/>
      <c r="D572" s="32"/>
      <c r="E572" s="32"/>
      <c r="F572" s="32"/>
      <c r="G572" s="32"/>
      <c r="H572" s="32"/>
      <c r="I572" s="32"/>
      <c r="J572" s="32"/>
    </row>
    <row r="573" customFormat="false" ht="15.75" hidden="false" customHeight="true" outlineLevel="0" collapsed="false">
      <c r="A573" s="32"/>
      <c r="B573" s="32"/>
      <c r="C573" s="32"/>
      <c r="D573" s="32"/>
      <c r="E573" s="32"/>
      <c r="F573" s="32"/>
      <c r="G573" s="32"/>
      <c r="H573" s="32"/>
      <c r="I573" s="32"/>
      <c r="J573" s="32"/>
    </row>
    <row r="574" customFormat="false" ht="15.75" hidden="false" customHeight="true" outlineLevel="0" collapsed="false">
      <c r="A574" s="32"/>
      <c r="B574" s="32"/>
      <c r="C574" s="32"/>
      <c r="D574" s="32"/>
      <c r="E574" s="32"/>
      <c r="F574" s="32"/>
      <c r="G574" s="32"/>
      <c r="H574" s="32"/>
      <c r="I574" s="32"/>
      <c r="J574" s="32"/>
    </row>
    <row r="575" customFormat="false" ht="15.75" hidden="false" customHeight="true" outlineLevel="0" collapsed="false">
      <c r="A575" s="32"/>
      <c r="B575" s="32"/>
      <c r="C575" s="32"/>
      <c r="D575" s="32"/>
      <c r="E575" s="32"/>
      <c r="F575" s="32"/>
      <c r="G575" s="32"/>
      <c r="H575" s="32"/>
      <c r="I575" s="32"/>
      <c r="J575" s="32"/>
    </row>
    <row r="576" customFormat="false" ht="15.75" hidden="false" customHeight="true" outlineLevel="0" collapsed="false">
      <c r="A576" s="32"/>
      <c r="B576" s="32"/>
      <c r="C576" s="32"/>
      <c r="D576" s="32"/>
      <c r="E576" s="32"/>
      <c r="F576" s="32"/>
      <c r="G576" s="32"/>
      <c r="H576" s="32"/>
      <c r="I576" s="32"/>
      <c r="J576" s="32"/>
    </row>
    <row r="577" customFormat="false" ht="15.75" hidden="false" customHeight="true" outlineLevel="0" collapsed="false">
      <c r="A577" s="32"/>
      <c r="B577" s="32"/>
      <c r="C577" s="32"/>
      <c r="D577" s="32"/>
      <c r="E577" s="32"/>
      <c r="F577" s="32"/>
      <c r="G577" s="32"/>
      <c r="H577" s="32"/>
      <c r="I577" s="32"/>
      <c r="J577" s="32"/>
    </row>
    <row r="578" customFormat="false" ht="15.75" hidden="false" customHeight="true" outlineLevel="0" collapsed="false">
      <c r="A578" s="32"/>
      <c r="B578" s="32"/>
      <c r="C578" s="32"/>
      <c r="D578" s="32"/>
      <c r="E578" s="32"/>
      <c r="F578" s="32"/>
      <c r="G578" s="32"/>
      <c r="H578" s="32"/>
      <c r="I578" s="32"/>
      <c r="J578" s="32"/>
    </row>
    <row r="579" customFormat="false" ht="15.75" hidden="false" customHeight="true" outlineLevel="0" collapsed="false">
      <c r="A579" s="32"/>
      <c r="B579" s="32"/>
      <c r="C579" s="32"/>
      <c r="D579" s="32"/>
      <c r="E579" s="32"/>
      <c r="F579" s="32"/>
      <c r="G579" s="32"/>
      <c r="H579" s="32"/>
      <c r="I579" s="32"/>
      <c r="J579" s="32"/>
    </row>
    <row r="580" customFormat="false" ht="15.75" hidden="false" customHeight="true" outlineLevel="0" collapsed="false">
      <c r="A580" s="32"/>
      <c r="B580" s="32"/>
      <c r="C580" s="32"/>
      <c r="D580" s="32"/>
      <c r="E580" s="32"/>
      <c r="F580" s="32"/>
      <c r="G580" s="32"/>
      <c r="H580" s="32"/>
      <c r="I580" s="32"/>
      <c r="J580" s="32"/>
    </row>
    <row r="581" customFormat="false" ht="15.75" hidden="false" customHeight="true" outlineLevel="0" collapsed="false">
      <c r="A581" s="32"/>
      <c r="B581" s="32"/>
      <c r="C581" s="32"/>
      <c r="D581" s="32"/>
      <c r="E581" s="32"/>
      <c r="F581" s="32"/>
      <c r="G581" s="32"/>
      <c r="H581" s="32"/>
      <c r="I581" s="32"/>
      <c r="J581" s="32"/>
    </row>
    <row r="582" customFormat="false" ht="15.75" hidden="false" customHeight="true" outlineLevel="0" collapsed="false">
      <c r="A582" s="32"/>
      <c r="B582" s="32"/>
      <c r="C582" s="32"/>
      <c r="D582" s="32"/>
      <c r="E582" s="32"/>
      <c r="F582" s="32"/>
      <c r="G582" s="32"/>
      <c r="H582" s="32"/>
      <c r="I582" s="32"/>
      <c r="J582" s="32"/>
    </row>
    <row r="583" customFormat="false" ht="15.75" hidden="false" customHeight="true" outlineLevel="0" collapsed="false">
      <c r="A583" s="32"/>
      <c r="B583" s="32"/>
      <c r="C583" s="32"/>
      <c r="D583" s="32"/>
      <c r="E583" s="32"/>
      <c r="F583" s="32"/>
      <c r="G583" s="32"/>
      <c r="H583" s="32"/>
      <c r="I583" s="32"/>
      <c r="J583" s="32"/>
    </row>
    <row r="584" customFormat="false" ht="15.75" hidden="false" customHeight="true" outlineLevel="0" collapsed="false">
      <c r="A584" s="32"/>
      <c r="B584" s="32"/>
      <c r="C584" s="32"/>
      <c r="D584" s="32"/>
      <c r="E584" s="32"/>
      <c r="F584" s="32"/>
      <c r="G584" s="32"/>
      <c r="H584" s="32"/>
      <c r="I584" s="32"/>
      <c r="J584" s="32"/>
    </row>
    <row r="585" customFormat="false" ht="15.75" hidden="false" customHeight="true" outlineLevel="0" collapsed="false">
      <c r="A585" s="32"/>
      <c r="B585" s="32"/>
      <c r="C585" s="32"/>
      <c r="D585" s="32"/>
      <c r="E585" s="32"/>
      <c r="F585" s="32"/>
      <c r="G585" s="32"/>
      <c r="H585" s="32"/>
      <c r="I585" s="32"/>
      <c r="J585" s="32"/>
    </row>
    <row r="586" customFormat="false" ht="15.75" hidden="false" customHeight="true" outlineLevel="0" collapsed="false">
      <c r="A586" s="32"/>
      <c r="B586" s="32"/>
      <c r="C586" s="32"/>
      <c r="D586" s="32"/>
      <c r="E586" s="32"/>
      <c r="F586" s="32"/>
      <c r="G586" s="32"/>
      <c r="H586" s="32"/>
      <c r="I586" s="32"/>
      <c r="J586" s="32"/>
    </row>
    <row r="587" customFormat="false" ht="15.75" hidden="false" customHeight="true" outlineLevel="0" collapsed="false">
      <c r="A587" s="32"/>
      <c r="B587" s="32"/>
      <c r="C587" s="32"/>
      <c r="D587" s="32"/>
      <c r="E587" s="32"/>
      <c r="F587" s="32"/>
      <c r="G587" s="32"/>
      <c r="H587" s="32"/>
      <c r="I587" s="32"/>
      <c r="J587" s="32"/>
    </row>
    <row r="588" customFormat="false" ht="15.75" hidden="false" customHeight="true" outlineLevel="0" collapsed="false">
      <c r="A588" s="32"/>
      <c r="B588" s="32"/>
      <c r="C588" s="32"/>
      <c r="D588" s="32"/>
      <c r="E588" s="32"/>
      <c r="F588" s="32"/>
      <c r="G588" s="32"/>
      <c r="H588" s="32"/>
      <c r="I588" s="32"/>
      <c r="J588" s="32"/>
    </row>
    <row r="589" customFormat="false" ht="15.75" hidden="false" customHeight="true" outlineLevel="0" collapsed="false">
      <c r="A589" s="32"/>
      <c r="B589" s="32"/>
      <c r="C589" s="32"/>
      <c r="D589" s="32"/>
      <c r="E589" s="32"/>
      <c r="F589" s="32"/>
      <c r="G589" s="32"/>
      <c r="H589" s="32"/>
      <c r="I589" s="32"/>
      <c r="J589" s="32"/>
    </row>
    <row r="590" customFormat="false" ht="15.75" hidden="false" customHeight="true" outlineLevel="0" collapsed="false">
      <c r="A590" s="32"/>
      <c r="B590" s="32"/>
      <c r="C590" s="32"/>
      <c r="D590" s="32"/>
      <c r="E590" s="32"/>
      <c r="F590" s="32"/>
      <c r="G590" s="32"/>
      <c r="H590" s="32"/>
      <c r="I590" s="32"/>
      <c r="J590" s="32"/>
    </row>
    <row r="591" customFormat="false" ht="15.75" hidden="false" customHeight="true" outlineLevel="0" collapsed="false">
      <c r="A591" s="32"/>
      <c r="B591" s="32"/>
      <c r="C591" s="32"/>
      <c r="D591" s="32"/>
      <c r="E591" s="32"/>
      <c r="F591" s="32"/>
      <c r="G591" s="32"/>
      <c r="H591" s="32"/>
      <c r="I591" s="32"/>
      <c r="J591" s="32"/>
    </row>
    <row r="592" customFormat="false" ht="15.75" hidden="false" customHeight="true" outlineLevel="0" collapsed="false">
      <c r="A592" s="32"/>
      <c r="B592" s="32"/>
      <c r="C592" s="32"/>
      <c r="D592" s="32"/>
      <c r="E592" s="32"/>
      <c r="F592" s="32"/>
      <c r="G592" s="32"/>
      <c r="H592" s="32"/>
      <c r="I592" s="32"/>
      <c r="J592" s="32"/>
    </row>
    <row r="593" customFormat="false" ht="15.75" hidden="false" customHeight="true" outlineLevel="0" collapsed="false">
      <c r="A593" s="32"/>
      <c r="B593" s="32"/>
      <c r="C593" s="32"/>
      <c r="D593" s="32"/>
      <c r="E593" s="32"/>
      <c r="F593" s="32"/>
      <c r="G593" s="32"/>
      <c r="H593" s="32"/>
      <c r="I593" s="32"/>
      <c r="J593" s="32"/>
    </row>
    <row r="594" customFormat="false" ht="15.75" hidden="false" customHeight="true" outlineLevel="0" collapsed="false">
      <c r="A594" s="32"/>
      <c r="B594" s="32"/>
      <c r="C594" s="32"/>
      <c r="D594" s="32"/>
      <c r="E594" s="32"/>
      <c r="F594" s="32"/>
      <c r="G594" s="32"/>
      <c r="H594" s="32"/>
      <c r="I594" s="32"/>
      <c r="J594" s="32"/>
    </row>
    <row r="595" customFormat="false" ht="15.75" hidden="false" customHeight="true" outlineLevel="0" collapsed="false">
      <c r="A595" s="32"/>
      <c r="B595" s="32"/>
      <c r="C595" s="32"/>
      <c r="D595" s="32"/>
      <c r="E595" s="32"/>
      <c r="F595" s="32"/>
      <c r="G595" s="32"/>
      <c r="H595" s="32"/>
      <c r="I595" s="32"/>
      <c r="J595" s="32"/>
    </row>
    <row r="596" customFormat="false" ht="15.75" hidden="false" customHeight="true" outlineLevel="0" collapsed="false">
      <c r="A596" s="32"/>
      <c r="B596" s="32"/>
      <c r="C596" s="32"/>
      <c r="D596" s="32"/>
      <c r="E596" s="32"/>
      <c r="F596" s="32"/>
      <c r="G596" s="32"/>
      <c r="H596" s="32"/>
      <c r="I596" s="32"/>
      <c r="J596" s="32"/>
    </row>
    <row r="597" customFormat="false" ht="15.75" hidden="false" customHeight="true" outlineLevel="0" collapsed="false">
      <c r="A597" s="32"/>
      <c r="B597" s="32"/>
      <c r="C597" s="32"/>
      <c r="D597" s="32"/>
      <c r="E597" s="32"/>
      <c r="F597" s="32"/>
      <c r="G597" s="32"/>
      <c r="H597" s="32"/>
      <c r="I597" s="32"/>
      <c r="J597" s="32"/>
    </row>
    <row r="598" customFormat="false" ht="15.75" hidden="false" customHeight="true" outlineLevel="0" collapsed="false">
      <c r="A598" s="32"/>
      <c r="B598" s="32"/>
      <c r="C598" s="32"/>
      <c r="D598" s="32"/>
      <c r="E598" s="32"/>
      <c r="F598" s="32"/>
      <c r="G598" s="32"/>
      <c r="H598" s="32"/>
      <c r="I598" s="32"/>
      <c r="J598" s="32"/>
    </row>
    <row r="599" customFormat="false" ht="15.75" hidden="false" customHeight="true" outlineLevel="0" collapsed="false">
      <c r="A599" s="32"/>
      <c r="B599" s="32"/>
      <c r="C599" s="32"/>
      <c r="D599" s="32"/>
      <c r="E599" s="32"/>
      <c r="F599" s="32"/>
      <c r="G599" s="32"/>
      <c r="H599" s="32"/>
      <c r="I599" s="32"/>
      <c r="J599" s="32"/>
    </row>
    <row r="600" customFormat="false" ht="15.75" hidden="false" customHeight="true" outlineLevel="0" collapsed="false">
      <c r="A600" s="32"/>
      <c r="B600" s="32"/>
      <c r="C600" s="32"/>
      <c r="D600" s="32"/>
      <c r="E600" s="32"/>
      <c r="F600" s="32"/>
      <c r="G600" s="32"/>
      <c r="H600" s="32"/>
      <c r="I600" s="32"/>
      <c r="J600" s="32"/>
    </row>
    <row r="601" customFormat="false" ht="15.75" hidden="false" customHeight="true" outlineLevel="0" collapsed="false">
      <c r="A601" s="32"/>
      <c r="B601" s="32"/>
      <c r="C601" s="32"/>
      <c r="D601" s="32"/>
      <c r="E601" s="32"/>
      <c r="F601" s="32"/>
      <c r="G601" s="32"/>
      <c r="H601" s="32"/>
      <c r="I601" s="32"/>
      <c r="J601" s="32"/>
    </row>
    <row r="602" customFormat="false" ht="15.75" hidden="false" customHeight="true" outlineLevel="0" collapsed="false">
      <c r="A602" s="32"/>
      <c r="B602" s="32"/>
      <c r="C602" s="32"/>
      <c r="D602" s="32"/>
      <c r="E602" s="32"/>
      <c r="F602" s="32"/>
      <c r="G602" s="32"/>
      <c r="H602" s="32"/>
      <c r="I602" s="32"/>
      <c r="J602" s="32"/>
    </row>
    <row r="603" customFormat="false" ht="15.75" hidden="false" customHeight="true" outlineLevel="0" collapsed="false">
      <c r="A603" s="32"/>
      <c r="B603" s="32"/>
      <c r="C603" s="32"/>
      <c r="D603" s="32"/>
      <c r="E603" s="32"/>
      <c r="F603" s="32"/>
      <c r="G603" s="32"/>
      <c r="H603" s="32"/>
      <c r="I603" s="32"/>
      <c r="J603" s="32"/>
    </row>
    <row r="604" customFormat="false" ht="15.75" hidden="false" customHeight="true" outlineLevel="0" collapsed="false">
      <c r="A604" s="32"/>
      <c r="B604" s="32"/>
      <c r="C604" s="32"/>
      <c r="D604" s="32"/>
      <c r="E604" s="32"/>
      <c r="F604" s="32"/>
      <c r="G604" s="32"/>
      <c r="H604" s="32"/>
      <c r="I604" s="32"/>
      <c r="J604" s="32"/>
    </row>
    <row r="605" customFormat="false" ht="15.75" hidden="false" customHeight="true" outlineLevel="0" collapsed="false">
      <c r="A605" s="32"/>
      <c r="B605" s="32"/>
      <c r="C605" s="32"/>
      <c r="D605" s="32"/>
      <c r="E605" s="32"/>
      <c r="F605" s="32"/>
      <c r="G605" s="32"/>
      <c r="H605" s="32"/>
      <c r="I605" s="32"/>
      <c r="J605" s="32"/>
    </row>
    <row r="606" customFormat="false" ht="15.75" hidden="false" customHeight="true" outlineLevel="0" collapsed="false">
      <c r="A606" s="32"/>
      <c r="B606" s="32"/>
      <c r="C606" s="32"/>
      <c r="D606" s="32"/>
      <c r="E606" s="32"/>
      <c r="F606" s="32"/>
      <c r="G606" s="32"/>
      <c r="H606" s="32"/>
      <c r="I606" s="32"/>
      <c r="J606" s="32"/>
    </row>
    <row r="607" customFormat="false" ht="15.75" hidden="false" customHeight="true" outlineLevel="0" collapsed="false">
      <c r="A607" s="32"/>
      <c r="B607" s="32"/>
      <c r="C607" s="32"/>
      <c r="D607" s="32"/>
      <c r="E607" s="32"/>
      <c r="F607" s="32"/>
      <c r="G607" s="32"/>
      <c r="H607" s="32"/>
      <c r="I607" s="32"/>
      <c r="J607" s="32"/>
    </row>
    <row r="608" customFormat="false" ht="15.75" hidden="false" customHeight="true" outlineLevel="0" collapsed="false">
      <c r="A608" s="32"/>
      <c r="B608" s="32"/>
      <c r="C608" s="32"/>
      <c r="D608" s="32"/>
      <c r="E608" s="32"/>
      <c r="F608" s="32"/>
      <c r="G608" s="32"/>
      <c r="H608" s="32"/>
      <c r="I608" s="32"/>
      <c r="J608" s="32"/>
    </row>
    <row r="609" customFormat="false" ht="15.75" hidden="false" customHeight="true" outlineLevel="0" collapsed="false">
      <c r="A609" s="32"/>
      <c r="B609" s="32"/>
      <c r="C609" s="32"/>
      <c r="D609" s="32"/>
      <c r="E609" s="32"/>
      <c r="F609" s="32"/>
      <c r="G609" s="32"/>
      <c r="H609" s="32"/>
      <c r="I609" s="32"/>
      <c r="J609" s="32"/>
    </row>
    <row r="610" customFormat="false" ht="15.75" hidden="false" customHeight="true" outlineLevel="0" collapsed="false">
      <c r="A610" s="32"/>
      <c r="B610" s="32"/>
      <c r="C610" s="32"/>
      <c r="D610" s="32"/>
      <c r="E610" s="32"/>
      <c r="F610" s="32"/>
      <c r="G610" s="32"/>
      <c r="H610" s="32"/>
      <c r="I610" s="32"/>
      <c r="J610" s="32"/>
    </row>
    <row r="611" customFormat="false" ht="15.75" hidden="false" customHeight="true" outlineLevel="0" collapsed="false">
      <c r="A611" s="32"/>
      <c r="B611" s="32"/>
      <c r="C611" s="32"/>
      <c r="D611" s="32"/>
      <c r="E611" s="32"/>
      <c r="F611" s="32"/>
      <c r="G611" s="32"/>
      <c r="H611" s="32"/>
      <c r="I611" s="32"/>
      <c r="J611" s="32"/>
    </row>
    <row r="612" customFormat="false" ht="15.75" hidden="false" customHeight="true" outlineLevel="0" collapsed="false">
      <c r="A612" s="32"/>
      <c r="B612" s="32"/>
      <c r="C612" s="32"/>
      <c r="D612" s="32"/>
      <c r="E612" s="32"/>
      <c r="F612" s="32"/>
      <c r="G612" s="32"/>
      <c r="H612" s="32"/>
      <c r="I612" s="32"/>
      <c r="J612" s="32"/>
    </row>
    <row r="613" customFormat="false" ht="15.75" hidden="false" customHeight="true" outlineLevel="0" collapsed="false">
      <c r="A613" s="32"/>
      <c r="B613" s="32"/>
      <c r="C613" s="32"/>
      <c r="D613" s="32"/>
      <c r="E613" s="32"/>
      <c r="F613" s="32"/>
      <c r="G613" s="32"/>
      <c r="H613" s="32"/>
      <c r="I613" s="32"/>
      <c r="J613" s="32"/>
    </row>
    <row r="614" customFormat="false" ht="15.75" hidden="false" customHeight="true" outlineLevel="0" collapsed="false">
      <c r="A614" s="32"/>
      <c r="B614" s="32"/>
      <c r="C614" s="32"/>
      <c r="D614" s="32"/>
      <c r="E614" s="32"/>
      <c r="F614" s="32"/>
      <c r="G614" s="32"/>
      <c r="H614" s="32"/>
      <c r="I614" s="32"/>
      <c r="J614" s="32"/>
    </row>
    <row r="615" customFormat="false" ht="15.75" hidden="false" customHeight="true" outlineLevel="0" collapsed="false">
      <c r="A615" s="32"/>
      <c r="B615" s="32"/>
      <c r="C615" s="32"/>
      <c r="D615" s="32"/>
      <c r="E615" s="32"/>
      <c r="F615" s="32"/>
      <c r="G615" s="32"/>
      <c r="H615" s="32"/>
      <c r="I615" s="32"/>
      <c r="J615" s="32"/>
    </row>
    <row r="616" customFormat="false" ht="15.75" hidden="false" customHeight="true" outlineLevel="0" collapsed="false">
      <c r="A616" s="32"/>
      <c r="B616" s="32"/>
      <c r="C616" s="32"/>
      <c r="D616" s="32"/>
      <c r="E616" s="32"/>
      <c r="F616" s="32"/>
      <c r="G616" s="32"/>
      <c r="H616" s="32"/>
      <c r="I616" s="32"/>
      <c r="J616" s="32"/>
    </row>
    <row r="617" customFormat="false" ht="15.75" hidden="false" customHeight="true" outlineLevel="0" collapsed="false">
      <c r="A617" s="32"/>
      <c r="B617" s="32"/>
      <c r="C617" s="32"/>
      <c r="D617" s="32"/>
      <c r="E617" s="32"/>
      <c r="F617" s="32"/>
      <c r="G617" s="32"/>
      <c r="H617" s="32"/>
      <c r="I617" s="32"/>
      <c r="J617" s="32"/>
    </row>
    <row r="618" customFormat="false" ht="15.75" hidden="false" customHeight="true" outlineLevel="0" collapsed="false">
      <c r="A618" s="32"/>
      <c r="B618" s="32"/>
      <c r="C618" s="32"/>
      <c r="D618" s="32"/>
      <c r="E618" s="32"/>
      <c r="F618" s="32"/>
      <c r="G618" s="32"/>
      <c r="H618" s="32"/>
      <c r="I618" s="32"/>
      <c r="J618" s="32"/>
    </row>
    <row r="619" customFormat="false" ht="15.75" hidden="false" customHeight="true" outlineLevel="0" collapsed="false">
      <c r="A619" s="32"/>
      <c r="B619" s="32"/>
      <c r="C619" s="32"/>
      <c r="D619" s="32"/>
      <c r="E619" s="32"/>
      <c r="F619" s="32"/>
      <c r="G619" s="32"/>
      <c r="H619" s="32"/>
      <c r="I619" s="32"/>
      <c r="J619" s="32"/>
    </row>
    <row r="620" customFormat="false" ht="15.75" hidden="false" customHeight="true" outlineLevel="0" collapsed="false">
      <c r="A620" s="32"/>
      <c r="B620" s="32"/>
      <c r="C620" s="32"/>
      <c r="D620" s="32"/>
      <c r="E620" s="32"/>
      <c r="F620" s="32"/>
      <c r="G620" s="32"/>
      <c r="H620" s="32"/>
      <c r="I620" s="32"/>
      <c r="J620" s="32"/>
    </row>
    <row r="621" customFormat="false" ht="15.75" hidden="false" customHeight="true" outlineLevel="0" collapsed="false">
      <c r="A621" s="32"/>
      <c r="B621" s="32"/>
      <c r="C621" s="32"/>
      <c r="D621" s="32"/>
      <c r="E621" s="32"/>
      <c r="F621" s="32"/>
      <c r="G621" s="32"/>
      <c r="H621" s="32"/>
      <c r="I621" s="32"/>
      <c r="J621" s="32"/>
    </row>
    <row r="622" customFormat="false" ht="15.75" hidden="false" customHeight="true" outlineLevel="0" collapsed="false">
      <c r="A622" s="32"/>
      <c r="B622" s="32"/>
      <c r="C622" s="32"/>
      <c r="D622" s="32"/>
      <c r="E622" s="32"/>
      <c r="F622" s="32"/>
      <c r="G622" s="32"/>
      <c r="H622" s="32"/>
      <c r="I622" s="32"/>
      <c r="J622" s="32"/>
    </row>
    <row r="623" customFormat="false" ht="15.75" hidden="false" customHeight="true" outlineLevel="0" collapsed="false">
      <c r="A623" s="32"/>
      <c r="B623" s="32"/>
      <c r="C623" s="32"/>
      <c r="D623" s="32"/>
      <c r="E623" s="32"/>
      <c r="F623" s="32"/>
      <c r="G623" s="32"/>
      <c r="H623" s="32"/>
      <c r="I623" s="32"/>
      <c r="J623" s="32"/>
    </row>
    <row r="624" customFormat="false" ht="15.75" hidden="false" customHeight="true" outlineLevel="0" collapsed="false">
      <c r="A624" s="32"/>
      <c r="B624" s="32"/>
      <c r="C624" s="32"/>
      <c r="D624" s="32"/>
      <c r="E624" s="32"/>
      <c r="F624" s="32"/>
      <c r="G624" s="32"/>
      <c r="H624" s="32"/>
      <c r="I624" s="32"/>
      <c r="J624" s="32"/>
    </row>
    <row r="625" customFormat="false" ht="15.75" hidden="false" customHeight="true" outlineLevel="0" collapsed="false">
      <c r="A625" s="32"/>
      <c r="B625" s="32"/>
      <c r="C625" s="32"/>
      <c r="D625" s="32"/>
      <c r="E625" s="32"/>
      <c r="F625" s="32"/>
      <c r="G625" s="32"/>
      <c r="H625" s="32"/>
      <c r="I625" s="32"/>
      <c r="J625" s="32"/>
    </row>
    <row r="626" customFormat="false" ht="15.75" hidden="false" customHeight="true" outlineLevel="0" collapsed="false">
      <c r="A626" s="32"/>
      <c r="B626" s="32"/>
      <c r="C626" s="32"/>
      <c r="D626" s="32"/>
      <c r="E626" s="32"/>
      <c r="F626" s="32"/>
      <c r="G626" s="32"/>
      <c r="H626" s="32"/>
      <c r="I626" s="32"/>
      <c r="J626" s="32"/>
    </row>
    <row r="627" customFormat="false" ht="15.75" hidden="false" customHeight="true" outlineLevel="0" collapsed="false">
      <c r="A627" s="32"/>
      <c r="B627" s="32"/>
      <c r="C627" s="32"/>
      <c r="D627" s="32"/>
      <c r="E627" s="32"/>
      <c r="F627" s="32"/>
      <c r="G627" s="32"/>
      <c r="H627" s="32"/>
      <c r="I627" s="32"/>
      <c r="J627" s="32"/>
    </row>
    <row r="628" customFormat="false" ht="15.75" hidden="false" customHeight="true" outlineLevel="0" collapsed="false">
      <c r="A628" s="32"/>
      <c r="B628" s="32"/>
      <c r="C628" s="32"/>
      <c r="D628" s="32"/>
      <c r="E628" s="32"/>
      <c r="F628" s="32"/>
      <c r="G628" s="32"/>
      <c r="H628" s="32"/>
      <c r="I628" s="32"/>
      <c r="J628" s="32"/>
    </row>
    <row r="629" customFormat="false" ht="15.75" hidden="false" customHeight="true" outlineLevel="0" collapsed="false">
      <c r="A629" s="32"/>
      <c r="B629" s="32"/>
      <c r="C629" s="32"/>
      <c r="D629" s="32"/>
      <c r="E629" s="32"/>
      <c r="F629" s="32"/>
      <c r="G629" s="32"/>
      <c r="H629" s="32"/>
      <c r="I629" s="32"/>
      <c r="J629" s="32"/>
    </row>
    <row r="630" customFormat="false" ht="15.75" hidden="false" customHeight="true" outlineLevel="0" collapsed="false">
      <c r="A630" s="32"/>
      <c r="B630" s="32"/>
      <c r="C630" s="32"/>
      <c r="D630" s="32"/>
      <c r="E630" s="32"/>
      <c r="F630" s="32"/>
      <c r="G630" s="32"/>
      <c r="H630" s="32"/>
      <c r="I630" s="32"/>
      <c r="J630" s="32"/>
    </row>
    <row r="631" customFormat="false" ht="15.75" hidden="false" customHeight="true" outlineLevel="0" collapsed="false">
      <c r="A631" s="32"/>
      <c r="B631" s="32"/>
      <c r="C631" s="32"/>
      <c r="D631" s="32"/>
      <c r="E631" s="32"/>
      <c r="F631" s="32"/>
      <c r="G631" s="32"/>
      <c r="H631" s="32"/>
      <c r="I631" s="32"/>
      <c r="J631" s="32"/>
    </row>
    <row r="632" customFormat="false" ht="15.75" hidden="false" customHeight="true" outlineLevel="0" collapsed="false">
      <c r="A632" s="32"/>
      <c r="B632" s="32"/>
      <c r="C632" s="32"/>
      <c r="D632" s="32"/>
      <c r="E632" s="32"/>
      <c r="F632" s="32"/>
      <c r="G632" s="32"/>
      <c r="H632" s="32"/>
      <c r="I632" s="32"/>
      <c r="J632" s="32"/>
    </row>
    <row r="633" customFormat="false" ht="15.75" hidden="false" customHeight="true" outlineLevel="0" collapsed="false">
      <c r="A633" s="32"/>
      <c r="B633" s="32"/>
      <c r="C633" s="32"/>
      <c r="D633" s="32"/>
      <c r="E633" s="32"/>
      <c r="F633" s="32"/>
      <c r="G633" s="32"/>
      <c r="H633" s="32"/>
      <c r="I633" s="32"/>
      <c r="J633" s="32"/>
    </row>
    <row r="634" customFormat="false" ht="15.75" hidden="false" customHeight="true" outlineLevel="0" collapsed="false">
      <c r="A634" s="32"/>
      <c r="B634" s="32"/>
      <c r="C634" s="32"/>
      <c r="D634" s="32"/>
      <c r="E634" s="32"/>
      <c r="F634" s="32"/>
      <c r="G634" s="32"/>
      <c r="H634" s="32"/>
      <c r="I634" s="32"/>
      <c r="J634" s="32"/>
    </row>
    <row r="635" customFormat="false" ht="15.75" hidden="false" customHeight="true" outlineLevel="0" collapsed="false">
      <c r="A635" s="32"/>
      <c r="B635" s="32"/>
      <c r="C635" s="32"/>
      <c r="D635" s="32"/>
      <c r="E635" s="32"/>
      <c r="F635" s="32"/>
      <c r="G635" s="32"/>
      <c r="H635" s="32"/>
      <c r="I635" s="32"/>
      <c r="J635" s="32"/>
    </row>
    <row r="636" customFormat="false" ht="15.75" hidden="false" customHeight="true" outlineLevel="0" collapsed="false">
      <c r="A636" s="32"/>
      <c r="B636" s="32"/>
      <c r="C636" s="32"/>
      <c r="D636" s="32"/>
      <c r="E636" s="32"/>
      <c r="F636" s="32"/>
      <c r="G636" s="32"/>
      <c r="H636" s="32"/>
      <c r="I636" s="32"/>
      <c r="J636" s="32"/>
    </row>
    <row r="637" customFormat="false" ht="15.75" hidden="false" customHeight="true" outlineLevel="0" collapsed="false">
      <c r="A637" s="32"/>
      <c r="B637" s="32"/>
      <c r="C637" s="32"/>
      <c r="D637" s="32"/>
      <c r="E637" s="32"/>
      <c r="F637" s="32"/>
      <c r="G637" s="32"/>
      <c r="H637" s="32"/>
      <c r="I637" s="32"/>
      <c r="J637" s="32"/>
    </row>
    <row r="638" customFormat="false" ht="15.75" hidden="false" customHeight="true" outlineLevel="0" collapsed="false">
      <c r="A638" s="32"/>
      <c r="B638" s="32"/>
      <c r="C638" s="32"/>
      <c r="D638" s="32"/>
      <c r="E638" s="32"/>
      <c r="F638" s="32"/>
      <c r="G638" s="32"/>
      <c r="H638" s="32"/>
      <c r="I638" s="32"/>
      <c r="J638" s="32"/>
    </row>
    <row r="639" customFormat="false" ht="15.75" hidden="false" customHeight="true" outlineLevel="0" collapsed="false">
      <c r="A639" s="32"/>
      <c r="B639" s="32"/>
      <c r="C639" s="32"/>
      <c r="D639" s="32"/>
      <c r="E639" s="32"/>
      <c r="F639" s="32"/>
      <c r="G639" s="32"/>
      <c r="H639" s="32"/>
      <c r="I639" s="32"/>
      <c r="J639" s="32"/>
    </row>
    <row r="640" customFormat="false" ht="15.75" hidden="false" customHeight="true" outlineLevel="0" collapsed="false">
      <c r="A640" s="32"/>
      <c r="B640" s="32"/>
      <c r="C640" s="32"/>
      <c r="D640" s="32"/>
      <c r="E640" s="32"/>
      <c r="F640" s="32"/>
      <c r="G640" s="32"/>
      <c r="H640" s="32"/>
      <c r="I640" s="32"/>
      <c r="J640" s="32"/>
    </row>
    <row r="641" customFormat="false" ht="15.75" hidden="false" customHeight="true" outlineLevel="0" collapsed="false">
      <c r="A641" s="32"/>
      <c r="B641" s="32"/>
      <c r="C641" s="32"/>
      <c r="D641" s="32"/>
      <c r="E641" s="32"/>
      <c r="F641" s="32"/>
      <c r="G641" s="32"/>
      <c r="H641" s="32"/>
      <c r="I641" s="32"/>
      <c r="J641" s="32"/>
    </row>
    <row r="642" customFormat="false" ht="15.75" hidden="false" customHeight="true" outlineLevel="0" collapsed="false">
      <c r="A642" s="32"/>
      <c r="B642" s="32"/>
      <c r="C642" s="32"/>
      <c r="D642" s="32"/>
      <c r="E642" s="32"/>
      <c r="F642" s="32"/>
      <c r="G642" s="32"/>
      <c r="H642" s="32"/>
      <c r="I642" s="32"/>
      <c r="J642" s="32"/>
    </row>
    <row r="643" customFormat="false" ht="15.75" hidden="false" customHeight="true" outlineLevel="0" collapsed="false">
      <c r="A643" s="32"/>
      <c r="B643" s="32"/>
      <c r="C643" s="32"/>
      <c r="D643" s="32"/>
      <c r="E643" s="32"/>
      <c r="F643" s="32"/>
      <c r="G643" s="32"/>
      <c r="H643" s="32"/>
      <c r="I643" s="32"/>
      <c r="J643" s="32"/>
    </row>
    <row r="644" customFormat="false" ht="15.75" hidden="false" customHeight="true" outlineLevel="0" collapsed="false">
      <c r="A644" s="32"/>
      <c r="B644" s="32"/>
      <c r="C644" s="32"/>
      <c r="D644" s="32"/>
      <c r="E644" s="32"/>
      <c r="F644" s="32"/>
      <c r="G644" s="32"/>
      <c r="H644" s="32"/>
      <c r="I644" s="32"/>
      <c r="J644" s="32"/>
    </row>
    <row r="645" customFormat="false" ht="15.75" hidden="false" customHeight="true" outlineLevel="0" collapsed="false">
      <c r="A645" s="32"/>
      <c r="B645" s="32"/>
      <c r="C645" s="32"/>
      <c r="D645" s="32"/>
      <c r="E645" s="32"/>
      <c r="F645" s="32"/>
      <c r="G645" s="32"/>
      <c r="H645" s="32"/>
      <c r="I645" s="32"/>
      <c r="J645" s="32"/>
    </row>
    <row r="646" customFormat="false" ht="15.75" hidden="false" customHeight="true" outlineLevel="0" collapsed="false">
      <c r="A646" s="32"/>
      <c r="B646" s="32"/>
      <c r="C646" s="32"/>
      <c r="D646" s="32"/>
      <c r="E646" s="32"/>
      <c r="F646" s="32"/>
      <c r="G646" s="32"/>
      <c r="H646" s="32"/>
      <c r="I646" s="32"/>
      <c r="J646" s="32"/>
    </row>
    <row r="647" customFormat="false" ht="15.75" hidden="false" customHeight="true" outlineLevel="0" collapsed="false">
      <c r="A647" s="32"/>
      <c r="B647" s="32"/>
      <c r="C647" s="32"/>
      <c r="D647" s="32"/>
      <c r="E647" s="32"/>
      <c r="F647" s="32"/>
      <c r="G647" s="32"/>
      <c r="H647" s="32"/>
      <c r="I647" s="32"/>
      <c r="J647" s="32"/>
    </row>
    <row r="648" customFormat="false" ht="15.75" hidden="false" customHeight="true" outlineLevel="0" collapsed="false">
      <c r="A648" s="32"/>
      <c r="B648" s="32"/>
      <c r="C648" s="32"/>
      <c r="D648" s="32"/>
      <c r="E648" s="32"/>
      <c r="F648" s="32"/>
      <c r="G648" s="32"/>
      <c r="H648" s="32"/>
      <c r="I648" s="32"/>
      <c r="J648" s="32"/>
    </row>
    <row r="649" customFormat="false" ht="15.75" hidden="false" customHeight="true" outlineLevel="0" collapsed="false">
      <c r="A649" s="32"/>
      <c r="B649" s="32"/>
      <c r="C649" s="32"/>
      <c r="D649" s="32"/>
      <c r="E649" s="32"/>
      <c r="F649" s="32"/>
      <c r="G649" s="32"/>
      <c r="H649" s="32"/>
      <c r="I649" s="32"/>
      <c r="J649" s="32"/>
    </row>
    <row r="650" customFormat="false" ht="15.75" hidden="false" customHeight="true" outlineLevel="0" collapsed="false">
      <c r="A650" s="32"/>
      <c r="B650" s="32"/>
      <c r="C650" s="32"/>
      <c r="D650" s="32"/>
      <c r="E650" s="32"/>
      <c r="F650" s="32"/>
      <c r="G650" s="32"/>
      <c r="H650" s="32"/>
      <c r="I650" s="32"/>
      <c r="J650" s="32"/>
    </row>
    <row r="651" customFormat="false" ht="15.75" hidden="false" customHeight="true" outlineLevel="0" collapsed="false">
      <c r="A651" s="32"/>
      <c r="B651" s="32"/>
      <c r="C651" s="32"/>
      <c r="D651" s="32"/>
      <c r="E651" s="32"/>
      <c r="F651" s="32"/>
      <c r="G651" s="32"/>
      <c r="H651" s="32"/>
      <c r="I651" s="32"/>
      <c r="J651" s="32"/>
    </row>
    <row r="652" customFormat="false" ht="15.75" hidden="false" customHeight="true" outlineLevel="0" collapsed="false">
      <c r="A652" s="32"/>
      <c r="B652" s="32"/>
      <c r="C652" s="32"/>
      <c r="D652" s="32"/>
      <c r="E652" s="32"/>
      <c r="F652" s="32"/>
      <c r="G652" s="32"/>
      <c r="H652" s="32"/>
      <c r="I652" s="32"/>
      <c r="J652" s="32"/>
    </row>
    <row r="653" customFormat="false" ht="15.75" hidden="false" customHeight="true" outlineLevel="0" collapsed="false">
      <c r="A653" s="32"/>
      <c r="B653" s="32"/>
      <c r="C653" s="32"/>
      <c r="D653" s="32"/>
      <c r="E653" s="32"/>
      <c r="F653" s="32"/>
      <c r="G653" s="32"/>
      <c r="H653" s="32"/>
      <c r="I653" s="32"/>
      <c r="J653" s="32"/>
    </row>
    <row r="654" customFormat="false" ht="15.75" hidden="false" customHeight="true" outlineLevel="0" collapsed="false">
      <c r="A654" s="32"/>
      <c r="B654" s="32"/>
      <c r="C654" s="32"/>
      <c r="D654" s="32"/>
      <c r="E654" s="32"/>
      <c r="F654" s="32"/>
      <c r="G654" s="32"/>
      <c r="H654" s="32"/>
      <c r="I654" s="32"/>
      <c r="J654" s="32"/>
    </row>
    <row r="655" customFormat="false" ht="15.75" hidden="false" customHeight="true" outlineLevel="0" collapsed="false">
      <c r="A655" s="32"/>
      <c r="B655" s="32"/>
      <c r="C655" s="32"/>
      <c r="D655" s="32"/>
      <c r="E655" s="32"/>
      <c r="F655" s="32"/>
      <c r="G655" s="32"/>
      <c r="H655" s="32"/>
      <c r="I655" s="32"/>
      <c r="J655" s="32"/>
    </row>
    <row r="656" customFormat="false" ht="15.75" hidden="false" customHeight="true" outlineLevel="0" collapsed="false">
      <c r="A656" s="32"/>
      <c r="B656" s="32"/>
      <c r="C656" s="32"/>
      <c r="D656" s="32"/>
      <c r="E656" s="32"/>
      <c r="F656" s="32"/>
      <c r="G656" s="32"/>
      <c r="H656" s="32"/>
      <c r="I656" s="32"/>
      <c r="J656" s="32"/>
    </row>
    <row r="657" customFormat="false" ht="15.75" hidden="false" customHeight="true" outlineLevel="0" collapsed="false">
      <c r="A657" s="32"/>
      <c r="B657" s="32"/>
      <c r="C657" s="32"/>
      <c r="D657" s="32"/>
      <c r="E657" s="32"/>
      <c r="F657" s="32"/>
      <c r="G657" s="32"/>
      <c r="H657" s="32"/>
      <c r="I657" s="32"/>
      <c r="J657" s="32"/>
    </row>
    <row r="658" customFormat="false" ht="15.75" hidden="false" customHeight="true" outlineLevel="0" collapsed="false">
      <c r="A658" s="32"/>
      <c r="B658" s="32"/>
      <c r="C658" s="32"/>
      <c r="D658" s="32"/>
      <c r="E658" s="32"/>
      <c r="F658" s="32"/>
      <c r="G658" s="32"/>
      <c r="H658" s="32"/>
      <c r="I658" s="32"/>
      <c r="J658" s="32"/>
    </row>
    <row r="659" customFormat="false" ht="15.75" hidden="false" customHeight="true" outlineLevel="0" collapsed="false">
      <c r="A659" s="32"/>
      <c r="B659" s="32"/>
      <c r="C659" s="32"/>
      <c r="D659" s="32"/>
      <c r="E659" s="32"/>
      <c r="F659" s="32"/>
      <c r="G659" s="32"/>
      <c r="H659" s="32"/>
      <c r="I659" s="32"/>
      <c r="J659" s="32"/>
    </row>
    <row r="660" customFormat="false" ht="15.75" hidden="false" customHeight="true" outlineLevel="0" collapsed="false">
      <c r="A660" s="32"/>
      <c r="B660" s="32"/>
      <c r="C660" s="32"/>
      <c r="D660" s="32"/>
      <c r="E660" s="32"/>
      <c r="F660" s="32"/>
      <c r="G660" s="32"/>
      <c r="H660" s="32"/>
      <c r="I660" s="32"/>
      <c r="J660" s="32"/>
    </row>
    <row r="661" customFormat="false" ht="15.75" hidden="false" customHeight="true" outlineLevel="0" collapsed="false">
      <c r="A661" s="32"/>
      <c r="B661" s="32"/>
      <c r="C661" s="32"/>
      <c r="D661" s="32"/>
      <c r="E661" s="32"/>
      <c r="F661" s="32"/>
      <c r="G661" s="32"/>
      <c r="H661" s="32"/>
      <c r="I661" s="32"/>
      <c r="J661" s="32"/>
    </row>
    <row r="662" customFormat="false" ht="15.75" hidden="false" customHeight="true" outlineLevel="0" collapsed="false">
      <c r="A662" s="32"/>
      <c r="B662" s="32"/>
      <c r="C662" s="32"/>
      <c r="D662" s="32"/>
      <c r="E662" s="32"/>
      <c r="F662" s="32"/>
      <c r="G662" s="32"/>
      <c r="H662" s="32"/>
      <c r="I662" s="32"/>
      <c r="J662" s="32"/>
    </row>
    <row r="663" customFormat="false" ht="15.75" hidden="false" customHeight="true" outlineLevel="0" collapsed="false">
      <c r="A663" s="32"/>
      <c r="B663" s="32"/>
      <c r="C663" s="32"/>
      <c r="D663" s="32"/>
      <c r="E663" s="32"/>
      <c r="F663" s="32"/>
      <c r="G663" s="32"/>
      <c r="H663" s="32"/>
      <c r="I663" s="32"/>
      <c r="J663" s="32"/>
    </row>
    <row r="664" customFormat="false" ht="15.75" hidden="false" customHeight="true" outlineLevel="0" collapsed="false">
      <c r="A664" s="32"/>
      <c r="B664" s="32"/>
      <c r="C664" s="32"/>
      <c r="D664" s="32"/>
      <c r="E664" s="32"/>
      <c r="F664" s="32"/>
      <c r="G664" s="32"/>
      <c r="H664" s="32"/>
      <c r="I664" s="32"/>
      <c r="J664" s="32"/>
    </row>
    <row r="665" customFormat="false" ht="15.75" hidden="false" customHeight="true" outlineLevel="0" collapsed="false">
      <c r="A665" s="32"/>
      <c r="B665" s="32"/>
      <c r="C665" s="32"/>
      <c r="D665" s="32"/>
      <c r="E665" s="32"/>
      <c r="F665" s="32"/>
      <c r="G665" s="32"/>
      <c r="H665" s="32"/>
      <c r="I665" s="32"/>
      <c r="J665" s="32"/>
    </row>
    <row r="666" customFormat="false" ht="15.75" hidden="false" customHeight="true" outlineLevel="0" collapsed="false">
      <c r="A666" s="32"/>
      <c r="B666" s="32"/>
      <c r="C666" s="32"/>
      <c r="D666" s="32"/>
      <c r="E666" s="32"/>
      <c r="F666" s="32"/>
      <c r="G666" s="32"/>
      <c r="H666" s="32"/>
      <c r="I666" s="32"/>
      <c r="J666" s="32"/>
    </row>
    <row r="667" customFormat="false" ht="15.75" hidden="false" customHeight="true" outlineLevel="0" collapsed="false">
      <c r="A667" s="32"/>
      <c r="B667" s="32"/>
      <c r="C667" s="32"/>
      <c r="D667" s="32"/>
      <c r="E667" s="32"/>
      <c r="F667" s="32"/>
      <c r="G667" s="32"/>
      <c r="H667" s="32"/>
      <c r="I667" s="32"/>
      <c r="J667" s="32"/>
    </row>
    <row r="668" customFormat="false" ht="15.75" hidden="false" customHeight="true" outlineLevel="0" collapsed="false">
      <c r="A668" s="32"/>
      <c r="B668" s="32"/>
      <c r="C668" s="32"/>
      <c r="D668" s="32"/>
      <c r="E668" s="32"/>
      <c r="F668" s="32"/>
      <c r="G668" s="32"/>
      <c r="H668" s="32"/>
      <c r="I668" s="32"/>
      <c r="J668" s="32"/>
    </row>
    <row r="669" customFormat="false" ht="15.75" hidden="false" customHeight="true" outlineLevel="0" collapsed="false">
      <c r="A669" s="32"/>
      <c r="B669" s="32"/>
      <c r="C669" s="32"/>
      <c r="D669" s="32"/>
      <c r="E669" s="32"/>
      <c r="F669" s="32"/>
      <c r="G669" s="32"/>
      <c r="H669" s="32"/>
      <c r="I669" s="32"/>
      <c r="J669" s="32"/>
    </row>
    <row r="670" customFormat="false" ht="15.75" hidden="false" customHeight="true" outlineLevel="0" collapsed="false">
      <c r="A670" s="32"/>
      <c r="B670" s="32"/>
      <c r="C670" s="32"/>
      <c r="D670" s="32"/>
      <c r="E670" s="32"/>
      <c r="F670" s="32"/>
      <c r="G670" s="32"/>
      <c r="H670" s="32"/>
      <c r="I670" s="32"/>
      <c r="J670" s="32"/>
    </row>
    <row r="671" customFormat="false" ht="15.75" hidden="false" customHeight="true" outlineLevel="0" collapsed="false">
      <c r="A671" s="32"/>
      <c r="B671" s="32"/>
      <c r="C671" s="32"/>
      <c r="D671" s="32"/>
      <c r="E671" s="32"/>
      <c r="F671" s="32"/>
      <c r="G671" s="32"/>
      <c r="H671" s="32"/>
      <c r="I671" s="32"/>
      <c r="J671" s="32"/>
    </row>
    <row r="672" customFormat="false" ht="15.75" hidden="false" customHeight="true" outlineLevel="0" collapsed="false">
      <c r="A672" s="32"/>
      <c r="B672" s="32"/>
      <c r="C672" s="32"/>
      <c r="D672" s="32"/>
      <c r="E672" s="32"/>
      <c r="F672" s="32"/>
      <c r="G672" s="32"/>
      <c r="H672" s="32"/>
      <c r="I672" s="32"/>
      <c r="J672" s="32"/>
    </row>
    <row r="673" customFormat="false" ht="15.75" hidden="false" customHeight="true" outlineLevel="0" collapsed="false">
      <c r="A673" s="32"/>
      <c r="B673" s="32"/>
      <c r="C673" s="32"/>
      <c r="D673" s="32"/>
      <c r="E673" s="32"/>
      <c r="F673" s="32"/>
      <c r="G673" s="32"/>
      <c r="H673" s="32"/>
      <c r="I673" s="32"/>
      <c r="J673" s="32"/>
    </row>
    <row r="674" customFormat="false" ht="15.75" hidden="false" customHeight="true" outlineLevel="0" collapsed="false">
      <c r="A674" s="32"/>
      <c r="B674" s="32"/>
      <c r="C674" s="32"/>
      <c r="D674" s="32"/>
      <c r="E674" s="32"/>
      <c r="F674" s="32"/>
      <c r="G674" s="32"/>
      <c r="H674" s="32"/>
      <c r="I674" s="32"/>
      <c r="J674" s="32"/>
    </row>
    <row r="675" customFormat="false" ht="15.75" hidden="false" customHeight="true" outlineLevel="0" collapsed="false">
      <c r="A675" s="32"/>
      <c r="B675" s="32"/>
      <c r="C675" s="32"/>
      <c r="D675" s="32"/>
      <c r="E675" s="32"/>
      <c r="F675" s="32"/>
      <c r="G675" s="32"/>
      <c r="H675" s="32"/>
      <c r="I675" s="32"/>
      <c r="J675" s="32"/>
    </row>
    <row r="676" customFormat="false" ht="15.75" hidden="false" customHeight="true" outlineLevel="0" collapsed="false">
      <c r="A676" s="32"/>
      <c r="B676" s="32"/>
      <c r="C676" s="32"/>
      <c r="D676" s="32"/>
      <c r="E676" s="32"/>
      <c r="F676" s="32"/>
      <c r="G676" s="32"/>
      <c r="H676" s="32"/>
      <c r="I676" s="32"/>
      <c r="J676" s="32"/>
    </row>
    <row r="677" customFormat="false" ht="15.75" hidden="false" customHeight="true" outlineLevel="0" collapsed="false">
      <c r="A677" s="32"/>
      <c r="B677" s="32"/>
      <c r="C677" s="32"/>
      <c r="D677" s="32"/>
      <c r="E677" s="32"/>
      <c r="F677" s="32"/>
      <c r="G677" s="32"/>
      <c r="H677" s="32"/>
      <c r="I677" s="32"/>
      <c r="J677" s="32"/>
    </row>
    <row r="678" customFormat="false" ht="15.75" hidden="false" customHeight="true" outlineLevel="0" collapsed="false">
      <c r="A678" s="32"/>
      <c r="B678" s="32"/>
      <c r="C678" s="32"/>
      <c r="D678" s="32"/>
      <c r="E678" s="32"/>
      <c r="F678" s="32"/>
      <c r="G678" s="32"/>
      <c r="H678" s="32"/>
      <c r="I678" s="32"/>
      <c r="J678" s="32"/>
    </row>
    <row r="679" customFormat="false" ht="15.75" hidden="false" customHeight="true" outlineLevel="0" collapsed="false">
      <c r="A679" s="32"/>
      <c r="B679" s="32"/>
      <c r="C679" s="32"/>
      <c r="D679" s="32"/>
      <c r="E679" s="32"/>
      <c r="F679" s="32"/>
      <c r="G679" s="32"/>
      <c r="H679" s="32"/>
      <c r="I679" s="32"/>
      <c r="J679" s="32"/>
    </row>
    <row r="680" customFormat="false" ht="15.75" hidden="false" customHeight="true" outlineLevel="0" collapsed="false">
      <c r="A680" s="32"/>
      <c r="B680" s="32"/>
      <c r="C680" s="32"/>
      <c r="D680" s="32"/>
      <c r="E680" s="32"/>
      <c r="F680" s="32"/>
      <c r="G680" s="32"/>
      <c r="H680" s="32"/>
      <c r="I680" s="32"/>
      <c r="J680" s="32"/>
    </row>
    <row r="681" customFormat="false" ht="15.75" hidden="false" customHeight="true" outlineLevel="0" collapsed="false">
      <c r="A681" s="32"/>
      <c r="B681" s="32"/>
      <c r="C681" s="32"/>
      <c r="D681" s="32"/>
      <c r="E681" s="32"/>
      <c r="F681" s="32"/>
      <c r="G681" s="32"/>
      <c r="H681" s="32"/>
      <c r="I681" s="32"/>
      <c r="J681" s="32"/>
    </row>
    <row r="682" customFormat="false" ht="15.75" hidden="false" customHeight="true" outlineLevel="0" collapsed="false">
      <c r="A682" s="32"/>
      <c r="B682" s="32"/>
      <c r="C682" s="32"/>
      <c r="D682" s="32"/>
      <c r="E682" s="32"/>
      <c r="F682" s="32"/>
      <c r="G682" s="32"/>
      <c r="H682" s="32"/>
      <c r="I682" s="32"/>
      <c r="J682" s="32"/>
    </row>
    <row r="683" customFormat="false" ht="15.75" hidden="false" customHeight="true" outlineLevel="0" collapsed="false">
      <c r="A683" s="32"/>
      <c r="B683" s="32"/>
      <c r="C683" s="32"/>
      <c r="D683" s="32"/>
      <c r="E683" s="32"/>
      <c r="F683" s="32"/>
      <c r="G683" s="32"/>
      <c r="H683" s="32"/>
      <c r="I683" s="32"/>
      <c r="J683" s="32"/>
    </row>
    <row r="684" customFormat="false" ht="15.75" hidden="false" customHeight="true" outlineLevel="0" collapsed="false">
      <c r="A684" s="32"/>
      <c r="B684" s="32"/>
      <c r="C684" s="32"/>
      <c r="D684" s="32"/>
      <c r="E684" s="32"/>
      <c r="F684" s="32"/>
      <c r="G684" s="32"/>
      <c r="H684" s="32"/>
      <c r="I684" s="32"/>
      <c r="J684" s="32"/>
    </row>
    <row r="685" customFormat="false" ht="15.75" hidden="false" customHeight="true" outlineLevel="0" collapsed="false">
      <c r="A685" s="32"/>
      <c r="B685" s="32"/>
      <c r="C685" s="32"/>
      <c r="D685" s="32"/>
      <c r="E685" s="32"/>
      <c r="F685" s="32"/>
      <c r="G685" s="32"/>
      <c r="H685" s="32"/>
      <c r="I685" s="32"/>
      <c r="J685" s="32"/>
    </row>
    <row r="686" customFormat="false" ht="15.75" hidden="false" customHeight="true" outlineLevel="0" collapsed="false">
      <c r="A686" s="32"/>
      <c r="B686" s="32"/>
      <c r="C686" s="32"/>
      <c r="D686" s="32"/>
      <c r="E686" s="32"/>
      <c r="F686" s="32"/>
      <c r="G686" s="32"/>
      <c r="H686" s="32"/>
      <c r="I686" s="32"/>
      <c r="J686" s="32"/>
    </row>
    <row r="687" customFormat="false" ht="15.75" hidden="false" customHeight="true" outlineLevel="0" collapsed="false">
      <c r="A687" s="32"/>
      <c r="B687" s="32"/>
      <c r="C687" s="32"/>
      <c r="D687" s="32"/>
      <c r="E687" s="32"/>
      <c r="F687" s="32"/>
      <c r="G687" s="32"/>
      <c r="H687" s="32"/>
      <c r="I687" s="32"/>
      <c r="J687" s="32"/>
    </row>
    <row r="688" customFormat="false" ht="15.75" hidden="false" customHeight="true" outlineLevel="0" collapsed="false">
      <c r="A688" s="32"/>
      <c r="B688" s="32"/>
      <c r="C688" s="32"/>
      <c r="D688" s="32"/>
      <c r="E688" s="32"/>
      <c r="F688" s="32"/>
      <c r="G688" s="32"/>
      <c r="H688" s="32"/>
      <c r="I688" s="32"/>
      <c r="J688" s="32"/>
    </row>
    <row r="689" customFormat="false" ht="15.75" hidden="false" customHeight="true" outlineLevel="0" collapsed="false">
      <c r="A689" s="32"/>
      <c r="B689" s="32"/>
      <c r="C689" s="32"/>
      <c r="D689" s="32"/>
      <c r="E689" s="32"/>
      <c r="F689" s="32"/>
      <c r="G689" s="32"/>
      <c r="H689" s="32"/>
      <c r="I689" s="32"/>
      <c r="J689" s="32"/>
    </row>
    <row r="690" customFormat="false" ht="15.75" hidden="false" customHeight="true" outlineLevel="0" collapsed="false">
      <c r="A690" s="32"/>
      <c r="B690" s="32"/>
      <c r="C690" s="32"/>
      <c r="D690" s="32"/>
      <c r="E690" s="32"/>
      <c r="F690" s="32"/>
      <c r="G690" s="32"/>
      <c r="H690" s="32"/>
      <c r="I690" s="32"/>
      <c r="J690" s="32"/>
    </row>
    <row r="691" customFormat="false" ht="15.75" hidden="false" customHeight="true" outlineLevel="0" collapsed="false">
      <c r="A691" s="32"/>
      <c r="B691" s="32"/>
      <c r="C691" s="32"/>
      <c r="D691" s="32"/>
      <c r="E691" s="32"/>
      <c r="F691" s="32"/>
      <c r="G691" s="32"/>
      <c r="H691" s="32"/>
      <c r="I691" s="32"/>
      <c r="J691" s="32"/>
    </row>
    <row r="692" customFormat="false" ht="15.75" hidden="false" customHeight="true" outlineLevel="0" collapsed="false">
      <c r="A692" s="32"/>
      <c r="B692" s="32"/>
      <c r="C692" s="32"/>
      <c r="D692" s="32"/>
      <c r="E692" s="32"/>
      <c r="F692" s="32"/>
      <c r="G692" s="32"/>
      <c r="H692" s="32"/>
      <c r="I692" s="32"/>
      <c r="J692" s="32"/>
    </row>
    <row r="693" customFormat="false" ht="15.75" hidden="false" customHeight="true" outlineLevel="0" collapsed="false">
      <c r="A693" s="32"/>
      <c r="B693" s="32"/>
      <c r="C693" s="32"/>
      <c r="D693" s="32"/>
      <c r="E693" s="32"/>
      <c r="F693" s="32"/>
      <c r="G693" s="32"/>
      <c r="H693" s="32"/>
      <c r="I693" s="32"/>
      <c r="J693" s="32"/>
    </row>
    <row r="694" customFormat="false" ht="15.75" hidden="false" customHeight="true" outlineLevel="0" collapsed="false">
      <c r="A694" s="32"/>
      <c r="B694" s="32"/>
      <c r="C694" s="32"/>
      <c r="D694" s="32"/>
      <c r="E694" s="32"/>
      <c r="F694" s="32"/>
      <c r="G694" s="32"/>
      <c r="H694" s="32"/>
      <c r="I694" s="32"/>
      <c r="J694" s="32"/>
    </row>
    <row r="695" customFormat="false" ht="15.75" hidden="false" customHeight="true" outlineLevel="0" collapsed="false">
      <c r="A695" s="32"/>
      <c r="B695" s="32"/>
      <c r="C695" s="32"/>
      <c r="D695" s="32"/>
      <c r="E695" s="32"/>
      <c r="F695" s="32"/>
      <c r="G695" s="32"/>
      <c r="H695" s="32"/>
      <c r="I695" s="32"/>
      <c r="J695" s="32"/>
    </row>
    <row r="696" customFormat="false" ht="15.75" hidden="false" customHeight="true" outlineLevel="0" collapsed="false">
      <c r="A696" s="32"/>
      <c r="B696" s="32"/>
      <c r="C696" s="32"/>
      <c r="D696" s="32"/>
      <c r="E696" s="32"/>
      <c r="F696" s="32"/>
      <c r="G696" s="32"/>
      <c r="H696" s="32"/>
      <c r="I696" s="32"/>
      <c r="J696" s="32"/>
    </row>
    <row r="697" customFormat="false" ht="15.75" hidden="false" customHeight="true" outlineLevel="0" collapsed="false">
      <c r="A697" s="32"/>
      <c r="B697" s="32"/>
      <c r="C697" s="32"/>
      <c r="D697" s="32"/>
      <c r="E697" s="32"/>
      <c r="F697" s="32"/>
      <c r="G697" s="32"/>
      <c r="H697" s="32"/>
      <c r="I697" s="32"/>
      <c r="J697" s="32"/>
    </row>
    <row r="698" customFormat="false" ht="15.75" hidden="false" customHeight="true" outlineLevel="0" collapsed="false">
      <c r="A698" s="32"/>
      <c r="B698" s="32"/>
      <c r="C698" s="32"/>
      <c r="D698" s="32"/>
      <c r="E698" s="32"/>
      <c r="F698" s="32"/>
      <c r="G698" s="32"/>
      <c r="H698" s="32"/>
      <c r="I698" s="32"/>
      <c r="J698" s="32"/>
    </row>
    <row r="699" customFormat="false" ht="15.75" hidden="false" customHeight="true" outlineLevel="0" collapsed="false">
      <c r="A699" s="32"/>
      <c r="B699" s="32"/>
      <c r="C699" s="32"/>
      <c r="D699" s="32"/>
      <c r="E699" s="32"/>
      <c r="F699" s="32"/>
      <c r="G699" s="32"/>
      <c r="H699" s="32"/>
      <c r="I699" s="32"/>
      <c r="J699" s="32"/>
    </row>
    <row r="700" customFormat="false" ht="15.75" hidden="false" customHeight="true" outlineLevel="0" collapsed="false">
      <c r="A700" s="32"/>
      <c r="B700" s="32"/>
      <c r="C700" s="32"/>
      <c r="D700" s="32"/>
      <c r="E700" s="32"/>
      <c r="F700" s="32"/>
      <c r="G700" s="32"/>
      <c r="H700" s="32"/>
      <c r="I700" s="32"/>
      <c r="J700" s="32"/>
    </row>
    <row r="701" customFormat="false" ht="15.75" hidden="false" customHeight="true" outlineLevel="0" collapsed="false">
      <c r="A701" s="32"/>
      <c r="B701" s="32"/>
      <c r="C701" s="32"/>
      <c r="D701" s="32"/>
      <c r="E701" s="32"/>
      <c r="F701" s="32"/>
      <c r="G701" s="32"/>
      <c r="H701" s="32"/>
      <c r="I701" s="32"/>
      <c r="J701" s="32"/>
    </row>
    <row r="702" customFormat="false" ht="15.75" hidden="false" customHeight="true" outlineLevel="0" collapsed="false">
      <c r="A702" s="32"/>
      <c r="B702" s="32"/>
      <c r="C702" s="32"/>
      <c r="D702" s="32"/>
      <c r="E702" s="32"/>
      <c r="F702" s="32"/>
      <c r="G702" s="32"/>
      <c r="H702" s="32"/>
      <c r="I702" s="32"/>
      <c r="J702" s="32"/>
    </row>
    <row r="703" customFormat="false" ht="15.75" hidden="false" customHeight="true" outlineLevel="0" collapsed="false">
      <c r="A703" s="32"/>
      <c r="B703" s="32"/>
      <c r="C703" s="32"/>
      <c r="D703" s="32"/>
      <c r="E703" s="32"/>
      <c r="F703" s="32"/>
      <c r="G703" s="32"/>
      <c r="H703" s="32"/>
      <c r="I703" s="32"/>
      <c r="J703" s="32"/>
    </row>
    <row r="704" customFormat="false" ht="15.75" hidden="false" customHeight="true" outlineLevel="0" collapsed="false">
      <c r="A704" s="32"/>
      <c r="B704" s="32"/>
      <c r="C704" s="32"/>
      <c r="D704" s="32"/>
      <c r="E704" s="32"/>
      <c r="F704" s="32"/>
      <c r="G704" s="32"/>
      <c r="H704" s="32"/>
      <c r="I704" s="32"/>
      <c r="J704" s="32"/>
    </row>
    <row r="705" customFormat="false" ht="15.75" hidden="false" customHeight="true" outlineLevel="0" collapsed="false">
      <c r="A705" s="32"/>
      <c r="B705" s="32"/>
      <c r="C705" s="32"/>
      <c r="D705" s="32"/>
      <c r="E705" s="32"/>
      <c r="F705" s="32"/>
      <c r="G705" s="32"/>
      <c r="H705" s="32"/>
      <c r="I705" s="32"/>
      <c r="J705" s="32"/>
    </row>
    <row r="706" customFormat="false" ht="15.75" hidden="false" customHeight="true" outlineLevel="0" collapsed="false">
      <c r="A706" s="32"/>
      <c r="B706" s="32"/>
      <c r="C706" s="32"/>
      <c r="D706" s="32"/>
      <c r="E706" s="32"/>
      <c r="F706" s="32"/>
      <c r="G706" s="32"/>
      <c r="H706" s="32"/>
      <c r="I706" s="32"/>
      <c r="J706" s="32"/>
    </row>
    <row r="707" customFormat="false" ht="15.75" hidden="false" customHeight="true" outlineLevel="0" collapsed="false">
      <c r="A707" s="32"/>
      <c r="B707" s="32"/>
      <c r="C707" s="32"/>
      <c r="D707" s="32"/>
      <c r="E707" s="32"/>
      <c r="F707" s="32"/>
      <c r="G707" s="32"/>
      <c r="H707" s="32"/>
      <c r="I707" s="32"/>
      <c r="J707" s="32"/>
    </row>
    <row r="708" customFormat="false" ht="15.75" hidden="false" customHeight="true" outlineLevel="0" collapsed="false">
      <c r="A708" s="32"/>
      <c r="B708" s="32"/>
      <c r="C708" s="32"/>
      <c r="D708" s="32"/>
      <c r="E708" s="32"/>
      <c r="F708" s="32"/>
      <c r="G708" s="32"/>
      <c r="H708" s="32"/>
      <c r="I708" s="32"/>
      <c r="J708" s="32"/>
    </row>
    <row r="709" customFormat="false" ht="15.75" hidden="false" customHeight="true" outlineLevel="0" collapsed="false">
      <c r="A709" s="32"/>
      <c r="B709" s="32"/>
      <c r="C709" s="32"/>
      <c r="D709" s="32"/>
      <c r="E709" s="32"/>
      <c r="F709" s="32"/>
      <c r="G709" s="32"/>
      <c r="H709" s="32"/>
      <c r="I709" s="32"/>
      <c r="J709" s="32"/>
    </row>
    <row r="710" customFormat="false" ht="15.75" hidden="false" customHeight="true" outlineLevel="0" collapsed="false">
      <c r="A710" s="32"/>
      <c r="B710" s="32"/>
      <c r="C710" s="32"/>
      <c r="D710" s="32"/>
      <c r="E710" s="32"/>
      <c r="F710" s="32"/>
      <c r="G710" s="32"/>
      <c r="H710" s="32"/>
      <c r="I710" s="32"/>
      <c r="J710" s="32"/>
    </row>
    <row r="711" customFormat="false" ht="15.75" hidden="false" customHeight="true" outlineLevel="0" collapsed="false">
      <c r="A711" s="32"/>
      <c r="B711" s="32"/>
      <c r="C711" s="32"/>
      <c r="D711" s="32"/>
      <c r="E711" s="32"/>
      <c r="F711" s="32"/>
      <c r="G711" s="32"/>
      <c r="H711" s="32"/>
      <c r="I711" s="32"/>
      <c r="J711" s="32"/>
    </row>
    <row r="712" customFormat="false" ht="15.75" hidden="false" customHeight="true" outlineLevel="0" collapsed="false">
      <c r="A712" s="32"/>
      <c r="B712" s="32"/>
      <c r="C712" s="32"/>
      <c r="D712" s="32"/>
      <c r="E712" s="32"/>
      <c r="F712" s="32"/>
      <c r="G712" s="32"/>
      <c r="H712" s="32"/>
      <c r="I712" s="32"/>
      <c r="J712" s="32"/>
    </row>
    <row r="713" customFormat="false" ht="15.75" hidden="false" customHeight="true" outlineLevel="0" collapsed="false">
      <c r="A713" s="32"/>
      <c r="B713" s="32"/>
      <c r="C713" s="32"/>
      <c r="D713" s="32"/>
      <c r="E713" s="32"/>
      <c r="F713" s="32"/>
      <c r="G713" s="32"/>
      <c r="H713" s="32"/>
      <c r="I713" s="32"/>
      <c r="J713" s="32"/>
    </row>
    <row r="714" customFormat="false" ht="15.75" hidden="false" customHeight="true" outlineLevel="0" collapsed="false">
      <c r="A714" s="32"/>
      <c r="B714" s="32"/>
      <c r="C714" s="32"/>
      <c r="D714" s="32"/>
      <c r="E714" s="32"/>
      <c r="F714" s="32"/>
      <c r="G714" s="32"/>
      <c r="H714" s="32"/>
      <c r="I714" s="32"/>
      <c r="J714" s="32"/>
    </row>
    <row r="715" customFormat="false" ht="15.75" hidden="false" customHeight="true" outlineLevel="0" collapsed="false">
      <c r="A715" s="32"/>
      <c r="B715" s="32"/>
      <c r="C715" s="32"/>
      <c r="D715" s="32"/>
      <c r="E715" s="32"/>
      <c r="F715" s="32"/>
      <c r="G715" s="32"/>
      <c r="H715" s="32"/>
      <c r="I715" s="32"/>
      <c r="J715" s="32"/>
    </row>
    <row r="716" customFormat="false" ht="15.75" hidden="false" customHeight="true" outlineLevel="0" collapsed="false">
      <c r="A716" s="32"/>
      <c r="B716" s="32"/>
      <c r="C716" s="32"/>
      <c r="D716" s="32"/>
      <c r="E716" s="32"/>
      <c r="F716" s="32"/>
      <c r="G716" s="32"/>
      <c r="H716" s="32"/>
      <c r="I716" s="32"/>
      <c r="J716" s="32"/>
    </row>
    <row r="717" customFormat="false" ht="15.75" hidden="false" customHeight="true" outlineLevel="0" collapsed="false">
      <c r="A717" s="32"/>
      <c r="B717" s="32"/>
      <c r="C717" s="32"/>
      <c r="D717" s="32"/>
      <c r="E717" s="32"/>
      <c r="F717" s="32"/>
      <c r="G717" s="32"/>
      <c r="H717" s="32"/>
      <c r="I717" s="32"/>
      <c r="J717" s="32"/>
    </row>
    <row r="718" customFormat="false" ht="15.75" hidden="false" customHeight="true" outlineLevel="0" collapsed="false">
      <c r="A718" s="32"/>
      <c r="B718" s="32"/>
      <c r="C718" s="32"/>
      <c r="D718" s="32"/>
      <c r="E718" s="32"/>
      <c r="F718" s="32"/>
      <c r="G718" s="32"/>
      <c r="H718" s="32"/>
      <c r="I718" s="32"/>
      <c r="J718" s="32"/>
    </row>
    <row r="719" customFormat="false" ht="15.75" hidden="false" customHeight="true" outlineLevel="0" collapsed="false">
      <c r="A719" s="32"/>
      <c r="B719" s="32"/>
      <c r="C719" s="32"/>
      <c r="D719" s="32"/>
      <c r="E719" s="32"/>
      <c r="F719" s="32"/>
      <c r="G719" s="32"/>
      <c r="H719" s="32"/>
      <c r="I719" s="32"/>
      <c r="J719" s="32"/>
    </row>
    <row r="720" customFormat="false" ht="15.75" hidden="false" customHeight="true" outlineLevel="0" collapsed="false">
      <c r="A720" s="32"/>
      <c r="B720" s="32"/>
      <c r="C720" s="32"/>
      <c r="D720" s="32"/>
      <c r="E720" s="32"/>
      <c r="F720" s="32"/>
      <c r="G720" s="32"/>
      <c r="H720" s="32"/>
      <c r="I720" s="32"/>
      <c r="J720" s="32"/>
    </row>
    <row r="721" customFormat="false" ht="15.75" hidden="false" customHeight="true" outlineLevel="0" collapsed="false">
      <c r="A721" s="32"/>
      <c r="B721" s="32"/>
      <c r="C721" s="32"/>
      <c r="D721" s="32"/>
      <c r="E721" s="32"/>
      <c r="F721" s="32"/>
      <c r="G721" s="32"/>
      <c r="H721" s="32"/>
      <c r="I721" s="32"/>
      <c r="J721" s="32"/>
    </row>
    <row r="722" customFormat="false" ht="15.75" hidden="false" customHeight="true" outlineLevel="0" collapsed="false">
      <c r="A722" s="32"/>
      <c r="B722" s="32"/>
      <c r="C722" s="32"/>
      <c r="D722" s="32"/>
      <c r="E722" s="32"/>
      <c r="F722" s="32"/>
      <c r="G722" s="32"/>
      <c r="H722" s="32"/>
      <c r="I722" s="32"/>
      <c r="J722" s="32"/>
    </row>
    <row r="723" customFormat="false" ht="15.75" hidden="false" customHeight="true" outlineLevel="0" collapsed="false">
      <c r="A723" s="32"/>
      <c r="B723" s="32"/>
      <c r="C723" s="32"/>
      <c r="D723" s="32"/>
      <c r="E723" s="32"/>
      <c r="F723" s="32"/>
      <c r="G723" s="32"/>
      <c r="H723" s="32"/>
      <c r="I723" s="32"/>
      <c r="J723" s="32"/>
    </row>
    <row r="724" customFormat="false" ht="15.75" hidden="false" customHeight="true" outlineLevel="0" collapsed="false">
      <c r="A724" s="32"/>
      <c r="B724" s="32"/>
      <c r="C724" s="32"/>
      <c r="D724" s="32"/>
      <c r="E724" s="32"/>
      <c r="F724" s="32"/>
      <c r="G724" s="32"/>
      <c r="H724" s="32"/>
      <c r="I724" s="32"/>
      <c r="J724" s="32"/>
    </row>
    <row r="725" customFormat="false" ht="15.75" hidden="false" customHeight="true" outlineLevel="0" collapsed="false">
      <c r="A725" s="32"/>
      <c r="B725" s="32"/>
      <c r="C725" s="32"/>
      <c r="D725" s="32"/>
      <c r="E725" s="32"/>
      <c r="F725" s="32"/>
      <c r="G725" s="32"/>
      <c r="H725" s="32"/>
      <c r="I725" s="32"/>
      <c r="J725" s="32"/>
    </row>
    <row r="726" customFormat="false" ht="15.75" hidden="false" customHeight="true" outlineLevel="0" collapsed="false">
      <c r="A726" s="32"/>
      <c r="B726" s="32"/>
      <c r="C726" s="32"/>
      <c r="D726" s="32"/>
      <c r="E726" s="32"/>
      <c r="F726" s="32"/>
      <c r="G726" s="32"/>
      <c r="H726" s="32"/>
      <c r="I726" s="32"/>
      <c r="J726" s="32"/>
    </row>
    <row r="727" customFormat="false" ht="15.75" hidden="false" customHeight="true" outlineLevel="0" collapsed="false">
      <c r="A727" s="32"/>
      <c r="B727" s="32"/>
      <c r="C727" s="32"/>
      <c r="D727" s="32"/>
      <c r="E727" s="32"/>
      <c r="F727" s="32"/>
      <c r="G727" s="32"/>
      <c r="H727" s="32"/>
      <c r="I727" s="32"/>
      <c r="J727" s="32"/>
    </row>
    <row r="728" customFormat="false" ht="15.75" hidden="false" customHeight="true" outlineLevel="0" collapsed="false">
      <c r="A728" s="32"/>
      <c r="B728" s="32"/>
      <c r="C728" s="32"/>
      <c r="D728" s="32"/>
      <c r="E728" s="32"/>
      <c r="F728" s="32"/>
      <c r="G728" s="32"/>
      <c r="H728" s="32"/>
      <c r="I728" s="32"/>
      <c r="J728" s="32"/>
    </row>
    <row r="729" customFormat="false" ht="15.75" hidden="false" customHeight="true" outlineLevel="0" collapsed="false">
      <c r="A729" s="32"/>
      <c r="B729" s="32"/>
      <c r="C729" s="32"/>
      <c r="D729" s="32"/>
      <c r="E729" s="32"/>
      <c r="F729" s="32"/>
      <c r="G729" s="32"/>
      <c r="H729" s="32"/>
      <c r="I729" s="32"/>
      <c r="J729" s="32"/>
    </row>
    <row r="730" customFormat="false" ht="15.75" hidden="false" customHeight="true" outlineLevel="0" collapsed="false">
      <c r="A730" s="32"/>
      <c r="B730" s="32"/>
      <c r="C730" s="32"/>
      <c r="D730" s="32"/>
      <c r="E730" s="32"/>
      <c r="F730" s="32"/>
      <c r="G730" s="32"/>
      <c r="H730" s="32"/>
      <c r="I730" s="32"/>
      <c r="J730" s="32"/>
    </row>
    <row r="731" customFormat="false" ht="15.75" hidden="false" customHeight="true" outlineLevel="0" collapsed="false">
      <c r="A731" s="32"/>
      <c r="B731" s="32"/>
      <c r="C731" s="32"/>
      <c r="D731" s="32"/>
      <c r="E731" s="32"/>
      <c r="F731" s="32"/>
      <c r="G731" s="32"/>
      <c r="H731" s="32"/>
      <c r="I731" s="32"/>
      <c r="J731" s="32"/>
    </row>
    <row r="732" customFormat="false" ht="15.75" hidden="false" customHeight="true" outlineLevel="0" collapsed="false">
      <c r="A732" s="32"/>
      <c r="B732" s="32"/>
      <c r="C732" s="32"/>
      <c r="D732" s="32"/>
      <c r="E732" s="32"/>
      <c r="F732" s="32"/>
      <c r="G732" s="32"/>
      <c r="H732" s="32"/>
      <c r="I732" s="32"/>
      <c r="J732" s="32"/>
    </row>
    <row r="733" customFormat="false" ht="15.75" hidden="false" customHeight="true" outlineLevel="0" collapsed="false">
      <c r="A733" s="32"/>
      <c r="B733" s="32"/>
      <c r="C733" s="32"/>
      <c r="D733" s="32"/>
      <c r="E733" s="32"/>
      <c r="F733" s="32"/>
      <c r="G733" s="32"/>
      <c r="H733" s="32"/>
      <c r="I733" s="32"/>
      <c r="J733" s="32"/>
    </row>
    <row r="734" customFormat="false" ht="15.75" hidden="false" customHeight="true" outlineLevel="0" collapsed="false">
      <c r="A734" s="32"/>
      <c r="B734" s="32"/>
      <c r="C734" s="32"/>
      <c r="D734" s="32"/>
      <c r="E734" s="32"/>
      <c r="F734" s="32"/>
      <c r="G734" s="32"/>
      <c r="H734" s="32"/>
      <c r="I734" s="32"/>
      <c r="J734" s="32"/>
    </row>
    <row r="735" customFormat="false" ht="15.75" hidden="false" customHeight="true" outlineLevel="0" collapsed="false">
      <c r="A735" s="32"/>
      <c r="B735" s="32"/>
      <c r="C735" s="32"/>
      <c r="D735" s="32"/>
      <c r="E735" s="32"/>
      <c r="F735" s="32"/>
      <c r="G735" s="32"/>
      <c r="H735" s="32"/>
      <c r="I735" s="32"/>
      <c r="J735" s="32"/>
    </row>
    <row r="736" customFormat="false" ht="15.75" hidden="false" customHeight="true" outlineLevel="0" collapsed="false">
      <c r="A736" s="32"/>
      <c r="B736" s="32"/>
      <c r="C736" s="32"/>
      <c r="D736" s="32"/>
      <c r="E736" s="32"/>
      <c r="F736" s="32"/>
      <c r="G736" s="32"/>
      <c r="H736" s="32"/>
      <c r="I736" s="32"/>
      <c r="J736" s="32"/>
    </row>
    <row r="737" customFormat="false" ht="15.75" hidden="false" customHeight="true" outlineLevel="0" collapsed="false">
      <c r="A737" s="32"/>
      <c r="B737" s="32"/>
      <c r="C737" s="32"/>
      <c r="D737" s="32"/>
      <c r="E737" s="32"/>
      <c r="F737" s="32"/>
      <c r="G737" s="32"/>
      <c r="H737" s="32"/>
      <c r="I737" s="32"/>
      <c r="J737" s="32"/>
    </row>
    <row r="738" customFormat="false" ht="15.75" hidden="false" customHeight="true" outlineLevel="0" collapsed="false">
      <c r="A738" s="32"/>
      <c r="B738" s="32"/>
      <c r="C738" s="32"/>
      <c r="D738" s="32"/>
      <c r="E738" s="32"/>
      <c r="F738" s="32"/>
      <c r="G738" s="32"/>
      <c r="H738" s="32"/>
      <c r="I738" s="32"/>
      <c r="J738" s="32"/>
    </row>
    <row r="739" customFormat="false" ht="15.75" hidden="false" customHeight="true" outlineLevel="0" collapsed="false">
      <c r="A739" s="32"/>
      <c r="B739" s="32"/>
      <c r="C739" s="32"/>
      <c r="D739" s="32"/>
      <c r="E739" s="32"/>
      <c r="F739" s="32"/>
      <c r="G739" s="32"/>
      <c r="H739" s="32"/>
      <c r="I739" s="32"/>
      <c r="J739" s="32"/>
    </row>
    <row r="740" customFormat="false" ht="15.75" hidden="false" customHeight="true" outlineLevel="0" collapsed="false">
      <c r="A740" s="32"/>
      <c r="B740" s="32"/>
      <c r="C740" s="32"/>
      <c r="D740" s="32"/>
      <c r="E740" s="32"/>
      <c r="F740" s="32"/>
      <c r="G740" s="32"/>
      <c r="H740" s="32"/>
      <c r="I740" s="32"/>
      <c r="J740" s="32"/>
    </row>
    <row r="741" customFormat="false" ht="15.75" hidden="false" customHeight="true" outlineLevel="0" collapsed="false">
      <c r="A741" s="32"/>
      <c r="B741" s="32"/>
      <c r="C741" s="32"/>
      <c r="D741" s="32"/>
      <c r="E741" s="32"/>
      <c r="F741" s="32"/>
      <c r="G741" s="32"/>
      <c r="H741" s="32"/>
      <c r="I741" s="32"/>
      <c r="J741" s="32"/>
    </row>
    <row r="742" customFormat="false" ht="15.75" hidden="false" customHeight="true" outlineLevel="0" collapsed="false">
      <c r="A742" s="32"/>
      <c r="B742" s="32"/>
      <c r="C742" s="32"/>
      <c r="D742" s="32"/>
      <c r="E742" s="32"/>
      <c r="F742" s="32"/>
      <c r="G742" s="32"/>
      <c r="H742" s="32"/>
      <c r="I742" s="32"/>
      <c r="J742" s="32"/>
    </row>
    <row r="743" customFormat="false" ht="15.75" hidden="false" customHeight="true" outlineLevel="0" collapsed="false">
      <c r="A743" s="32"/>
      <c r="B743" s="32"/>
      <c r="C743" s="32"/>
      <c r="D743" s="32"/>
      <c r="E743" s="32"/>
      <c r="F743" s="32"/>
      <c r="G743" s="32"/>
      <c r="H743" s="32"/>
      <c r="I743" s="32"/>
      <c r="J743" s="32"/>
    </row>
    <row r="744" customFormat="false" ht="15.75" hidden="false" customHeight="true" outlineLevel="0" collapsed="false">
      <c r="A744" s="32"/>
      <c r="B744" s="32"/>
      <c r="C744" s="32"/>
      <c r="D744" s="32"/>
      <c r="E744" s="32"/>
      <c r="F744" s="32"/>
      <c r="G744" s="32"/>
      <c r="H744" s="32"/>
      <c r="I744" s="32"/>
      <c r="J744" s="32"/>
    </row>
    <row r="745" customFormat="false" ht="15.75" hidden="false" customHeight="true" outlineLevel="0" collapsed="false">
      <c r="A745" s="32"/>
      <c r="B745" s="32"/>
      <c r="C745" s="32"/>
      <c r="D745" s="32"/>
      <c r="E745" s="32"/>
      <c r="F745" s="32"/>
      <c r="G745" s="32"/>
      <c r="H745" s="32"/>
      <c r="I745" s="32"/>
      <c r="J745" s="32"/>
    </row>
    <row r="746" customFormat="false" ht="15.75" hidden="false" customHeight="true" outlineLevel="0" collapsed="false">
      <c r="A746" s="32"/>
      <c r="B746" s="32"/>
      <c r="C746" s="32"/>
      <c r="D746" s="32"/>
      <c r="E746" s="32"/>
      <c r="F746" s="32"/>
      <c r="G746" s="32"/>
      <c r="H746" s="32"/>
      <c r="I746" s="32"/>
      <c r="J746" s="32"/>
    </row>
    <row r="747" customFormat="false" ht="15.75" hidden="false" customHeight="true" outlineLevel="0" collapsed="false">
      <c r="A747" s="32"/>
      <c r="B747" s="32"/>
      <c r="C747" s="32"/>
      <c r="D747" s="32"/>
      <c r="E747" s="32"/>
      <c r="F747" s="32"/>
      <c r="G747" s="32"/>
      <c r="H747" s="32"/>
      <c r="I747" s="32"/>
      <c r="J747" s="32"/>
    </row>
    <row r="748" customFormat="false" ht="15.75" hidden="false" customHeight="true" outlineLevel="0" collapsed="false">
      <c r="A748" s="32"/>
      <c r="B748" s="32"/>
      <c r="C748" s="32"/>
      <c r="D748" s="32"/>
      <c r="E748" s="32"/>
      <c r="F748" s="32"/>
      <c r="G748" s="32"/>
      <c r="H748" s="32"/>
      <c r="I748" s="32"/>
      <c r="J748" s="32"/>
    </row>
    <row r="749" customFormat="false" ht="15.75" hidden="false" customHeight="true" outlineLevel="0" collapsed="false">
      <c r="A749" s="32"/>
      <c r="B749" s="32"/>
      <c r="C749" s="32"/>
      <c r="D749" s="32"/>
      <c r="E749" s="32"/>
      <c r="F749" s="32"/>
      <c r="G749" s="32"/>
      <c r="H749" s="32"/>
      <c r="I749" s="32"/>
      <c r="J749" s="32"/>
    </row>
    <row r="750" customFormat="false" ht="15.75" hidden="false" customHeight="true" outlineLevel="0" collapsed="false">
      <c r="A750" s="32"/>
      <c r="B750" s="32"/>
      <c r="C750" s="32"/>
      <c r="D750" s="32"/>
      <c r="E750" s="32"/>
      <c r="F750" s="32"/>
      <c r="G750" s="32"/>
      <c r="H750" s="32"/>
      <c r="I750" s="32"/>
      <c r="J750" s="32"/>
    </row>
    <row r="751" customFormat="false" ht="15.75" hidden="false" customHeight="true" outlineLevel="0" collapsed="false">
      <c r="A751" s="32"/>
      <c r="B751" s="32"/>
      <c r="C751" s="32"/>
      <c r="D751" s="32"/>
      <c r="E751" s="32"/>
      <c r="F751" s="32"/>
      <c r="G751" s="32"/>
      <c r="H751" s="32"/>
      <c r="I751" s="32"/>
      <c r="J751" s="32"/>
    </row>
    <row r="752" customFormat="false" ht="15.75" hidden="false" customHeight="true" outlineLevel="0" collapsed="false">
      <c r="A752" s="32"/>
      <c r="B752" s="32"/>
      <c r="C752" s="32"/>
      <c r="D752" s="32"/>
      <c r="E752" s="32"/>
      <c r="F752" s="32"/>
      <c r="G752" s="32"/>
      <c r="H752" s="32"/>
      <c r="I752" s="32"/>
      <c r="J752" s="32"/>
    </row>
    <row r="753" customFormat="false" ht="15.75" hidden="false" customHeight="true" outlineLevel="0" collapsed="false">
      <c r="A753" s="32"/>
      <c r="B753" s="32"/>
      <c r="C753" s="32"/>
      <c r="D753" s="32"/>
      <c r="E753" s="32"/>
      <c r="F753" s="32"/>
      <c r="G753" s="32"/>
      <c r="H753" s="32"/>
      <c r="I753" s="32"/>
      <c r="J753" s="32"/>
    </row>
    <row r="754" customFormat="false" ht="15.75" hidden="false" customHeight="true" outlineLevel="0" collapsed="false">
      <c r="A754" s="32"/>
      <c r="B754" s="32"/>
      <c r="C754" s="32"/>
      <c r="D754" s="32"/>
      <c r="E754" s="32"/>
      <c r="F754" s="32"/>
      <c r="G754" s="32"/>
      <c r="H754" s="32"/>
      <c r="I754" s="32"/>
      <c r="J754" s="32"/>
    </row>
    <row r="755" customFormat="false" ht="15.75" hidden="false" customHeight="true" outlineLevel="0" collapsed="false">
      <c r="A755" s="32"/>
      <c r="B755" s="32"/>
      <c r="C755" s="32"/>
      <c r="D755" s="32"/>
      <c r="E755" s="32"/>
      <c r="F755" s="32"/>
      <c r="G755" s="32"/>
      <c r="H755" s="32"/>
      <c r="I755" s="32"/>
      <c r="J755" s="32"/>
    </row>
    <row r="756" customFormat="false" ht="15.75" hidden="false" customHeight="true" outlineLevel="0" collapsed="false">
      <c r="A756" s="32"/>
      <c r="B756" s="32"/>
      <c r="C756" s="32"/>
      <c r="D756" s="32"/>
      <c r="E756" s="32"/>
      <c r="F756" s="32"/>
      <c r="G756" s="32"/>
      <c r="H756" s="32"/>
      <c r="I756" s="32"/>
      <c r="J756" s="32"/>
    </row>
    <row r="757" customFormat="false" ht="15.75" hidden="false" customHeight="true" outlineLevel="0" collapsed="false">
      <c r="A757" s="32"/>
      <c r="B757" s="32"/>
      <c r="C757" s="32"/>
      <c r="D757" s="32"/>
      <c r="E757" s="32"/>
      <c r="F757" s="32"/>
      <c r="G757" s="32"/>
      <c r="H757" s="32"/>
      <c r="I757" s="32"/>
      <c r="J757" s="32"/>
    </row>
    <row r="758" customFormat="false" ht="15.75" hidden="false" customHeight="true" outlineLevel="0" collapsed="false">
      <c r="A758" s="32"/>
      <c r="B758" s="32"/>
      <c r="C758" s="32"/>
      <c r="D758" s="32"/>
      <c r="E758" s="32"/>
      <c r="F758" s="32"/>
      <c r="G758" s="32"/>
      <c r="H758" s="32"/>
      <c r="I758" s="32"/>
      <c r="J758" s="32"/>
    </row>
    <row r="759" customFormat="false" ht="15.75" hidden="false" customHeight="true" outlineLevel="0" collapsed="false">
      <c r="A759" s="32"/>
      <c r="B759" s="32"/>
      <c r="C759" s="32"/>
      <c r="D759" s="32"/>
      <c r="E759" s="32"/>
      <c r="F759" s="32"/>
      <c r="G759" s="32"/>
      <c r="H759" s="32"/>
      <c r="I759" s="32"/>
      <c r="J759" s="32"/>
    </row>
    <row r="760" customFormat="false" ht="15.75" hidden="false" customHeight="true" outlineLevel="0" collapsed="false">
      <c r="A760" s="32"/>
      <c r="B760" s="32"/>
      <c r="C760" s="32"/>
      <c r="D760" s="32"/>
      <c r="E760" s="32"/>
      <c r="F760" s="32"/>
      <c r="G760" s="32"/>
      <c r="H760" s="32"/>
      <c r="I760" s="32"/>
      <c r="J760" s="32"/>
    </row>
    <row r="761" customFormat="false" ht="15.75" hidden="false" customHeight="true" outlineLevel="0" collapsed="false">
      <c r="A761" s="32"/>
      <c r="B761" s="32"/>
      <c r="C761" s="32"/>
      <c r="D761" s="32"/>
      <c r="E761" s="32"/>
      <c r="F761" s="32"/>
      <c r="G761" s="32"/>
      <c r="H761" s="32"/>
      <c r="I761" s="32"/>
      <c r="J761" s="32"/>
    </row>
    <row r="762" customFormat="false" ht="15.75" hidden="false" customHeight="true" outlineLevel="0" collapsed="false">
      <c r="A762" s="32"/>
      <c r="B762" s="32"/>
      <c r="C762" s="32"/>
      <c r="D762" s="32"/>
      <c r="E762" s="32"/>
      <c r="F762" s="32"/>
      <c r="G762" s="32"/>
      <c r="H762" s="32"/>
      <c r="I762" s="32"/>
      <c r="J762" s="32"/>
    </row>
    <row r="763" customFormat="false" ht="15.75" hidden="false" customHeight="true" outlineLevel="0" collapsed="false">
      <c r="A763" s="32"/>
      <c r="B763" s="32"/>
      <c r="C763" s="32"/>
      <c r="D763" s="32"/>
      <c r="E763" s="32"/>
      <c r="F763" s="32"/>
      <c r="G763" s="32"/>
      <c r="H763" s="32"/>
      <c r="I763" s="32"/>
      <c r="J763" s="32"/>
    </row>
    <row r="764" customFormat="false" ht="15.75" hidden="false" customHeight="true" outlineLevel="0" collapsed="false">
      <c r="A764" s="32"/>
      <c r="B764" s="32"/>
      <c r="C764" s="32"/>
      <c r="D764" s="32"/>
      <c r="E764" s="32"/>
      <c r="F764" s="32"/>
      <c r="G764" s="32"/>
      <c r="H764" s="32"/>
      <c r="I764" s="32"/>
      <c r="J764" s="32"/>
    </row>
    <row r="765" customFormat="false" ht="15.75" hidden="false" customHeight="true" outlineLevel="0" collapsed="false">
      <c r="A765" s="32"/>
      <c r="B765" s="32"/>
      <c r="C765" s="32"/>
      <c r="D765" s="32"/>
      <c r="E765" s="32"/>
      <c r="F765" s="32"/>
      <c r="G765" s="32"/>
      <c r="H765" s="32"/>
      <c r="I765" s="32"/>
      <c r="J765" s="32"/>
    </row>
    <row r="766" customFormat="false" ht="15.75" hidden="false" customHeight="true" outlineLevel="0" collapsed="false">
      <c r="A766" s="32"/>
      <c r="B766" s="32"/>
      <c r="C766" s="32"/>
      <c r="D766" s="32"/>
      <c r="E766" s="32"/>
      <c r="F766" s="32"/>
      <c r="G766" s="32"/>
      <c r="H766" s="32"/>
      <c r="I766" s="32"/>
      <c r="J766" s="32"/>
    </row>
    <row r="767" customFormat="false" ht="15.75" hidden="false" customHeight="true" outlineLevel="0" collapsed="false">
      <c r="A767" s="32"/>
      <c r="B767" s="32"/>
      <c r="C767" s="32"/>
      <c r="D767" s="32"/>
      <c r="E767" s="32"/>
      <c r="F767" s="32"/>
      <c r="G767" s="32"/>
      <c r="H767" s="32"/>
      <c r="I767" s="32"/>
      <c r="J767" s="32"/>
    </row>
    <row r="768" customFormat="false" ht="15.75" hidden="false" customHeight="true" outlineLevel="0" collapsed="false">
      <c r="A768" s="32"/>
      <c r="B768" s="32"/>
      <c r="C768" s="32"/>
      <c r="D768" s="32"/>
      <c r="E768" s="32"/>
      <c r="F768" s="32"/>
      <c r="G768" s="32"/>
      <c r="H768" s="32"/>
      <c r="I768" s="32"/>
      <c r="J768" s="32"/>
    </row>
    <row r="769" customFormat="false" ht="15.75" hidden="false" customHeight="true" outlineLevel="0" collapsed="false">
      <c r="A769" s="32"/>
      <c r="B769" s="32"/>
      <c r="C769" s="32"/>
      <c r="D769" s="32"/>
      <c r="E769" s="32"/>
      <c r="F769" s="32"/>
      <c r="G769" s="32"/>
      <c r="H769" s="32"/>
      <c r="I769" s="32"/>
      <c r="J769" s="32"/>
    </row>
    <row r="770" customFormat="false" ht="15.75" hidden="false" customHeight="true" outlineLevel="0" collapsed="false">
      <c r="A770" s="32"/>
      <c r="B770" s="32"/>
      <c r="C770" s="32"/>
      <c r="D770" s="32"/>
      <c r="E770" s="32"/>
      <c r="F770" s="32"/>
      <c r="G770" s="32"/>
      <c r="H770" s="32"/>
      <c r="I770" s="32"/>
      <c r="J770" s="32"/>
    </row>
    <row r="771" customFormat="false" ht="15.75" hidden="false" customHeight="true" outlineLevel="0" collapsed="false">
      <c r="A771" s="32"/>
      <c r="B771" s="32"/>
      <c r="C771" s="32"/>
      <c r="D771" s="32"/>
      <c r="E771" s="32"/>
      <c r="F771" s="32"/>
      <c r="G771" s="32"/>
      <c r="H771" s="32"/>
      <c r="I771" s="32"/>
      <c r="J771" s="32"/>
    </row>
    <row r="772" customFormat="false" ht="15.75" hidden="false" customHeight="true" outlineLevel="0" collapsed="false">
      <c r="A772" s="32"/>
      <c r="B772" s="32"/>
      <c r="C772" s="32"/>
      <c r="D772" s="32"/>
      <c r="E772" s="32"/>
      <c r="F772" s="32"/>
      <c r="G772" s="32"/>
      <c r="H772" s="32"/>
      <c r="I772" s="32"/>
      <c r="J772" s="32"/>
    </row>
    <row r="773" customFormat="false" ht="15.75" hidden="false" customHeight="true" outlineLevel="0" collapsed="false">
      <c r="A773" s="32"/>
      <c r="B773" s="32"/>
      <c r="C773" s="32"/>
      <c r="D773" s="32"/>
      <c r="E773" s="32"/>
      <c r="F773" s="32"/>
      <c r="G773" s="32"/>
      <c r="H773" s="32"/>
      <c r="I773" s="32"/>
      <c r="J773" s="32"/>
    </row>
    <row r="774" customFormat="false" ht="15.75" hidden="false" customHeight="true" outlineLevel="0" collapsed="false">
      <c r="A774" s="32"/>
      <c r="B774" s="32"/>
      <c r="C774" s="32"/>
      <c r="D774" s="32"/>
      <c r="E774" s="32"/>
      <c r="F774" s="32"/>
      <c r="G774" s="32"/>
      <c r="H774" s="32"/>
      <c r="I774" s="32"/>
      <c r="J774" s="32"/>
    </row>
    <row r="775" customFormat="false" ht="15.75" hidden="false" customHeight="true" outlineLevel="0" collapsed="false">
      <c r="A775" s="32"/>
      <c r="B775" s="32"/>
      <c r="C775" s="32"/>
      <c r="D775" s="32"/>
      <c r="E775" s="32"/>
      <c r="F775" s="32"/>
      <c r="G775" s="32"/>
      <c r="H775" s="32"/>
      <c r="I775" s="32"/>
      <c r="J775" s="32"/>
    </row>
    <row r="776" customFormat="false" ht="15.75" hidden="false" customHeight="true" outlineLevel="0" collapsed="false">
      <c r="A776" s="32"/>
      <c r="B776" s="32"/>
      <c r="C776" s="32"/>
      <c r="D776" s="32"/>
      <c r="E776" s="32"/>
      <c r="F776" s="32"/>
      <c r="G776" s="32"/>
      <c r="H776" s="32"/>
      <c r="I776" s="32"/>
      <c r="J776" s="32"/>
    </row>
    <row r="777" customFormat="false" ht="15.75" hidden="false" customHeight="true" outlineLevel="0" collapsed="false">
      <c r="A777" s="32"/>
      <c r="B777" s="32"/>
      <c r="C777" s="32"/>
      <c r="D777" s="32"/>
      <c r="E777" s="32"/>
      <c r="F777" s="32"/>
      <c r="G777" s="32"/>
      <c r="H777" s="32"/>
      <c r="I777" s="32"/>
      <c r="J777" s="32"/>
    </row>
    <row r="778" customFormat="false" ht="15.75" hidden="false" customHeight="true" outlineLevel="0" collapsed="false">
      <c r="A778" s="32"/>
      <c r="B778" s="32"/>
      <c r="C778" s="32"/>
      <c r="D778" s="32"/>
      <c r="E778" s="32"/>
      <c r="F778" s="32"/>
      <c r="G778" s="32"/>
      <c r="H778" s="32"/>
      <c r="I778" s="32"/>
      <c r="J778" s="32"/>
    </row>
    <row r="779" customFormat="false" ht="15.75" hidden="false" customHeight="true" outlineLevel="0" collapsed="false">
      <c r="A779" s="32"/>
      <c r="B779" s="32"/>
      <c r="C779" s="32"/>
      <c r="D779" s="32"/>
      <c r="E779" s="32"/>
      <c r="F779" s="32"/>
      <c r="G779" s="32"/>
      <c r="H779" s="32"/>
      <c r="I779" s="32"/>
      <c r="J779" s="32"/>
    </row>
    <row r="780" customFormat="false" ht="15.75" hidden="false" customHeight="true" outlineLevel="0" collapsed="false">
      <c r="A780" s="32"/>
      <c r="B780" s="32"/>
      <c r="C780" s="32"/>
      <c r="D780" s="32"/>
      <c r="E780" s="32"/>
      <c r="F780" s="32"/>
      <c r="G780" s="32"/>
      <c r="H780" s="32"/>
      <c r="I780" s="32"/>
      <c r="J780" s="32"/>
    </row>
    <row r="781" customFormat="false" ht="15.75" hidden="false" customHeight="true" outlineLevel="0" collapsed="false">
      <c r="A781" s="32"/>
      <c r="B781" s="32"/>
      <c r="C781" s="32"/>
      <c r="D781" s="32"/>
      <c r="E781" s="32"/>
      <c r="F781" s="32"/>
      <c r="G781" s="32"/>
      <c r="H781" s="32"/>
      <c r="I781" s="32"/>
      <c r="J781" s="32"/>
    </row>
    <row r="782" customFormat="false" ht="15.75" hidden="false" customHeight="true" outlineLevel="0" collapsed="false">
      <c r="A782" s="32"/>
      <c r="B782" s="32"/>
      <c r="C782" s="32"/>
      <c r="D782" s="32"/>
      <c r="E782" s="32"/>
      <c r="F782" s="32"/>
      <c r="G782" s="32"/>
      <c r="H782" s="32"/>
      <c r="I782" s="32"/>
      <c r="J782" s="32"/>
    </row>
    <row r="783" customFormat="false" ht="15.75" hidden="false" customHeight="true" outlineLevel="0" collapsed="false">
      <c r="A783" s="32"/>
      <c r="B783" s="32"/>
      <c r="C783" s="32"/>
      <c r="D783" s="32"/>
      <c r="E783" s="32"/>
      <c r="F783" s="32"/>
      <c r="G783" s="32"/>
      <c r="H783" s="32"/>
      <c r="I783" s="32"/>
      <c r="J783" s="32"/>
    </row>
    <row r="784" customFormat="false" ht="15.75" hidden="false" customHeight="true" outlineLevel="0" collapsed="false">
      <c r="A784" s="32"/>
      <c r="B784" s="32"/>
      <c r="C784" s="32"/>
      <c r="D784" s="32"/>
      <c r="E784" s="32"/>
      <c r="F784" s="32"/>
      <c r="G784" s="32"/>
      <c r="H784" s="32"/>
      <c r="I784" s="32"/>
      <c r="J784" s="32"/>
    </row>
    <row r="785" customFormat="false" ht="15.75" hidden="false" customHeight="true" outlineLevel="0" collapsed="false">
      <c r="A785" s="32"/>
      <c r="B785" s="32"/>
      <c r="C785" s="32"/>
      <c r="D785" s="32"/>
      <c r="E785" s="32"/>
      <c r="F785" s="32"/>
      <c r="G785" s="32"/>
      <c r="H785" s="32"/>
      <c r="I785" s="32"/>
      <c r="J785" s="32"/>
    </row>
    <row r="786" customFormat="false" ht="15.75" hidden="false" customHeight="true" outlineLevel="0" collapsed="false">
      <c r="A786" s="32"/>
      <c r="B786" s="32"/>
      <c r="C786" s="32"/>
      <c r="D786" s="32"/>
      <c r="E786" s="32"/>
      <c r="F786" s="32"/>
      <c r="G786" s="32"/>
      <c r="H786" s="32"/>
      <c r="I786" s="32"/>
      <c r="J786" s="32"/>
    </row>
    <row r="787" customFormat="false" ht="15.75" hidden="false" customHeight="true" outlineLevel="0" collapsed="false">
      <c r="A787" s="32"/>
      <c r="B787" s="32"/>
      <c r="C787" s="32"/>
      <c r="D787" s="32"/>
      <c r="E787" s="32"/>
      <c r="F787" s="32"/>
      <c r="G787" s="32"/>
      <c r="H787" s="32"/>
      <c r="I787" s="32"/>
      <c r="J787" s="32"/>
    </row>
    <row r="788" customFormat="false" ht="15.75" hidden="false" customHeight="true" outlineLevel="0" collapsed="false">
      <c r="A788" s="32"/>
      <c r="B788" s="32"/>
      <c r="C788" s="32"/>
      <c r="D788" s="32"/>
      <c r="E788" s="32"/>
      <c r="F788" s="32"/>
      <c r="G788" s="32"/>
      <c r="H788" s="32"/>
      <c r="I788" s="32"/>
      <c r="J788" s="32"/>
    </row>
    <row r="789" customFormat="false" ht="15.75" hidden="false" customHeight="true" outlineLevel="0" collapsed="false">
      <c r="A789" s="32"/>
      <c r="B789" s="32"/>
      <c r="C789" s="32"/>
      <c r="D789" s="32"/>
      <c r="E789" s="32"/>
      <c r="F789" s="32"/>
      <c r="G789" s="32"/>
      <c r="H789" s="32"/>
      <c r="I789" s="32"/>
      <c r="J789" s="32"/>
    </row>
    <row r="790" customFormat="false" ht="15.75" hidden="false" customHeight="true" outlineLevel="0" collapsed="false">
      <c r="A790" s="32"/>
      <c r="B790" s="32"/>
      <c r="C790" s="32"/>
      <c r="D790" s="32"/>
      <c r="E790" s="32"/>
      <c r="F790" s="32"/>
      <c r="G790" s="32"/>
      <c r="H790" s="32"/>
      <c r="I790" s="32"/>
      <c r="J790" s="32"/>
    </row>
    <row r="791" customFormat="false" ht="15.75" hidden="false" customHeight="true" outlineLevel="0" collapsed="false">
      <c r="A791" s="32"/>
      <c r="B791" s="32"/>
      <c r="C791" s="32"/>
      <c r="D791" s="32"/>
      <c r="E791" s="32"/>
      <c r="F791" s="32"/>
      <c r="G791" s="32"/>
      <c r="H791" s="32"/>
      <c r="I791" s="32"/>
      <c r="J791" s="32"/>
    </row>
    <row r="792" customFormat="false" ht="15.75" hidden="false" customHeight="true" outlineLevel="0" collapsed="false">
      <c r="A792" s="32"/>
      <c r="B792" s="32"/>
      <c r="C792" s="32"/>
      <c r="D792" s="32"/>
      <c r="E792" s="32"/>
      <c r="F792" s="32"/>
      <c r="G792" s="32"/>
      <c r="H792" s="32"/>
      <c r="I792" s="32"/>
      <c r="J792" s="32"/>
    </row>
    <row r="793" customFormat="false" ht="15.75" hidden="false" customHeight="true" outlineLevel="0" collapsed="false">
      <c r="A793" s="32"/>
      <c r="B793" s="32"/>
      <c r="C793" s="32"/>
      <c r="D793" s="32"/>
      <c r="E793" s="32"/>
      <c r="F793" s="32"/>
      <c r="G793" s="32"/>
      <c r="H793" s="32"/>
      <c r="I793" s="32"/>
      <c r="J793" s="32"/>
    </row>
    <row r="794" customFormat="false" ht="15.75" hidden="false" customHeight="true" outlineLevel="0" collapsed="false">
      <c r="A794" s="32"/>
      <c r="B794" s="32"/>
      <c r="C794" s="32"/>
      <c r="D794" s="32"/>
      <c r="E794" s="32"/>
      <c r="F794" s="32"/>
      <c r="G794" s="32"/>
      <c r="H794" s="32"/>
      <c r="I794" s="32"/>
      <c r="J794" s="32"/>
    </row>
    <row r="795" customFormat="false" ht="15.75" hidden="false" customHeight="true" outlineLevel="0" collapsed="false">
      <c r="A795" s="32"/>
      <c r="B795" s="32"/>
      <c r="C795" s="32"/>
      <c r="D795" s="32"/>
      <c r="E795" s="32"/>
      <c r="F795" s="32"/>
      <c r="G795" s="32"/>
      <c r="H795" s="32"/>
      <c r="I795" s="32"/>
      <c r="J795" s="32"/>
    </row>
    <row r="796" customFormat="false" ht="15.75" hidden="false" customHeight="true" outlineLevel="0" collapsed="false">
      <c r="A796" s="32"/>
      <c r="B796" s="32"/>
      <c r="C796" s="32"/>
      <c r="D796" s="32"/>
      <c r="E796" s="32"/>
      <c r="F796" s="32"/>
      <c r="G796" s="32"/>
      <c r="H796" s="32"/>
      <c r="I796" s="32"/>
      <c r="J796" s="32"/>
    </row>
    <row r="797" customFormat="false" ht="15.75" hidden="false" customHeight="true" outlineLevel="0" collapsed="false">
      <c r="A797" s="32"/>
      <c r="B797" s="32"/>
      <c r="C797" s="32"/>
      <c r="D797" s="32"/>
      <c r="E797" s="32"/>
      <c r="F797" s="32"/>
      <c r="G797" s="32"/>
      <c r="H797" s="32"/>
      <c r="I797" s="32"/>
      <c r="J797" s="32"/>
    </row>
    <row r="798" customFormat="false" ht="15.75" hidden="false" customHeight="true" outlineLevel="0" collapsed="false">
      <c r="A798" s="32"/>
      <c r="B798" s="32"/>
      <c r="C798" s="32"/>
      <c r="D798" s="32"/>
      <c r="E798" s="32"/>
      <c r="F798" s="32"/>
      <c r="G798" s="32"/>
      <c r="H798" s="32"/>
      <c r="I798" s="32"/>
      <c r="J798" s="32"/>
    </row>
    <row r="799" customFormat="false" ht="15.75" hidden="false" customHeight="true" outlineLevel="0" collapsed="false">
      <c r="A799" s="32"/>
      <c r="B799" s="32"/>
      <c r="C799" s="32"/>
      <c r="D799" s="32"/>
      <c r="E799" s="32"/>
      <c r="F799" s="32"/>
      <c r="G799" s="32"/>
      <c r="H799" s="32"/>
      <c r="I799" s="32"/>
      <c r="J799" s="32"/>
    </row>
    <row r="800" customFormat="false" ht="15.75" hidden="false" customHeight="true" outlineLevel="0" collapsed="false">
      <c r="A800" s="32"/>
      <c r="B800" s="32"/>
      <c r="C800" s="32"/>
      <c r="D800" s="32"/>
      <c r="E800" s="32"/>
      <c r="F800" s="32"/>
      <c r="G800" s="32"/>
      <c r="H800" s="32"/>
      <c r="I800" s="32"/>
      <c r="J800" s="32"/>
    </row>
    <row r="801" customFormat="false" ht="15.75" hidden="false" customHeight="true" outlineLevel="0" collapsed="false">
      <c r="A801" s="32"/>
      <c r="B801" s="32"/>
      <c r="C801" s="32"/>
      <c r="D801" s="32"/>
      <c r="E801" s="32"/>
      <c r="F801" s="32"/>
      <c r="G801" s="32"/>
      <c r="H801" s="32"/>
      <c r="I801" s="32"/>
      <c r="J801" s="32"/>
    </row>
    <row r="802" customFormat="false" ht="15.75" hidden="false" customHeight="true" outlineLevel="0" collapsed="false">
      <c r="A802" s="32"/>
      <c r="B802" s="32"/>
      <c r="C802" s="32"/>
      <c r="D802" s="32"/>
      <c r="E802" s="32"/>
      <c r="F802" s="32"/>
      <c r="G802" s="32"/>
      <c r="H802" s="32"/>
      <c r="I802" s="32"/>
      <c r="J802" s="32"/>
    </row>
    <row r="803" customFormat="false" ht="15.75" hidden="false" customHeight="true" outlineLevel="0" collapsed="false">
      <c r="A803" s="32"/>
      <c r="B803" s="32"/>
      <c r="C803" s="32"/>
      <c r="D803" s="32"/>
      <c r="E803" s="32"/>
      <c r="F803" s="32"/>
      <c r="G803" s="32"/>
      <c r="H803" s="32"/>
      <c r="I803" s="32"/>
      <c r="J803" s="32"/>
    </row>
    <row r="804" customFormat="false" ht="15.75" hidden="false" customHeight="true" outlineLevel="0" collapsed="false">
      <c r="A804" s="32"/>
      <c r="B804" s="32"/>
      <c r="C804" s="32"/>
      <c r="D804" s="32"/>
      <c r="E804" s="32"/>
      <c r="F804" s="32"/>
      <c r="G804" s="32"/>
      <c r="H804" s="32"/>
      <c r="I804" s="32"/>
      <c r="J804" s="32"/>
    </row>
    <row r="805" customFormat="false" ht="15.75" hidden="false" customHeight="true" outlineLevel="0" collapsed="false">
      <c r="A805" s="32"/>
      <c r="B805" s="32"/>
      <c r="C805" s="32"/>
      <c r="D805" s="32"/>
      <c r="E805" s="32"/>
      <c r="F805" s="32"/>
      <c r="G805" s="32"/>
      <c r="H805" s="32"/>
      <c r="I805" s="32"/>
      <c r="J805" s="32"/>
    </row>
    <row r="806" customFormat="false" ht="15.75" hidden="false" customHeight="true" outlineLevel="0" collapsed="false">
      <c r="A806" s="32"/>
      <c r="B806" s="32"/>
      <c r="C806" s="32"/>
      <c r="D806" s="32"/>
      <c r="E806" s="32"/>
      <c r="F806" s="32"/>
      <c r="G806" s="32"/>
      <c r="H806" s="32"/>
      <c r="I806" s="32"/>
      <c r="J806" s="32"/>
    </row>
    <row r="807" customFormat="false" ht="15.75" hidden="false" customHeight="true" outlineLevel="0" collapsed="false">
      <c r="A807" s="32"/>
      <c r="B807" s="32"/>
      <c r="C807" s="32"/>
      <c r="D807" s="32"/>
      <c r="E807" s="32"/>
      <c r="F807" s="32"/>
      <c r="G807" s="32"/>
      <c r="H807" s="32"/>
      <c r="I807" s="32"/>
      <c r="J807" s="32"/>
    </row>
    <row r="808" customFormat="false" ht="15.75" hidden="false" customHeight="true" outlineLevel="0" collapsed="false">
      <c r="A808" s="32"/>
      <c r="B808" s="32"/>
      <c r="C808" s="32"/>
      <c r="D808" s="32"/>
      <c r="E808" s="32"/>
      <c r="F808" s="32"/>
      <c r="G808" s="32"/>
      <c r="H808" s="32"/>
      <c r="I808" s="32"/>
      <c r="J808" s="32"/>
    </row>
    <row r="809" customFormat="false" ht="15.75" hidden="false" customHeight="true" outlineLevel="0" collapsed="false">
      <c r="A809" s="32"/>
      <c r="B809" s="32"/>
      <c r="C809" s="32"/>
      <c r="D809" s="32"/>
      <c r="E809" s="32"/>
      <c r="F809" s="32"/>
      <c r="G809" s="32"/>
      <c r="H809" s="32"/>
      <c r="I809" s="32"/>
      <c r="J809" s="32"/>
    </row>
    <row r="810" customFormat="false" ht="15.75" hidden="false" customHeight="true" outlineLevel="0" collapsed="false">
      <c r="A810" s="32"/>
      <c r="B810" s="32"/>
      <c r="C810" s="32"/>
      <c r="D810" s="32"/>
      <c r="E810" s="32"/>
      <c r="F810" s="32"/>
      <c r="G810" s="32"/>
      <c r="H810" s="32"/>
      <c r="I810" s="32"/>
      <c r="J810" s="32"/>
    </row>
    <row r="811" customFormat="false" ht="15.75" hidden="false" customHeight="true" outlineLevel="0" collapsed="false">
      <c r="A811" s="32"/>
      <c r="B811" s="32"/>
      <c r="C811" s="32"/>
      <c r="D811" s="32"/>
      <c r="E811" s="32"/>
      <c r="F811" s="32"/>
      <c r="G811" s="32"/>
      <c r="H811" s="32"/>
      <c r="I811" s="32"/>
      <c r="J811" s="32"/>
    </row>
    <row r="812" customFormat="false" ht="15.75" hidden="false" customHeight="true" outlineLevel="0" collapsed="false">
      <c r="A812" s="32"/>
      <c r="B812" s="32"/>
      <c r="C812" s="32"/>
      <c r="D812" s="32"/>
      <c r="E812" s="32"/>
      <c r="F812" s="32"/>
      <c r="G812" s="32"/>
      <c r="H812" s="32"/>
      <c r="I812" s="32"/>
      <c r="J812" s="32"/>
    </row>
    <row r="813" customFormat="false" ht="15.75" hidden="false" customHeight="true" outlineLevel="0" collapsed="false">
      <c r="A813" s="32"/>
      <c r="B813" s="32"/>
      <c r="C813" s="32"/>
      <c r="D813" s="32"/>
      <c r="E813" s="32"/>
      <c r="F813" s="32"/>
      <c r="G813" s="32"/>
      <c r="H813" s="32"/>
      <c r="I813" s="32"/>
      <c r="J813" s="32"/>
    </row>
    <row r="814" customFormat="false" ht="15.75" hidden="false" customHeight="true" outlineLevel="0" collapsed="false">
      <c r="A814" s="32"/>
      <c r="B814" s="32"/>
      <c r="C814" s="32"/>
      <c r="D814" s="32"/>
      <c r="E814" s="32"/>
      <c r="F814" s="32"/>
      <c r="G814" s="32"/>
      <c r="H814" s="32"/>
      <c r="I814" s="32"/>
      <c r="J814" s="32"/>
    </row>
    <row r="815" customFormat="false" ht="15.75" hidden="false" customHeight="true" outlineLevel="0" collapsed="false">
      <c r="A815" s="32"/>
      <c r="B815" s="32"/>
      <c r="C815" s="32"/>
      <c r="D815" s="32"/>
      <c r="E815" s="32"/>
      <c r="F815" s="32"/>
      <c r="G815" s="32"/>
      <c r="H815" s="32"/>
      <c r="I815" s="32"/>
      <c r="J815" s="32"/>
    </row>
    <row r="816" customFormat="false" ht="15.75" hidden="false" customHeight="true" outlineLevel="0" collapsed="false">
      <c r="A816" s="32"/>
      <c r="B816" s="32"/>
      <c r="C816" s="32"/>
      <c r="D816" s="32"/>
      <c r="E816" s="32"/>
      <c r="F816" s="32"/>
      <c r="G816" s="32"/>
      <c r="H816" s="32"/>
      <c r="I816" s="32"/>
      <c r="J816" s="32"/>
    </row>
    <row r="817" customFormat="false" ht="15.75" hidden="false" customHeight="true" outlineLevel="0" collapsed="false">
      <c r="A817" s="32"/>
      <c r="B817" s="32"/>
      <c r="C817" s="32"/>
      <c r="D817" s="32"/>
      <c r="E817" s="32"/>
      <c r="F817" s="32"/>
      <c r="G817" s="32"/>
      <c r="H817" s="32"/>
      <c r="I817" s="32"/>
      <c r="J817" s="32"/>
    </row>
    <row r="818" customFormat="false" ht="15.75" hidden="false" customHeight="true" outlineLevel="0" collapsed="false">
      <c r="A818" s="32"/>
      <c r="B818" s="32"/>
      <c r="C818" s="32"/>
      <c r="D818" s="32"/>
      <c r="E818" s="32"/>
      <c r="F818" s="32"/>
      <c r="G818" s="32"/>
      <c r="H818" s="32"/>
      <c r="I818" s="32"/>
      <c r="J818" s="32"/>
    </row>
    <row r="819" customFormat="false" ht="15.75" hidden="false" customHeight="true" outlineLevel="0" collapsed="false">
      <c r="A819" s="32"/>
      <c r="B819" s="32"/>
      <c r="C819" s="32"/>
      <c r="D819" s="32"/>
      <c r="E819" s="32"/>
      <c r="F819" s="32"/>
      <c r="G819" s="32"/>
      <c r="H819" s="32"/>
      <c r="I819" s="32"/>
      <c r="J819" s="32"/>
    </row>
    <row r="820" customFormat="false" ht="15.75" hidden="false" customHeight="true" outlineLevel="0" collapsed="false">
      <c r="A820" s="32"/>
      <c r="B820" s="32"/>
      <c r="C820" s="32"/>
      <c r="D820" s="32"/>
      <c r="E820" s="32"/>
      <c r="F820" s="32"/>
      <c r="G820" s="32"/>
      <c r="H820" s="32"/>
      <c r="I820" s="32"/>
      <c r="J820" s="32"/>
    </row>
    <row r="821" customFormat="false" ht="15.75" hidden="false" customHeight="true" outlineLevel="0" collapsed="false">
      <c r="A821" s="32"/>
      <c r="B821" s="32"/>
      <c r="C821" s="32"/>
      <c r="D821" s="32"/>
      <c r="E821" s="32"/>
      <c r="F821" s="32"/>
      <c r="G821" s="32"/>
      <c r="H821" s="32"/>
      <c r="I821" s="32"/>
      <c r="J821" s="32"/>
    </row>
    <row r="822" customFormat="false" ht="15.75" hidden="false" customHeight="true" outlineLevel="0" collapsed="false">
      <c r="A822" s="32"/>
      <c r="B822" s="32"/>
      <c r="C822" s="32"/>
      <c r="D822" s="32"/>
      <c r="E822" s="32"/>
      <c r="F822" s="32"/>
      <c r="G822" s="32"/>
      <c r="H822" s="32"/>
      <c r="I822" s="32"/>
      <c r="J822" s="32"/>
    </row>
    <row r="823" customFormat="false" ht="15.75" hidden="false" customHeight="true" outlineLevel="0" collapsed="false">
      <c r="A823" s="32"/>
      <c r="B823" s="32"/>
      <c r="C823" s="32"/>
      <c r="D823" s="32"/>
      <c r="E823" s="32"/>
      <c r="F823" s="32"/>
      <c r="G823" s="32"/>
      <c r="H823" s="32"/>
      <c r="I823" s="32"/>
      <c r="J823" s="32"/>
    </row>
    <row r="824" customFormat="false" ht="15.75" hidden="false" customHeight="true" outlineLevel="0" collapsed="false">
      <c r="A824" s="32"/>
      <c r="B824" s="32"/>
      <c r="C824" s="32"/>
      <c r="D824" s="32"/>
      <c r="E824" s="32"/>
      <c r="F824" s="32"/>
      <c r="G824" s="32"/>
      <c r="H824" s="32"/>
      <c r="I824" s="32"/>
      <c r="J824" s="32"/>
    </row>
    <row r="825" customFormat="false" ht="15.75" hidden="false" customHeight="true" outlineLevel="0" collapsed="false">
      <c r="A825" s="32"/>
      <c r="B825" s="32"/>
      <c r="C825" s="32"/>
      <c r="D825" s="32"/>
      <c r="E825" s="32"/>
      <c r="F825" s="32"/>
      <c r="G825" s="32"/>
      <c r="H825" s="32"/>
      <c r="I825" s="32"/>
      <c r="J825" s="32"/>
    </row>
    <row r="826" customFormat="false" ht="15.75" hidden="false" customHeight="true" outlineLevel="0" collapsed="false">
      <c r="A826" s="32"/>
      <c r="B826" s="32"/>
      <c r="C826" s="32"/>
      <c r="D826" s="32"/>
      <c r="E826" s="32"/>
      <c r="F826" s="32"/>
      <c r="G826" s="32"/>
      <c r="H826" s="32"/>
      <c r="I826" s="32"/>
      <c r="J826" s="32"/>
    </row>
    <row r="827" customFormat="false" ht="15.75" hidden="false" customHeight="true" outlineLevel="0" collapsed="false">
      <c r="A827" s="32"/>
      <c r="B827" s="32"/>
      <c r="C827" s="32"/>
      <c r="D827" s="32"/>
      <c r="E827" s="32"/>
      <c r="F827" s="32"/>
      <c r="G827" s="32"/>
      <c r="H827" s="32"/>
      <c r="I827" s="32"/>
      <c r="J827" s="32"/>
    </row>
    <row r="828" customFormat="false" ht="15.75" hidden="false" customHeight="true" outlineLevel="0" collapsed="false">
      <c r="A828" s="32"/>
      <c r="B828" s="32"/>
      <c r="C828" s="32"/>
      <c r="D828" s="32"/>
      <c r="E828" s="32"/>
      <c r="F828" s="32"/>
      <c r="G828" s="32"/>
      <c r="H828" s="32"/>
      <c r="I828" s="32"/>
      <c r="J828" s="32"/>
    </row>
    <row r="829" customFormat="false" ht="15.75" hidden="false" customHeight="true" outlineLevel="0" collapsed="false">
      <c r="A829" s="32"/>
      <c r="B829" s="32"/>
      <c r="C829" s="32"/>
      <c r="D829" s="32"/>
      <c r="E829" s="32"/>
      <c r="F829" s="32"/>
      <c r="G829" s="32"/>
      <c r="H829" s="32"/>
      <c r="I829" s="32"/>
      <c r="J829" s="32"/>
    </row>
    <row r="830" customFormat="false" ht="15.75" hidden="false" customHeight="true" outlineLevel="0" collapsed="false">
      <c r="A830" s="32"/>
      <c r="B830" s="32"/>
      <c r="C830" s="32"/>
      <c r="D830" s="32"/>
      <c r="E830" s="32"/>
      <c r="F830" s="32"/>
      <c r="G830" s="32"/>
      <c r="H830" s="32"/>
      <c r="I830" s="32"/>
      <c r="J830" s="32"/>
    </row>
    <row r="831" customFormat="false" ht="15.75" hidden="false" customHeight="true" outlineLevel="0" collapsed="false">
      <c r="A831" s="32"/>
      <c r="B831" s="32"/>
      <c r="C831" s="32"/>
      <c r="D831" s="32"/>
      <c r="E831" s="32"/>
      <c r="F831" s="32"/>
      <c r="G831" s="32"/>
      <c r="H831" s="32"/>
      <c r="I831" s="32"/>
      <c r="J831" s="32"/>
    </row>
    <row r="832" customFormat="false" ht="15.75" hidden="false" customHeight="true" outlineLevel="0" collapsed="false">
      <c r="A832" s="32"/>
      <c r="B832" s="32"/>
      <c r="C832" s="32"/>
      <c r="D832" s="32"/>
      <c r="E832" s="32"/>
      <c r="F832" s="32"/>
      <c r="G832" s="32"/>
      <c r="H832" s="32"/>
      <c r="I832" s="32"/>
      <c r="J832" s="32"/>
    </row>
    <row r="833" customFormat="false" ht="15.75" hidden="false" customHeight="true" outlineLevel="0" collapsed="false">
      <c r="A833" s="32"/>
      <c r="B833" s="32"/>
      <c r="C833" s="32"/>
      <c r="D833" s="32"/>
      <c r="E833" s="32"/>
      <c r="F833" s="32"/>
      <c r="G833" s="32"/>
      <c r="H833" s="32"/>
      <c r="I833" s="32"/>
      <c r="J833" s="32"/>
    </row>
    <row r="834" customFormat="false" ht="15.75" hidden="false" customHeight="true" outlineLevel="0" collapsed="false">
      <c r="A834" s="32"/>
      <c r="B834" s="32"/>
      <c r="C834" s="32"/>
      <c r="D834" s="32"/>
      <c r="E834" s="32"/>
      <c r="F834" s="32"/>
      <c r="G834" s="32"/>
      <c r="H834" s="32"/>
      <c r="I834" s="32"/>
      <c r="J834" s="32"/>
    </row>
    <row r="835" customFormat="false" ht="15.75" hidden="false" customHeight="true" outlineLevel="0" collapsed="false">
      <c r="A835" s="32"/>
      <c r="B835" s="32"/>
      <c r="C835" s="32"/>
      <c r="D835" s="32"/>
      <c r="E835" s="32"/>
      <c r="F835" s="32"/>
      <c r="G835" s="32"/>
      <c r="H835" s="32"/>
      <c r="I835" s="32"/>
      <c r="J835" s="32"/>
    </row>
    <row r="836" customFormat="false" ht="15.75" hidden="false" customHeight="true" outlineLevel="0" collapsed="false">
      <c r="A836" s="32"/>
      <c r="B836" s="32"/>
      <c r="C836" s="32"/>
      <c r="D836" s="32"/>
      <c r="E836" s="32"/>
      <c r="F836" s="32"/>
      <c r="G836" s="32"/>
      <c r="H836" s="32"/>
      <c r="I836" s="32"/>
      <c r="J836" s="32"/>
    </row>
    <row r="837" customFormat="false" ht="15.75" hidden="false" customHeight="true" outlineLevel="0" collapsed="false">
      <c r="A837" s="32"/>
      <c r="B837" s="32"/>
      <c r="C837" s="32"/>
      <c r="D837" s="32"/>
      <c r="E837" s="32"/>
      <c r="F837" s="32"/>
      <c r="G837" s="32"/>
      <c r="H837" s="32"/>
      <c r="I837" s="32"/>
      <c r="J837" s="32"/>
    </row>
    <row r="838" customFormat="false" ht="15.75" hidden="false" customHeight="true" outlineLevel="0" collapsed="false">
      <c r="A838" s="32"/>
      <c r="B838" s="32"/>
      <c r="C838" s="32"/>
      <c r="D838" s="32"/>
      <c r="E838" s="32"/>
      <c r="F838" s="32"/>
      <c r="G838" s="32"/>
      <c r="H838" s="32"/>
      <c r="I838" s="32"/>
      <c r="J838" s="32"/>
    </row>
    <row r="839" customFormat="false" ht="15.75" hidden="false" customHeight="true" outlineLevel="0" collapsed="false">
      <c r="A839" s="32"/>
      <c r="B839" s="32"/>
      <c r="C839" s="32"/>
      <c r="D839" s="32"/>
      <c r="E839" s="32"/>
      <c r="F839" s="32"/>
      <c r="G839" s="32"/>
      <c r="H839" s="32"/>
      <c r="I839" s="32"/>
      <c r="J839" s="32"/>
    </row>
    <row r="840" customFormat="false" ht="15.75" hidden="false" customHeight="true" outlineLevel="0" collapsed="false">
      <c r="A840" s="32"/>
      <c r="B840" s="32"/>
      <c r="C840" s="32"/>
      <c r="D840" s="32"/>
      <c r="E840" s="32"/>
      <c r="F840" s="32"/>
      <c r="G840" s="32"/>
      <c r="H840" s="32"/>
      <c r="I840" s="32"/>
      <c r="J840" s="32"/>
    </row>
    <row r="841" customFormat="false" ht="15.75" hidden="false" customHeight="true" outlineLevel="0" collapsed="false">
      <c r="A841" s="32"/>
      <c r="B841" s="32"/>
      <c r="C841" s="32"/>
      <c r="D841" s="32"/>
      <c r="E841" s="32"/>
      <c r="F841" s="32"/>
      <c r="G841" s="32"/>
      <c r="H841" s="32"/>
      <c r="I841" s="32"/>
      <c r="J841" s="32"/>
    </row>
    <row r="842" customFormat="false" ht="15.75" hidden="false" customHeight="true" outlineLevel="0" collapsed="false">
      <c r="A842" s="32"/>
      <c r="B842" s="32"/>
      <c r="C842" s="32"/>
      <c r="D842" s="32"/>
      <c r="E842" s="32"/>
      <c r="F842" s="32"/>
      <c r="G842" s="32"/>
      <c r="H842" s="32"/>
      <c r="I842" s="32"/>
      <c r="J842" s="32"/>
    </row>
    <row r="843" customFormat="false" ht="15.75" hidden="false" customHeight="true" outlineLevel="0" collapsed="false">
      <c r="A843" s="32"/>
      <c r="B843" s="32"/>
      <c r="C843" s="32"/>
      <c r="D843" s="32"/>
      <c r="E843" s="32"/>
      <c r="F843" s="32"/>
      <c r="G843" s="32"/>
      <c r="H843" s="32"/>
      <c r="I843" s="32"/>
      <c r="J843" s="32"/>
    </row>
    <row r="844" customFormat="false" ht="15.75" hidden="false" customHeight="true" outlineLevel="0" collapsed="false">
      <c r="A844" s="32"/>
      <c r="B844" s="32"/>
      <c r="C844" s="32"/>
      <c r="D844" s="32"/>
      <c r="E844" s="32"/>
      <c r="F844" s="32"/>
      <c r="G844" s="32"/>
      <c r="H844" s="32"/>
      <c r="I844" s="32"/>
      <c r="J844" s="32"/>
    </row>
    <row r="845" customFormat="false" ht="15.75" hidden="false" customHeight="true" outlineLevel="0" collapsed="false">
      <c r="A845" s="32"/>
      <c r="B845" s="32"/>
      <c r="C845" s="32"/>
      <c r="D845" s="32"/>
      <c r="E845" s="32"/>
      <c r="F845" s="32"/>
      <c r="G845" s="32"/>
      <c r="H845" s="32"/>
      <c r="I845" s="32"/>
      <c r="J845" s="32"/>
    </row>
    <row r="846" customFormat="false" ht="15.75" hidden="false" customHeight="true" outlineLevel="0" collapsed="false">
      <c r="A846" s="32"/>
      <c r="B846" s="32"/>
      <c r="C846" s="32"/>
      <c r="D846" s="32"/>
      <c r="E846" s="32"/>
      <c r="F846" s="32"/>
      <c r="G846" s="32"/>
      <c r="H846" s="32"/>
      <c r="I846" s="32"/>
      <c r="J846" s="32"/>
    </row>
    <row r="847" customFormat="false" ht="15.75" hidden="false" customHeight="true" outlineLevel="0" collapsed="false">
      <c r="A847" s="32"/>
      <c r="B847" s="32"/>
      <c r="C847" s="32"/>
      <c r="D847" s="32"/>
      <c r="E847" s="32"/>
      <c r="F847" s="32"/>
      <c r="G847" s="32"/>
      <c r="H847" s="32"/>
      <c r="I847" s="32"/>
      <c r="J847" s="32"/>
    </row>
    <row r="848" customFormat="false" ht="15.75" hidden="false" customHeight="true" outlineLevel="0" collapsed="false">
      <c r="A848" s="32"/>
      <c r="B848" s="32"/>
      <c r="C848" s="32"/>
      <c r="D848" s="32"/>
      <c r="E848" s="32"/>
      <c r="F848" s="32"/>
      <c r="G848" s="32"/>
      <c r="H848" s="32"/>
      <c r="I848" s="32"/>
      <c r="J848" s="32"/>
    </row>
    <row r="849" customFormat="false" ht="15.75" hidden="false" customHeight="true" outlineLevel="0" collapsed="false">
      <c r="A849" s="32"/>
      <c r="B849" s="32"/>
      <c r="C849" s="32"/>
      <c r="D849" s="32"/>
      <c r="E849" s="32"/>
      <c r="F849" s="32"/>
      <c r="G849" s="32"/>
      <c r="H849" s="32"/>
      <c r="I849" s="32"/>
      <c r="J849" s="32"/>
    </row>
    <row r="850" customFormat="false" ht="15.75" hidden="false" customHeight="true" outlineLevel="0" collapsed="false">
      <c r="A850" s="32"/>
      <c r="B850" s="32"/>
      <c r="C850" s="32"/>
      <c r="D850" s="32"/>
      <c r="E850" s="32"/>
      <c r="F850" s="32"/>
      <c r="G850" s="32"/>
      <c r="H850" s="32"/>
      <c r="I850" s="32"/>
      <c r="J850" s="32"/>
    </row>
    <row r="851" customFormat="false" ht="15.75" hidden="false" customHeight="true" outlineLevel="0" collapsed="false">
      <c r="A851" s="32"/>
      <c r="B851" s="32"/>
      <c r="C851" s="32"/>
      <c r="D851" s="32"/>
      <c r="E851" s="32"/>
      <c r="F851" s="32"/>
      <c r="G851" s="32"/>
      <c r="H851" s="32"/>
      <c r="I851" s="32"/>
      <c r="J851" s="32"/>
    </row>
    <row r="852" customFormat="false" ht="15.75" hidden="false" customHeight="true" outlineLevel="0" collapsed="false">
      <c r="A852" s="32"/>
      <c r="B852" s="32"/>
      <c r="C852" s="32"/>
      <c r="D852" s="32"/>
      <c r="E852" s="32"/>
      <c r="F852" s="32"/>
      <c r="G852" s="32"/>
      <c r="H852" s="32"/>
      <c r="I852" s="32"/>
      <c r="J852" s="32"/>
    </row>
    <row r="853" customFormat="false" ht="15.75" hidden="false" customHeight="true" outlineLevel="0" collapsed="false">
      <c r="A853" s="32"/>
      <c r="B853" s="32"/>
      <c r="C853" s="32"/>
      <c r="D853" s="32"/>
      <c r="E853" s="32"/>
      <c r="F853" s="32"/>
      <c r="G853" s="32"/>
      <c r="H853" s="32"/>
      <c r="I853" s="32"/>
      <c r="J853" s="32"/>
    </row>
    <row r="854" customFormat="false" ht="15.75" hidden="false" customHeight="true" outlineLevel="0" collapsed="false">
      <c r="A854" s="32"/>
      <c r="B854" s="32"/>
      <c r="C854" s="32"/>
      <c r="D854" s="32"/>
      <c r="E854" s="32"/>
      <c r="F854" s="32"/>
      <c r="G854" s="32"/>
      <c r="H854" s="32"/>
      <c r="I854" s="32"/>
      <c r="J854" s="32"/>
    </row>
    <row r="855" customFormat="false" ht="15.75" hidden="false" customHeight="true" outlineLevel="0" collapsed="false">
      <c r="A855" s="32"/>
      <c r="B855" s="32"/>
      <c r="C855" s="32"/>
      <c r="D855" s="32"/>
      <c r="E855" s="32"/>
      <c r="F855" s="32"/>
      <c r="G855" s="32"/>
      <c r="H855" s="32"/>
      <c r="I855" s="32"/>
      <c r="J855" s="32"/>
    </row>
    <row r="856" customFormat="false" ht="15.75" hidden="false" customHeight="true" outlineLevel="0" collapsed="false">
      <c r="A856" s="32"/>
      <c r="B856" s="32"/>
      <c r="C856" s="32"/>
      <c r="D856" s="32"/>
      <c r="E856" s="32"/>
      <c r="F856" s="32"/>
      <c r="G856" s="32"/>
      <c r="H856" s="32"/>
      <c r="I856" s="32"/>
      <c r="J856" s="32"/>
    </row>
    <row r="857" customFormat="false" ht="15.75" hidden="false" customHeight="true" outlineLevel="0" collapsed="false">
      <c r="A857" s="32"/>
      <c r="B857" s="32"/>
      <c r="C857" s="32"/>
      <c r="D857" s="32"/>
      <c r="E857" s="32"/>
      <c r="F857" s="32"/>
      <c r="G857" s="32"/>
      <c r="H857" s="32"/>
      <c r="I857" s="32"/>
      <c r="J857" s="32"/>
    </row>
    <row r="858" customFormat="false" ht="15.75" hidden="false" customHeight="true" outlineLevel="0" collapsed="false">
      <c r="A858" s="32"/>
      <c r="B858" s="32"/>
      <c r="C858" s="32"/>
      <c r="D858" s="32"/>
      <c r="E858" s="32"/>
      <c r="F858" s="32"/>
      <c r="G858" s="32"/>
      <c r="H858" s="32"/>
      <c r="I858" s="32"/>
      <c r="J858" s="32"/>
    </row>
    <row r="859" customFormat="false" ht="15.75" hidden="false" customHeight="true" outlineLevel="0" collapsed="false">
      <c r="A859" s="32"/>
      <c r="B859" s="32"/>
      <c r="C859" s="32"/>
      <c r="D859" s="32"/>
      <c r="E859" s="32"/>
      <c r="F859" s="32"/>
      <c r="G859" s="32"/>
      <c r="H859" s="32"/>
      <c r="I859" s="32"/>
      <c r="J859" s="32"/>
    </row>
    <row r="860" customFormat="false" ht="15.75" hidden="false" customHeight="true" outlineLevel="0" collapsed="false">
      <c r="A860" s="32"/>
      <c r="B860" s="32"/>
      <c r="C860" s="32"/>
      <c r="D860" s="32"/>
      <c r="E860" s="32"/>
      <c r="F860" s="32"/>
      <c r="G860" s="32"/>
      <c r="H860" s="32"/>
      <c r="I860" s="32"/>
      <c r="J860" s="32"/>
    </row>
    <row r="861" customFormat="false" ht="15.75" hidden="false" customHeight="true" outlineLevel="0" collapsed="false">
      <c r="A861" s="32"/>
      <c r="B861" s="32"/>
      <c r="C861" s="32"/>
      <c r="D861" s="32"/>
      <c r="E861" s="32"/>
      <c r="F861" s="32"/>
      <c r="G861" s="32"/>
      <c r="H861" s="32"/>
      <c r="I861" s="32"/>
      <c r="J861" s="32"/>
    </row>
    <row r="862" customFormat="false" ht="15.75" hidden="false" customHeight="true" outlineLevel="0" collapsed="false">
      <c r="A862" s="32"/>
      <c r="B862" s="32"/>
      <c r="C862" s="32"/>
      <c r="D862" s="32"/>
      <c r="E862" s="32"/>
      <c r="F862" s="32"/>
      <c r="G862" s="32"/>
      <c r="H862" s="32"/>
      <c r="I862" s="32"/>
      <c r="J862" s="32"/>
    </row>
    <row r="863" customFormat="false" ht="15.75" hidden="false" customHeight="true" outlineLevel="0" collapsed="false">
      <c r="A863" s="32"/>
      <c r="B863" s="32"/>
      <c r="C863" s="32"/>
      <c r="D863" s="32"/>
      <c r="E863" s="32"/>
      <c r="F863" s="32"/>
      <c r="G863" s="32"/>
      <c r="H863" s="32"/>
      <c r="I863" s="32"/>
      <c r="J863" s="32"/>
    </row>
    <row r="864" customFormat="false" ht="15.75" hidden="false" customHeight="true" outlineLevel="0" collapsed="false">
      <c r="A864" s="32"/>
      <c r="B864" s="32"/>
      <c r="C864" s="32"/>
      <c r="D864" s="32"/>
      <c r="E864" s="32"/>
      <c r="F864" s="32"/>
      <c r="G864" s="32"/>
      <c r="H864" s="32"/>
      <c r="I864" s="32"/>
      <c r="J864" s="32"/>
    </row>
    <row r="865" customFormat="false" ht="15.75" hidden="false" customHeight="true" outlineLevel="0" collapsed="false">
      <c r="A865" s="32"/>
      <c r="B865" s="32"/>
      <c r="C865" s="32"/>
      <c r="D865" s="32"/>
      <c r="E865" s="32"/>
      <c r="F865" s="32"/>
      <c r="G865" s="32"/>
      <c r="H865" s="32"/>
      <c r="I865" s="32"/>
      <c r="J865" s="32"/>
    </row>
    <row r="866" customFormat="false" ht="15.75" hidden="false" customHeight="true" outlineLevel="0" collapsed="false">
      <c r="A866" s="32"/>
      <c r="B866" s="32"/>
      <c r="C866" s="32"/>
      <c r="D866" s="32"/>
      <c r="E866" s="32"/>
      <c r="F866" s="32"/>
      <c r="G866" s="32"/>
      <c r="H866" s="32"/>
      <c r="I866" s="32"/>
      <c r="J866" s="32"/>
    </row>
    <row r="867" customFormat="false" ht="15.75" hidden="false" customHeight="true" outlineLevel="0" collapsed="false">
      <c r="A867" s="32"/>
      <c r="B867" s="32"/>
      <c r="C867" s="32"/>
      <c r="D867" s="32"/>
      <c r="E867" s="32"/>
      <c r="F867" s="32"/>
      <c r="G867" s="32"/>
      <c r="H867" s="32"/>
      <c r="I867" s="32"/>
      <c r="J867" s="32"/>
    </row>
    <row r="868" customFormat="false" ht="15.75" hidden="false" customHeight="true" outlineLevel="0" collapsed="false">
      <c r="A868" s="32"/>
      <c r="B868" s="32"/>
      <c r="C868" s="32"/>
      <c r="D868" s="32"/>
      <c r="E868" s="32"/>
      <c r="F868" s="32"/>
      <c r="G868" s="32"/>
      <c r="H868" s="32"/>
      <c r="I868" s="32"/>
      <c r="J868" s="32"/>
    </row>
    <row r="869" customFormat="false" ht="15.75" hidden="false" customHeight="true" outlineLevel="0" collapsed="false">
      <c r="A869" s="32"/>
      <c r="B869" s="32"/>
      <c r="C869" s="32"/>
      <c r="D869" s="32"/>
      <c r="E869" s="32"/>
      <c r="F869" s="32"/>
      <c r="G869" s="32"/>
      <c r="H869" s="32"/>
      <c r="I869" s="32"/>
      <c r="J869" s="32"/>
    </row>
    <row r="870" customFormat="false" ht="15.75" hidden="false" customHeight="true" outlineLevel="0" collapsed="false">
      <c r="A870" s="32"/>
      <c r="B870" s="32"/>
      <c r="C870" s="32"/>
      <c r="D870" s="32"/>
      <c r="E870" s="32"/>
      <c r="F870" s="32"/>
      <c r="G870" s="32"/>
      <c r="H870" s="32"/>
      <c r="I870" s="32"/>
      <c r="J870" s="32"/>
    </row>
    <row r="871" customFormat="false" ht="15.75" hidden="false" customHeight="true" outlineLevel="0" collapsed="false">
      <c r="A871" s="32"/>
      <c r="B871" s="32"/>
      <c r="C871" s="32"/>
      <c r="D871" s="32"/>
      <c r="E871" s="32"/>
      <c r="F871" s="32"/>
      <c r="G871" s="32"/>
      <c r="H871" s="32"/>
      <c r="I871" s="32"/>
      <c r="J871" s="32"/>
    </row>
    <row r="872" customFormat="false" ht="15.75" hidden="false" customHeight="true" outlineLevel="0" collapsed="false">
      <c r="A872" s="32"/>
      <c r="B872" s="32"/>
      <c r="C872" s="32"/>
      <c r="D872" s="32"/>
      <c r="E872" s="32"/>
      <c r="F872" s="32"/>
      <c r="G872" s="32"/>
      <c r="H872" s="32"/>
      <c r="I872" s="32"/>
      <c r="J872" s="32"/>
    </row>
    <row r="873" customFormat="false" ht="15.75" hidden="false" customHeight="true" outlineLevel="0" collapsed="false">
      <c r="A873" s="32"/>
      <c r="B873" s="32"/>
      <c r="C873" s="32"/>
      <c r="D873" s="32"/>
      <c r="E873" s="32"/>
      <c r="F873" s="32"/>
      <c r="G873" s="32"/>
      <c r="H873" s="32"/>
      <c r="I873" s="32"/>
      <c r="J873" s="32"/>
    </row>
    <row r="874" customFormat="false" ht="15.75" hidden="false" customHeight="true" outlineLevel="0" collapsed="false">
      <c r="A874" s="32"/>
      <c r="B874" s="32"/>
      <c r="C874" s="32"/>
      <c r="D874" s="32"/>
      <c r="E874" s="32"/>
      <c r="F874" s="32"/>
      <c r="G874" s="32"/>
      <c r="H874" s="32"/>
      <c r="I874" s="32"/>
      <c r="J874" s="32"/>
    </row>
    <row r="875" customFormat="false" ht="15.75" hidden="false" customHeight="true" outlineLevel="0" collapsed="false">
      <c r="A875" s="32"/>
      <c r="B875" s="32"/>
      <c r="C875" s="32"/>
      <c r="D875" s="32"/>
      <c r="E875" s="32"/>
      <c r="F875" s="32"/>
      <c r="G875" s="32"/>
      <c r="H875" s="32"/>
      <c r="I875" s="32"/>
      <c r="J875" s="32"/>
    </row>
    <row r="876" customFormat="false" ht="15.75" hidden="false" customHeight="true" outlineLevel="0" collapsed="false">
      <c r="A876" s="32"/>
      <c r="B876" s="32"/>
      <c r="C876" s="32"/>
      <c r="D876" s="32"/>
      <c r="E876" s="32"/>
      <c r="F876" s="32"/>
      <c r="G876" s="32"/>
      <c r="H876" s="32"/>
      <c r="I876" s="32"/>
      <c r="J876" s="32"/>
    </row>
    <row r="877" customFormat="false" ht="15.75" hidden="false" customHeight="true" outlineLevel="0" collapsed="false">
      <c r="A877" s="32"/>
      <c r="B877" s="32"/>
      <c r="C877" s="32"/>
      <c r="D877" s="32"/>
      <c r="E877" s="32"/>
      <c r="F877" s="32"/>
      <c r="G877" s="32"/>
      <c r="H877" s="32"/>
      <c r="I877" s="32"/>
      <c r="J877" s="32"/>
    </row>
    <row r="878" customFormat="false" ht="15.75" hidden="false" customHeight="true" outlineLevel="0" collapsed="false">
      <c r="A878" s="32"/>
      <c r="B878" s="32"/>
      <c r="C878" s="32"/>
      <c r="D878" s="32"/>
      <c r="E878" s="32"/>
      <c r="F878" s="32"/>
      <c r="G878" s="32"/>
      <c r="H878" s="32"/>
      <c r="I878" s="32"/>
      <c r="J878" s="32"/>
    </row>
    <row r="879" customFormat="false" ht="15.75" hidden="false" customHeight="true" outlineLevel="0" collapsed="false">
      <c r="A879" s="32"/>
      <c r="B879" s="32"/>
      <c r="C879" s="32"/>
      <c r="D879" s="32"/>
      <c r="E879" s="32"/>
      <c r="F879" s="32"/>
      <c r="G879" s="32"/>
      <c r="H879" s="32"/>
      <c r="I879" s="32"/>
      <c r="J879" s="32"/>
    </row>
    <row r="880" customFormat="false" ht="15.75" hidden="false" customHeight="true" outlineLevel="0" collapsed="false">
      <c r="A880" s="32"/>
      <c r="B880" s="32"/>
      <c r="C880" s="32"/>
      <c r="D880" s="32"/>
      <c r="E880" s="32"/>
      <c r="F880" s="32"/>
      <c r="G880" s="32"/>
      <c r="H880" s="32"/>
      <c r="I880" s="32"/>
      <c r="J880" s="32"/>
    </row>
    <row r="881" customFormat="false" ht="15.75" hidden="false" customHeight="true" outlineLevel="0" collapsed="false">
      <c r="A881" s="32"/>
      <c r="B881" s="32"/>
      <c r="C881" s="32"/>
      <c r="D881" s="32"/>
      <c r="E881" s="32"/>
      <c r="F881" s="32"/>
      <c r="G881" s="32"/>
      <c r="H881" s="32"/>
      <c r="I881" s="32"/>
      <c r="J881" s="32"/>
    </row>
    <row r="882" customFormat="false" ht="15.75" hidden="false" customHeight="true" outlineLevel="0" collapsed="false">
      <c r="A882" s="32"/>
      <c r="B882" s="32"/>
      <c r="C882" s="32"/>
      <c r="D882" s="32"/>
      <c r="E882" s="32"/>
      <c r="F882" s="32"/>
      <c r="G882" s="32"/>
      <c r="H882" s="32"/>
      <c r="I882" s="32"/>
      <c r="J882" s="32"/>
    </row>
    <row r="883" customFormat="false" ht="15.75" hidden="false" customHeight="true" outlineLevel="0" collapsed="false">
      <c r="A883" s="32"/>
      <c r="B883" s="32"/>
      <c r="C883" s="32"/>
      <c r="D883" s="32"/>
      <c r="E883" s="32"/>
      <c r="F883" s="32"/>
      <c r="G883" s="32"/>
      <c r="H883" s="32"/>
      <c r="I883" s="32"/>
      <c r="J883" s="32"/>
    </row>
    <row r="884" customFormat="false" ht="15.75" hidden="false" customHeight="true" outlineLevel="0" collapsed="false">
      <c r="A884" s="32"/>
      <c r="B884" s="32"/>
      <c r="C884" s="32"/>
      <c r="D884" s="32"/>
      <c r="E884" s="32"/>
      <c r="F884" s="32"/>
      <c r="G884" s="32"/>
      <c r="H884" s="32"/>
      <c r="I884" s="32"/>
      <c r="J884" s="32"/>
    </row>
    <row r="885" customFormat="false" ht="15.75" hidden="false" customHeight="true" outlineLevel="0" collapsed="false">
      <c r="A885" s="32"/>
      <c r="B885" s="32"/>
      <c r="C885" s="32"/>
      <c r="D885" s="32"/>
      <c r="E885" s="32"/>
      <c r="F885" s="32"/>
      <c r="G885" s="32"/>
      <c r="H885" s="32"/>
      <c r="I885" s="32"/>
      <c r="J885" s="32"/>
    </row>
    <row r="886" customFormat="false" ht="15.75" hidden="false" customHeight="true" outlineLevel="0" collapsed="false">
      <c r="A886" s="32"/>
      <c r="B886" s="32"/>
      <c r="C886" s="32"/>
      <c r="D886" s="32"/>
      <c r="E886" s="32"/>
      <c r="F886" s="32"/>
      <c r="G886" s="32"/>
      <c r="H886" s="32"/>
      <c r="I886" s="32"/>
      <c r="J886" s="32"/>
    </row>
    <row r="887" customFormat="false" ht="15.75" hidden="false" customHeight="true" outlineLevel="0" collapsed="false">
      <c r="A887" s="32"/>
      <c r="B887" s="32"/>
      <c r="C887" s="32"/>
      <c r="D887" s="32"/>
      <c r="E887" s="32"/>
      <c r="F887" s="32"/>
      <c r="G887" s="32"/>
      <c r="H887" s="32"/>
      <c r="I887" s="32"/>
      <c r="J887" s="32"/>
    </row>
    <row r="888" customFormat="false" ht="15.75" hidden="false" customHeight="true" outlineLevel="0" collapsed="false">
      <c r="A888" s="32"/>
      <c r="B888" s="32"/>
      <c r="C888" s="32"/>
      <c r="D888" s="32"/>
      <c r="E888" s="32"/>
      <c r="F888" s="32"/>
      <c r="G888" s="32"/>
      <c r="H888" s="32"/>
      <c r="I888" s="32"/>
      <c r="J888" s="32"/>
    </row>
    <row r="889" customFormat="false" ht="15.75" hidden="false" customHeight="true" outlineLevel="0" collapsed="false">
      <c r="A889" s="32"/>
      <c r="B889" s="32"/>
      <c r="C889" s="32"/>
      <c r="D889" s="32"/>
      <c r="E889" s="32"/>
      <c r="F889" s="32"/>
      <c r="G889" s="32"/>
      <c r="H889" s="32"/>
      <c r="I889" s="32"/>
      <c r="J889" s="32"/>
    </row>
    <row r="890" customFormat="false" ht="15.75" hidden="false" customHeight="true" outlineLevel="0" collapsed="false">
      <c r="A890" s="32"/>
      <c r="B890" s="32"/>
      <c r="C890" s="32"/>
      <c r="D890" s="32"/>
      <c r="E890" s="32"/>
      <c r="F890" s="32"/>
      <c r="G890" s="32"/>
      <c r="H890" s="32"/>
      <c r="I890" s="32"/>
      <c r="J890" s="32"/>
    </row>
    <row r="891" customFormat="false" ht="15.75" hidden="false" customHeight="true" outlineLevel="0" collapsed="false">
      <c r="A891" s="32"/>
      <c r="B891" s="32"/>
      <c r="C891" s="32"/>
      <c r="D891" s="32"/>
      <c r="E891" s="32"/>
      <c r="F891" s="32"/>
      <c r="G891" s="32"/>
      <c r="H891" s="32"/>
      <c r="I891" s="32"/>
      <c r="J891" s="32"/>
    </row>
    <row r="892" customFormat="false" ht="15.75" hidden="false" customHeight="true" outlineLevel="0" collapsed="false">
      <c r="A892" s="32"/>
      <c r="B892" s="32"/>
      <c r="C892" s="32"/>
      <c r="D892" s="32"/>
      <c r="E892" s="32"/>
      <c r="F892" s="32"/>
      <c r="G892" s="32"/>
      <c r="H892" s="32"/>
      <c r="I892" s="32"/>
      <c r="J892" s="32"/>
    </row>
    <row r="893" customFormat="false" ht="15.75" hidden="false" customHeight="true" outlineLevel="0" collapsed="false">
      <c r="A893" s="32"/>
      <c r="B893" s="32"/>
      <c r="C893" s="32"/>
      <c r="D893" s="32"/>
      <c r="E893" s="32"/>
      <c r="F893" s="32"/>
      <c r="G893" s="32"/>
      <c r="H893" s="32"/>
      <c r="I893" s="32"/>
      <c r="J893" s="32"/>
    </row>
    <row r="894" customFormat="false" ht="15.75" hidden="false" customHeight="true" outlineLevel="0" collapsed="false">
      <c r="A894" s="32"/>
      <c r="B894" s="32"/>
      <c r="C894" s="32"/>
      <c r="D894" s="32"/>
      <c r="E894" s="32"/>
      <c r="F894" s="32"/>
      <c r="G894" s="32"/>
      <c r="H894" s="32"/>
      <c r="I894" s="32"/>
      <c r="J894" s="32"/>
    </row>
    <row r="895" customFormat="false" ht="15.75" hidden="false" customHeight="true" outlineLevel="0" collapsed="false">
      <c r="A895" s="32"/>
      <c r="B895" s="32"/>
      <c r="C895" s="32"/>
      <c r="D895" s="32"/>
      <c r="E895" s="32"/>
      <c r="F895" s="32"/>
      <c r="G895" s="32"/>
      <c r="H895" s="32"/>
      <c r="I895" s="32"/>
      <c r="J895" s="32"/>
    </row>
    <row r="896" customFormat="false" ht="15.75" hidden="false" customHeight="true" outlineLevel="0" collapsed="false">
      <c r="A896" s="32"/>
      <c r="B896" s="32"/>
      <c r="C896" s="32"/>
      <c r="D896" s="32"/>
      <c r="E896" s="32"/>
      <c r="F896" s="32"/>
      <c r="G896" s="32"/>
      <c r="H896" s="32"/>
      <c r="I896" s="32"/>
      <c r="J896" s="32"/>
    </row>
    <row r="897" customFormat="false" ht="15.75" hidden="false" customHeight="true" outlineLevel="0" collapsed="false">
      <c r="A897" s="32"/>
      <c r="B897" s="32"/>
      <c r="C897" s="32"/>
      <c r="D897" s="32"/>
      <c r="E897" s="32"/>
      <c r="F897" s="32"/>
      <c r="G897" s="32"/>
      <c r="H897" s="32"/>
      <c r="I897" s="32"/>
      <c r="J897" s="32"/>
    </row>
    <row r="898" customFormat="false" ht="15.75" hidden="false" customHeight="true" outlineLevel="0" collapsed="false">
      <c r="A898" s="32"/>
      <c r="B898" s="32"/>
      <c r="C898" s="32"/>
      <c r="D898" s="32"/>
      <c r="E898" s="32"/>
      <c r="F898" s="32"/>
      <c r="G898" s="32"/>
      <c r="H898" s="32"/>
      <c r="I898" s="32"/>
      <c r="J898" s="32"/>
    </row>
    <row r="899" customFormat="false" ht="15.75" hidden="false" customHeight="true" outlineLevel="0" collapsed="false">
      <c r="A899" s="32"/>
      <c r="B899" s="32"/>
      <c r="C899" s="32"/>
      <c r="D899" s="32"/>
      <c r="E899" s="32"/>
      <c r="F899" s="32"/>
      <c r="G899" s="32"/>
      <c r="H899" s="32"/>
      <c r="I899" s="32"/>
      <c r="J899" s="32"/>
    </row>
    <row r="900" customFormat="false" ht="15.75" hidden="false" customHeight="true" outlineLevel="0" collapsed="false">
      <c r="A900" s="32"/>
      <c r="B900" s="32"/>
      <c r="C900" s="32"/>
      <c r="D900" s="32"/>
      <c r="E900" s="32"/>
      <c r="F900" s="32"/>
      <c r="G900" s="32"/>
      <c r="H900" s="32"/>
      <c r="I900" s="32"/>
      <c r="J900" s="32"/>
    </row>
    <row r="901" customFormat="false" ht="15.75" hidden="false" customHeight="true" outlineLevel="0" collapsed="false">
      <c r="A901" s="32"/>
      <c r="B901" s="32"/>
      <c r="C901" s="32"/>
      <c r="D901" s="32"/>
      <c r="E901" s="32"/>
      <c r="F901" s="32"/>
      <c r="G901" s="32"/>
      <c r="H901" s="32"/>
      <c r="I901" s="32"/>
      <c r="J901" s="32"/>
    </row>
    <row r="902" customFormat="false" ht="15.75" hidden="false" customHeight="true" outlineLevel="0" collapsed="false">
      <c r="A902" s="32"/>
      <c r="B902" s="32"/>
      <c r="C902" s="32"/>
      <c r="D902" s="32"/>
      <c r="E902" s="32"/>
      <c r="F902" s="32"/>
      <c r="G902" s="32"/>
      <c r="H902" s="32"/>
      <c r="I902" s="32"/>
      <c r="J902" s="32"/>
    </row>
    <row r="903" customFormat="false" ht="15.75" hidden="false" customHeight="true" outlineLevel="0" collapsed="false">
      <c r="A903" s="32"/>
      <c r="B903" s="32"/>
      <c r="C903" s="32"/>
      <c r="D903" s="32"/>
      <c r="E903" s="32"/>
      <c r="F903" s="32"/>
      <c r="G903" s="32"/>
      <c r="H903" s="32"/>
      <c r="I903" s="32"/>
      <c r="J903" s="32"/>
    </row>
    <row r="904" customFormat="false" ht="15.75" hidden="false" customHeight="true" outlineLevel="0" collapsed="false">
      <c r="A904" s="32"/>
      <c r="B904" s="32"/>
      <c r="C904" s="32"/>
      <c r="D904" s="32"/>
      <c r="E904" s="32"/>
      <c r="F904" s="32"/>
      <c r="G904" s="32"/>
      <c r="H904" s="32"/>
      <c r="I904" s="32"/>
      <c r="J904" s="32"/>
    </row>
    <row r="905" customFormat="false" ht="15.75" hidden="false" customHeight="true" outlineLevel="0" collapsed="false">
      <c r="A905" s="32"/>
      <c r="B905" s="32"/>
      <c r="C905" s="32"/>
      <c r="D905" s="32"/>
      <c r="E905" s="32"/>
      <c r="F905" s="32"/>
      <c r="G905" s="32"/>
      <c r="H905" s="32"/>
      <c r="I905" s="32"/>
      <c r="J905" s="32"/>
    </row>
    <row r="906" customFormat="false" ht="15.75" hidden="false" customHeight="true" outlineLevel="0" collapsed="false">
      <c r="A906" s="32"/>
      <c r="B906" s="32"/>
      <c r="C906" s="32"/>
      <c r="D906" s="32"/>
      <c r="E906" s="32"/>
      <c r="F906" s="32"/>
      <c r="G906" s="32"/>
      <c r="H906" s="32"/>
      <c r="I906" s="32"/>
      <c r="J906" s="32"/>
    </row>
    <row r="907" customFormat="false" ht="15.75" hidden="false" customHeight="true" outlineLevel="0" collapsed="false">
      <c r="A907" s="32"/>
      <c r="B907" s="32"/>
      <c r="C907" s="32"/>
      <c r="D907" s="32"/>
      <c r="E907" s="32"/>
      <c r="F907" s="32"/>
      <c r="G907" s="32"/>
      <c r="H907" s="32"/>
      <c r="I907" s="32"/>
      <c r="J907" s="32"/>
    </row>
    <row r="908" customFormat="false" ht="15.75" hidden="false" customHeight="true" outlineLevel="0" collapsed="false">
      <c r="A908" s="32"/>
      <c r="B908" s="32"/>
      <c r="C908" s="32"/>
      <c r="D908" s="32"/>
      <c r="E908" s="32"/>
      <c r="F908" s="32"/>
      <c r="G908" s="32"/>
      <c r="H908" s="32"/>
      <c r="I908" s="32"/>
      <c r="J908" s="32"/>
    </row>
    <row r="909" customFormat="false" ht="15.75" hidden="false" customHeight="true" outlineLevel="0" collapsed="false">
      <c r="A909" s="32"/>
      <c r="B909" s="32"/>
      <c r="C909" s="32"/>
      <c r="D909" s="32"/>
      <c r="E909" s="32"/>
      <c r="F909" s="32"/>
      <c r="G909" s="32"/>
      <c r="H909" s="32"/>
      <c r="I909" s="32"/>
      <c r="J909" s="32"/>
    </row>
    <row r="910" customFormat="false" ht="15.75" hidden="false" customHeight="true" outlineLevel="0" collapsed="false">
      <c r="A910" s="32"/>
      <c r="B910" s="32"/>
      <c r="C910" s="32"/>
      <c r="D910" s="32"/>
      <c r="E910" s="32"/>
      <c r="F910" s="32"/>
      <c r="G910" s="32"/>
      <c r="H910" s="32"/>
      <c r="I910" s="32"/>
      <c r="J910" s="32"/>
    </row>
    <row r="911" customFormat="false" ht="15.75" hidden="false" customHeight="true" outlineLevel="0" collapsed="false">
      <c r="A911" s="32"/>
      <c r="B911" s="32"/>
      <c r="C911" s="32"/>
      <c r="D911" s="32"/>
      <c r="E911" s="32"/>
      <c r="F911" s="32"/>
      <c r="G911" s="32"/>
      <c r="H911" s="32"/>
      <c r="I911" s="32"/>
      <c r="J911" s="32"/>
    </row>
    <row r="912" customFormat="false" ht="15.75" hidden="false" customHeight="true" outlineLevel="0" collapsed="false">
      <c r="A912" s="32"/>
      <c r="B912" s="32"/>
      <c r="C912" s="32"/>
      <c r="D912" s="32"/>
      <c r="E912" s="32"/>
      <c r="F912" s="32"/>
      <c r="G912" s="32"/>
      <c r="H912" s="32"/>
      <c r="I912" s="32"/>
      <c r="J912" s="32"/>
    </row>
    <row r="913" customFormat="false" ht="15.75" hidden="false" customHeight="true" outlineLevel="0" collapsed="false">
      <c r="A913" s="32"/>
      <c r="B913" s="32"/>
      <c r="C913" s="32"/>
      <c r="D913" s="32"/>
      <c r="E913" s="32"/>
      <c r="F913" s="32"/>
      <c r="G913" s="32"/>
      <c r="H913" s="32"/>
      <c r="I913" s="32"/>
      <c r="J913" s="32"/>
    </row>
    <row r="914" customFormat="false" ht="15.75" hidden="false" customHeight="true" outlineLevel="0" collapsed="false">
      <c r="A914" s="32"/>
      <c r="B914" s="32"/>
      <c r="C914" s="32"/>
      <c r="D914" s="32"/>
      <c r="E914" s="32"/>
      <c r="F914" s="32"/>
      <c r="G914" s="32"/>
      <c r="H914" s="32"/>
      <c r="I914" s="32"/>
      <c r="J914" s="32"/>
    </row>
    <row r="915" customFormat="false" ht="15.75" hidden="false" customHeight="true" outlineLevel="0" collapsed="false">
      <c r="A915" s="32"/>
      <c r="B915" s="32"/>
      <c r="C915" s="32"/>
      <c r="D915" s="32"/>
      <c r="E915" s="32"/>
      <c r="F915" s="32"/>
      <c r="G915" s="32"/>
      <c r="H915" s="32"/>
      <c r="I915" s="32"/>
      <c r="J915" s="32"/>
    </row>
    <row r="916" customFormat="false" ht="15.75" hidden="false" customHeight="true" outlineLevel="0" collapsed="false">
      <c r="A916" s="32"/>
      <c r="B916" s="32"/>
      <c r="C916" s="32"/>
      <c r="D916" s="32"/>
      <c r="E916" s="32"/>
      <c r="F916" s="32"/>
      <c r="G916" s="32"/>
      <c r="H916" s="32"/>
      <c r="I916" s="32"/>
      <c r="J916" s="32"/>
    </row>
    <row r="917" customFormat="false" ht="15.75" hidden="false" customHeight="true" outlineLevel="0" collapsed="false">
      <c r="A917" s="32"/>
      <c r="B917" s="32"/>
      <c r="C917" s="32"/>
      <c r="D917" s="32"/>
      <c r="E917" s="32"/>
      <c r="F917" s="32"/>
      <c r="G917" s="32"/>
      <c r="H917" s="32"/>
      <c r="I917" s="32"/>
      <c r="J917" s="32"/>
    </row>
    <row r="918" customFormat="false" ht="15.75" hidden="false" customHeight="true" outlineLevel="0" collapsed="false">
      <c r="A918" s="32"/>
      <c r="B918" s="32"/>
      <c r="C918" s="32"/>
      <c r="D918" s="32"/>
      <c r="E918" s="32"/>
      <c r="F918" s="32"/>
      <c r="G918" s="32"/>
      <c r="H918" s="32"/>
      <c r="I918" s="32"/>
      <c r="J918" s="32"/>
    </row>
    <row r="919" customFormat="false" ht="15.75" hidden="false" customHeight="true" outlineLevel="0" collapsed="false">
      <c r="A919" s="32"/>
      <c r="B919" s="32"/>
      <c r="C919" s="32"/>
      <c r="D919" s="32"/>
      <c r="E919" s="32"/>
      <c r="F919" s="32"/>
      <c r="G919" s="32"/>
      <c r="H919" s="32"/>
      <c r="I919" s="32"/>
      <c r="J919" s="32"/>
    </row>
    <row r="920" customFormat="false" ht="15.75" hidden="false" customHeight="true" outlineLevel="0" collapsed="false">
      <c r="A920" s="32"/>
      <c r="B920" s="32"/>
      <c r="C920" s="32"/>
      <c r="D920" s="32"/>
      <c r="E920" s="32"/>
      <c r="F920" s="32"/>
      <c r="G920" s="32"/>
      <c r="H920" s="32"/>
      <c r="I920" s="32"/>
      <c r="J920" s="32"/>
    </row>
    <row r="921" customFormat="false" ht="15.75" hidden="false" customHeight="true" outlineLevel="0" collapsed="false">
      <c r="A921" s="32"/>
      <c r="B921" s="32"/>
      <c r="C921" s="32"/>
      <c r="D921" s="32"/>
      <c r="E921" s="32"/>
      <c r="F921" s="32"/>
      <c r="G921" s="32"/>
      <c r="H921" s="32"/>
      <c r="I921" s="32"/>
      <c r="J921" s="32"/>
    </row>
    <row r="922" customFormat="false" ht="15.75" hidden="false" customHeight="true" outlineLevel="0" collapsed="false">
      <c r="A922" s="32"/>
      <c r="B922" s="32"/>
      <c r="C922" s="32"/>
      <c r="D922" s="32"/>
      <c r="E922" s="32"/>
      <c r="F922" s="32"/>
      <c r="G922" s="32"/>
      <c r="H922" s="32"/>
      <c r="I922" s="32"/>
      <c r="J922" s="32"/>
    </row>
    <row r="923" customFormat="false" ht="15.75" hidden="false" customHeight="true" outlineLevel="0" collapsed="false">
      <c r="A923" s="32"/>
      <c r="B923" s="32"/>
      <c r="C923" s="32"/>
      <c r="D923" s="32"/>
      <c r="E923" s="32"/>
      <c r="F923" s="32"/>
      <c r="G923" s="32"/>
      <c r="H923" s="32"/>
      <c r="I923" s="32"/>
      <c r="J923" s="32"/>
    </row>
    <row r="924" customFormat="false" ht="15.75" hidden="false" customHeight="true" outlineLevel="0" collapsed="false">
      <c r="A924" s="32"/>
      <c r="B924" s="32"/>
      <c r="C924" s="32"/>
      <c r="D924" s="32"/>
      <c r="E924" s="32"/>
      <c r="F924" s="32"/>
      <c r="G924" s="32"/>
      <c r="H924" s="32"/>
      <c r="I924" s="32"/>
      <c r="J924" s="32"/>
    </row>
    <row r="925" customFormat="false" ht="15.75" hidden="false" customHeight="true" outlineLevel="0" collapsed="false">
      <c r="A925" s="32"/>
      <c r="B925" s="32"/>
      <c r="C925" s="32"/>
      <c r="D925" s="32"/>
      <c r="E925" s="32"/>
      <c r="F925" s="32"/>
      <c r="G925" s="32"/>
      <c r="H925" s="32"/>
      <c r="I925" s="32"/>
      <c r="J925" s="32"/>
    </row>
    <row r="926" customFormat="false" ht="15.75" hidden="false" customHeight="true" outlineLevel="0" collapsed="false">
      <c r="A926" s="32"/>
      <c r="B926" s="32"/>
      <c r="C926" s="32"/>
      <c r="D926" s="32"/>
      <c r="E926" s="32"/>
      <c r="F926" s="32"/>
      <c r="G926" s="32"/>
      <c r="H926" s="32"/>
      <c r="I926" s="32"/>
      <c r="J926" s="32"/>
    </row>
    <row r="927" customFormat="false" ht="15.75" hidden="false" customHeight="true" outlineLevel="0" collapsed="false">
      <c r="A927" s="32"/>
      <c r="B927" s="32"/>
      <c r="C927" s="32"/>
      <c r="D927" s="32"/>
      <c r="E927" s="32"/>
      <c r="F927" s="32"/>
      <c r="G927" s="32"/>
      <c r="H927" s="32"/>
      <c r="I927" s="32"/>
      <c r="J927" s="32"/>
    </row>
    <row r="928" customFormat="false" ht="15.75" hidden="false" customHeight="true" outlineLevel="0" collapsed="false">
      <c r="A928" s="32"/>
      <c r="B928" s="32"/>
      <c r="C928" s="32"/>
      <c r="D928" s="32"/>
      <c r="E928" s="32"/>
      <c r="F928" s="32"/>
      <c r="G928" s="32"/>
      <c r="H928" s="32"/>
      <c r="I928" s="32"/>
      <c r="J928" s="32"/>
    </row>
    <row r="929" customFormat="false" ht="15.75" hidden="false" customHeight="true" outlineLevel="0" collapsed="false">
      <c r="A929" s="32"/>
      <c r="B929" s="32"/>
      <c r="C929" s="32"/>
      <c r="D929" s="32"/>
      <c r="E929" s="32"/>
      <c r="F929" s="32"/>
      <c r="G929" s="32"/>
      <c r="H929" s="32"/>
      <c r="I929" s="32"/>
      <c r="J929" s="32"/>
    </row>
    <row r="930" customFormat="false" ht="15.75" hidden="false" customHeight="true" outlineLevel="0" collapsed="false">
      <c r="A930" s="32"/>
      <c r="B930" s="32"/>
      <c r="C930" s="32"/>
      <c r="D930" s="32"/>
      <c r="E930" s="32"/>
      <c r="F930" s="32"/>
      <c r="G930" s="32"/>
      <c r="H930" s="32"/>
      <c r="I930" s="32"/>
      <c r="J930" s="32"/>
    </row>
    <row r="931" customFormat="false" ht="15.75" hidden="false" customHeight="true" outlineLevel="0" collapsed="false">
      <c r="A931" s="32"/>
      <c r="B931" s="32"/>
      <c r="C931" s="32"/>
      <c r="D931" s="32"/>
      <c r="E931" s="32"/>
      <c r="F931" s="32"/>
      <c r="G931" s="32"/>
      <c r="H931" s="32"/>
      <c r="I931" s="32"/>
      <c r="J931" s="32"/>
    </row>
    <row r="932" customFormat="false" ht="15.75" hidden="false" customHeight="true" outlineLevel="0" collapsed="false">
      <c r="A932" s="32"/>
      <c r="B932" s="32"/>
      <c r="C932" s="32"/>
      <c r="D932" s="32"/>
      <c r="E932" s="32"/>
      <c r="F932" s="32"/>
      <c r="G932" s="32"/>
      <c r="H932" s="32"/>
      <c r="I932" s="32"/>
      <c r="J932" s="32"/>
    </row>
    <row r="933" customFormat="false" ht="15.75" hidden="false" customHeight="true" outlineLevel="0" collapsed="false">
      <c r="A933" s="32"/>
      <c r="B933" s="32"/>
      <c r="C933" s="32"/>
      <c r="D933" s="32"/>
      <c r="E933" s="32"/>
      <c r="F933" s="32"/>
      <c r="G933" s="32"/>
      <c r="H933" s="32"/>
      <c r="I933" s="32"/>
      <c r="J933" s="32"/>
    </row>
    <row r="934" customFormat="false" ht="15.75" hidden="false" customHeight="true" outlineLevel="0" collapsed="false">
      <c r="A934" s="32"/>
      <c r="B934" s="32"/>
      <c r="C934" s="32"/>
      <c r="D934" s="32"/>
      <c r="E934" s="32"/>
      <c r="F934" s="32"/>
      <c r="G934" s="32"/>
      <c r="H934" s="32"/>
      <c r="I934" s="32"/>
      <c r="J934" s="32"/>
    </row>
    <row r="935" customFormat="false" ht="15.75" hidden="false" customHeight="true" outlineLevel="0" collapsed="false">
      <c r="A935" s="32"/>
      <c r="B935" s="32"/>
      <c r="C935" s="32"/>
      <c r="D935" s="32"/>
      <c r="E935" s="32"/>
      <c r="F935" s="32"/>
      <c r="G935" s="32"/>
      <c r="H935" s="32"/>
      <c r="I935" s="32"/>
      <c r="J935" s="32"/>
    </row>
    <row r="936" customFormat="false" ht="15.75" hidden="false" customHeight="true" outlineLevel="0" collapsed="false">
      <c r="A936" s="32"/>
      <c r="B936" s="32"/>
      <c r="C936" s="32"/>
      <c r="D936" s="32"/>
      <c r="E936" s="32"/>
      <c r="F936" s="32"/>
      <c r="G936" s="32"/>
      <c r="H936" s="32"/>
      <c r="I936" s="32"/>
      <c r="J936" s="32"/>
    </row>
    <row r="937" customFormat="false" ht="15.75" hidden="false" customHeight="true" outlineLevel="0" collapsed="false">
      <c r="A937" s="32"/>
      <c r="B937" s="32"/>
      <c r="C937" s="32"/>
      <c r="D937" s="32"/>
      <c r="E937" s="32"/>
      <c r="F937" s="32"/>
      <c r="G937" s="32"/>
      <c r="H937" s="32"/>
      <c r="I937" s="32"/>
      <c r="J937" s="32"/>
    </row>
    <row r="938" customFormat="false" ht="15.75" hidden="false" customHeight="true" outlineLevel="0" collapsed="false">
      <c r="A938" s="32"/>
      <c r="B938" s="32"/>
      <c r="C938" s="32"/>
      <c r="D938" s="32"/>
      <c r="E938" s="32"/>
      <c r="F938" s="32"/>
      <c r="G938" s="32"/>
      <c r="H938" s="32"/>
      <c r="I938" s="32"/>
      <c r="J938" s="32"/>
    </row>
    <row r="939" customFormat="false" ht="15.75" hidden="false" customHeight="true" outlineLevel="0" collapsed="false">
      <c r="A939" s="32"/>
      <c r="B939" s="32"/>
      <c r="C939" s="32"/>
      <c r="D939" s="32"/>
      <c r="E939" s="32"/>
      <c r="F939" s="32"/>
      <c r="G939" s="32"/>
      <c r="H939" s="32"/>
      <c r="I939" s="32"/>
      <c r="J939" s="32"/>
    </row>
    <row r="940" customFormat="false" ht="15.75" hidden="false" customHeight="true" outlineLevel="0" collapsed="false">
      <c r="A940" s="32"/>
      <c r="B940" s="32"/>
      <c r="C940" s="32"/>
      <c r="D940" s="32"/>
      <c r="E940" s="32"/>
      <c r="F940" s="32"/>
      <c r="G940" s="32"/>
      <c r="H940" s="32"/>
      <c r="I940" s="32"/>
      <c r="J940" s="32"/>
    </row>
    <row r="941" customFormat="false" ht="15.75" hidden="false" customHeight="true" outlineLevel="0" collapsed="false">
      <c r="A941" s="32"/>
      <c r="B941" s="32"/>
      <c r="C941" s="32"/>
      <c r="D941" s="32"/>
      <c r="E941" s="32"/>
      <c r="F941" s="32"/>
      <c r="G941" s="32"/>
      <c r="H941" s="32"/>
      <c r="I941" s="32"/>
      <c r="J941" s="32"/>
    </row>
    <row r="942" customFormat="false" ht="15.75" hidden="false" customHeight="true" outlineLevel="0" collapsed="false">
      <c r="A942" s="32"/>
      <c r="B942" s="32"/>
      <c r="C942" s="32"/>
      <c r="D942" s="32"/>
      <c r="E942" s="32"/>
      <c r="F942" s="32"/>
      <c r="G942" s="32"/>
      <c r="H942" s="32"/>
      <c r="I942" s="32"/>
      <c r="J942" s="32"/>
    </row>
    <row r="943" customFormat="false" ht="15.75" hidden="false" customHeight="true" outlineLevel="0" collapsed="false">
      <c r="A943" s="32"/>
      <c r="B943" s="32"/>
      <c r="C943" s="32"/>
      <c r="D943" s="32"/>
      <c r="E943" s="32"/>
      <c r="F943" s="32"/>
      <c r="G943" s="32"/>
      <c r="H943" s="32"/>
      <c r="I943" s="32"/>
      <c r="J943" s="32"/>
    </row>
    <row r="944" customFormat="false" ht="15.75" hidden="false" customHeight="true" outlineLevel="0" collapsed="false">
      <c r="A944" s="32"/>
      <c r="B944" s="32"/>
      <c r="C944" s="32"/>
      <c r="D944" s="32"/>
      <c r="E944" s="32"/>
      <c r="F944" s="32"/>
      <c r="G944" s="32"/>
      <c r="H944" s="32"/>
      <c r="I944" s="32"/>
      <c r="J944" s="32"/>
    </row>
    <row r="945" customFormat="false" ht="15.75" hidden="false" customHeight="true" outlineLevel="0" collapsed="false">
      <c r="A945" s="32"/>
      <c r="B945" s="32"/>
      <c r="C945" s="32"/>
      <c r="D945" s="32"/>
      <c r="E945" s="32"/>
      <c r="F945" s="32"/>
      <c r="G945" s="32"/>
      <c r="H945" s="32"/>
      <c r="I945" s="32"/>
      <c r="J945" s="32"/>
    </row>
    <row r="946" customFormat="false" ht="15.75" hidden="false" customHeight="true" outlineLevel="0" collapsed="false">
      <c r="A946" s="32"/>
      <c r="B946" s="32"/>
      <c r="C946" s="32"/>
      <c r="D946" s="32"/>
      <c r="E946" s="32"/>
      <c r="F946" s="32"/>
      <c r="G946" s="32"/>
      <c r="H946" s="32"/>
      <c r="I946" s="32"/>
      <c r="J946" s="32"/>
    </row>
    <row r="947" customFormat="false" ht="15.75" hidden="false" customHeight="true" outlineLevel="0" collapsed="false">
      <c r="A947" s="32"/>
      <c r="B947" s="32"/>
      <c r="C947" s="32"/>
      <c r="D947" s="32"/>
      <c r="E947" s="32"/>
      <c r="F947" s="32"/>
      <c r="G947" s="32"/>
      <c r="H947" s="32"/>
      <c r="I947" s="32"/>
      <c r="J947" s="32"/>
    </row>
    <row r="948" customFormat="false" ht="15.75" hidden="false" customHeight="true" outlineLevel="0" collapsed="false">
      <c r="A948" s="32"/>
      <c r="B948" s="32"/>
      <c r="C948" s="32"/>
      <c r="D948" s="32"/>
      <c r="E948" s="32"/>
      <c r="F948" s="32"/>
      <c r="G948" s="32"/>
      <c r="H948" s="32"/>
      <c r="I948" s="32"/>
      <c r="J948" s="32"/>
    </row>
    <row r="949" customFormat="false" ht="15.75" hidden="false" customHeight="true" outlineLevel="0" collapsed="false">
      <c r="A949" s="32"/>
      <c r="B949" s="32"/>
      <c r="C949" s="32"/>
      <c r="D949" s="32"/>
      <c r="E949" s="32"/>
      <c r="F949" s="32"/>
      <c r="G949" s="32"/>
      <c r="H949" s="32"/>
      <c r="I949" s="32"/>
      <c r="J949" s="32"/>
    </row>
    <row r="950" customFormat="false" ht="15.75" hidden="false" customHeight="true" outlineLevel="0" collapsed="false">
      <c r="A950" s="32"/>
      <c r="B950" s="32"/>
      <c r="C950" s="32"/>
      <c r="D950" s="32"/>
      <c r="E950" s="32"/>
      <c r="F950" s="32"/>
      <c r="G950" s="32"/>
      <c r="H950" s="32"/>
      <c r="I950" s="32"/>
      <c r="J950" s="32"/>
    </row>
    <row r="951" customFormat="false" ht="15.75" hidden="false" customHeight="true" outlineLevel="0" collapsed="false">
      <c r="A951" s="32"/>
      <c r="B951" s="32"/>
      <c r="C951" s="32"/>
      <c r="D951" s="32"/>
      <c r="E951" s="32"/>
      <c r="F951" s="32"/>
      <c r="G951" s="32"/>
      <c r="H951" s="32"/>
      <c r="I951" s="32"/>
      <c r="J951" s="32"/>
    </row>
    <row r="952" customFormat="false" ht="15.75" hidden="false" customHeight="true" outlineLevel="0" collapsed="false">
      <c r="A952" s="32"/>
      <c r="B952" s="32"/>
      <c r="C952" s="32"/>
      <c r="D952" s="32"/>
      <c r="E952" s="32"/>
      <c r="F952" s="32"/>
      <c r="G952" s="32"/>
      <c r="H952" s="32"/>
      <c r="I952" s="32"/>
      <c r="J952" s="32"/>
    </row>
    <row r="953" customFormat="false" ht="15.75" hidden="false" customHeight="true" outlineLevel="0" collapsed="false">
      <c r="A953" s="32"/>
      <c r="B953" s="32"/>
      <c r="C953" s="32"/>
      <c r="D953" s="32"/>
      <c r="E953" s="32"/>
      <c r="F953" s="32"/>
      <c r="G953" s="32"/>
      <c r="H953" s="32"/>
      <c r="I953" s="32"/>
      <c r="J953" s="32"/>
    </row>
    <row r="954" customFormat="false" ht="15.75" hidden="false" customHeight="true" outlineLevel="0" collapsed="false">
      <c r="A954" s="32"/>
      <c r="B954" s="32"/>
      <c r="C954" s="32"/>
      <c r="D954" s="32"/>
      <c r="E954" s="32"/>
      <c r="F954" s="32"/>
      <c r="G954" s="32"/>
      <c r="H954" s="32"/>
      <c r="I954" s="32"/>
      <c r="J954" s="32"/>
    </row>
    <row r="955" customFormat="false" ht="15.75" hidden="false" customHeight="true" outlineLevel="0" collapsed="false">
      <c r="A955" s="32"/>
      <c r="B955" s="32"/>
      <c r="C955" s="32"/>
      <c r="D955" s="32"/>
      <c r="E955" s="32"/>
      <c r="F955" s="32"/>
      <c r="G955" s="32"/>
      <c r="H955" s="32"/>
      <c r="I955" s="32"/>
      <c r="J955" s="32"/>
    </row>
    <row r="956" customFormat="false" ht="15.75" hidden="false" customHeight="true" outlineLevel="0" collapsed="false">
      <c r="A956" s="32"/>
      <c r="B956" s="32"/>
      <c r="C956" s="32"/>
      <c r="D956" s="32"/>
      <c r="E956" s="32"/>
      <c r="F956" s="32"/>
      <c r="G956" s="32"/>
      <c r="H956" s="32"/>
      <c r="I956" s="32"/>
      <c r="J956" s="32"/>
    </row>
    <row r="957" customFormat="false" ht="15.75" hidden="false" customHeight="true" outlineLevel="0" collapsed="false">
      <c r="A957" s="32"/>
      <c r="B957" s="32"/>
      <c r="C957" s="32"/>
      <c r="D957" s="32"/>
      <c r="E957" s="32"/>
      <c r="F957" s="32"/>
      <c r="G957" s="32"/>
      <c r="H957" s="32"/>
      <c r="I957" s="32"/>
      <c r="J957" s="32"/>
    </row>
    <row r="958" customFormat="false" ht="15.75" hidden="false" customHeight="true" outlineLevel="0" collapsed="false">
      <c r="A958" s="32"/>
      <c r="B958" s="32"/>
      <c r="C958" s="32"/>
      <c r="D958" s="32"/>
      <c r="E958" s="32"/>
      <c r="F958" s="32"/>
      <c r="G958" s="32"/>
      <c r="H958" s="32"/>
      <c r="I958" s="32"/>
      <c r="J958" s="32"/>
    </row>
    <row r="959" customFormat="false" ht="15.75" hidden="false" customHeight="true" outlineLevel="0" collapsed="false">
      <c r="A959" s="32"/>
      <c r="B959" s="32"/>
      <c r="C959" s="32"/>
      <c r="D959" s="32"/>
      <c r="E959" s="32"/>
      <c r="F959" s="32"/>
      <c r="G959" s="32"/>
      <c r="H959" s="32"/>
      <c r="I959" s="32"/>
      <c r="J959" s="32"/>
    </row>
    <row r="960" customFormat="false" ht="15.75" hidden="false" customHeight="true" outlineLevel="0" collapsed="false">
      <c r="A960" s="32"/>
      <c r="B960" s="32"/>
      <c r="C960" s="32"/>
      <c r="D960" s="32"/>
      <c r="E960" s="32"/>
      <c r="F960" s="32"/>
      <c r="G960" s="32"/>
      <c r="H960" s="32"/>
      <c r="I960" s="32"/>
      <c r="J960" s="32"/>
    </row>
    <row r="961" customFormat="false" ht="15.75" hidden="false" customHeight="true" outlineLevel="0" collapsed="false">
      <c r="A961" s="32"/>
      <c r="B961" s="32"/>
      <c r="C961" s="32"/>
      <c r="D961" s="32"/>
      <c r="E961" s="32"/>
      <c r="F961" s="32"/>
      <c r="G961" s="32"/>
      <c r="H961" s="32"/>
      <c r="I961" s="32"/>
      <c r="J961" s="32"/>
    </row>
    <row r="962" customFormat="false" ht="15.75" hidden="false" customHeight="true" outlineLevel="0" collapsed="false">
      <c r="A962" s="32"/>
      <c r="B962" s="32"/>
      <c r="C962" s="32"/>
      <c r="D962" s="32"/>
      <c r="E962" s="32"/>
      <c r="F962" s="32"/>
      <c r="G962" s="32"/>
      <c r="H962" s="32"/>
      <c r="I962" s="32"/>
      <c r="J962" s="32"/>
    </row>
    <row r="963" customFormat="false" ht="15.75" hidden="false" customHeight="true" outlineLevel="0" collapsed="false">
      <c r="A963" s="32"/>
      <c r="B963" s="32"/>
      <c r="C963" s="32"/>
      <c r="D963" s="32"/>
      <c r="E963" s="32"/>
      <c r="F963" s="32"/>
      <c r="G963" s="32"/>
      <c r="H963" s="32"/>
      <c r="I963" s="32"/>
      <c r="J963" s="32"/>
    </row>
    <row r="964" customFormat="false" ht="15.75" hidden="false" customHeight="true" outlineLevel="0" collapsed="false">
      <c r="A964" s="32"/>
      <c r="B964" s="32"/>
      <c r="C964" s="32"/>
      <c r="D964" s="32"/>
      <c r="E964" s="32"/>
      <c r="F964" s="32"/>
      <c r="G964" s="32"/>
      <c r="H964" s="32"/>
      <c r="I964" s="32"/>
      <c r="J964" s="32"/>
    </row>
    <row r="965" customFormat="false" ht="15.75" hidden="false" customHeight="true" outlineLevel="0" collapsed="false">
      <c r="A965" s="32"/>
      <c r="B965" s="32"/>
      <c r="C965" s="32"/>
      <c r="D965" s="32"/>
      <c r="E965" s="32"/>
      <c r="F965" s="32"/>
      <c r="G965" s="32"/>
      <c r="H965" s="32"/>
      <c r="I965" s="32"/>
      <c r="J965" s="32"/>
    </row>
    <row r="966" customFormat="false" ht="15.75" hidden="false" customHeight="true" outlineLevel="0" collapsed="false">
      <c r="A966" s="32"/>
      <c r="B966" s="32"/>
      <c r="C966" s="32"/>
      <c r="D966" s="32"/>
      <c r="E966" s="32"/>
      <c r="F966" s="32"/>
      <c r="G966" s="32"/>
      <c r="H966" s="32"/>
      <c r="I966" s="32"/>
      <c r="J966" s="32"/>
    </row>
    <row r="967" customFormat="false" ht="15.75" hidden="false" customHeight="true" outlineLevel="0" collapsed="false">
      <c r="A967" s="32"/>
      <c r="B967" s="32"/>
      <c r="C967" s="32"/>
      <c r="D967" s="32"/>
      <c r="E967" s="32"/>
      <c r="F967" s="32"/>
      <c r="G967" s="32"/>
      <c r="H967" s="32"/>
      <c r="I967" s="32"/>
      <c r="J967" s="32"/>
    </row>
    <row r="968" customFormat="false" ht="15.75" hidden="false" customHeight="true" outlineLevel="0" collapsed="false">
      <c r="A968" s="32"/>
      <c r="B968" s="32"/>
      <c r="C968" s="32"/>
      <c r="D968" s="32"/>
      <c r="E968" s="32"/>
      <c r="F968" s="32"/>
      <c r="G968" s="32"/>
      <c r="H968" s="32"/>
      <c r="I968" s="32"/>
      <c r="J968" s="32"/>
    </row>
    <row r="969" customFormat="false" ht="15.75" hidden="false" customHeight="true" outlineLevel="0" collapsed="false">
      <c r="A969" s="32"/>
      <c r="B969" s="32"/>
      <c r="C969" s="32"/>
      <c r="D969" s="32"/>
      <c r="E969" s="32"/>
      <c r="F969" s="32"/>
      <c r="G969" s="32"/>
      <c r="H969" s="32"/>
      <c r="I969" s="32"/>
      <c r="J969" s="32"/>
    </row>
    <row r="970" customFormat="false" ht="15.75" hidden="false" customHeight="true" outlineLevel="0" collapsed="false">
      <c r="A970" s="32"/>
      <c r="B970" s="32"/>
      <c r="C970" s="32"/>
      <c r="D970" s="32"/>
      <c r="E970" s="32"/>
      <c r="F970" s="32"/>
      <c r="G970" s="32"/>
      <c r="H970" s="32"/>
      <c r="I970" s="32"/>
      <c r="J970" s="32"/>
    </row>
    <row r="971" customFormat="false" ht="15.75" hidden="false" customHeight="true" outlineLevel="0" collapsed="false">
      <c r="A971" s="32"/>
      <c r="B971" s="32"/>
      <c r="C971" s="32"/>
      <c r="D971" s="32"/>
      <c r="E971" s="32"/>
      <c r="F971" s="32"/>
      <c r="G971" s="32"/>
      <c r="H971" s="32"/>
      <c r="I971" s="32"/>
      <c r="J971" s="32"/>
    </row>
    <row r="972" customFormat="false" ht="15.75" hidden="false" customHeight="true" outlineLevel="0" collapsed="false">
      <c r="A972" s="32"/>
      <c r="B972" s="32"/>
      <c r="C972" s="32"/>
      <c r="D972" s="32"/>
      <c r="E972" s="32"/>
      <c r="F972" s="32"/>
      <c r="G972" s="32"/>
      <c r="H972" s="32"/>
      <c r="I972" s="32"/>
      <c r="J972" s="32"/>
    </row>
    <row r="973" customFormat="false" ht="15.75" hidden="false" customHeight="true" outlineLevel="0" collapsed="false">
      <c r="A973" s="32"/>
      <c r="B973" s="32"/>
      <c r="C973" s="32"/>
      <c r="D973" s="32"/>
      <c r="E973" s="32"/>
      <c r="F973" s="32"/>
      <c r="G973" s="32"/>
      <c r="H973" s="32"/>
      <c r="I973" s="32"/>
      <c r="J973" s="32"/>
    </row>
    <row r="974" customFormat="false" ht="15.75" hidden="false" customHeight="true" outlineLevel="0" collapsed="false">
      <c r="A974" s="32"/>
      <c r="B974" s="32"/>
      <c r="C974" s="32"/>
      <c r="D974" s="32"/>
      <c r="E974" s="32"/>
      <c r="F974" s="32"/>
      <c r="G974" s="32"/>
      <c r="H974" s="32"/>
      <c r="I974" s="32"/>
      <c r="J974" s="32"/>
    </row>
    <row r="975" customFormat="false" ht="15.75" hidden="false" customHeight="true" outlineLevel="0" collapsed="false">
      <c r="A975" s="32"/>
      <c r="B975" s="32"/>
      <c r="C975" s="32"/>
      <c r="D975" s="32"/>
      <c r="E975" s="32"/>
      <c r="F975" s="32"/>
      <c r="G975" s="32"/>
      <c r="H975" s="32"/>
      <c r="I975" s="32"/>
      <c r="J975" s="32"/>
    </row>
    <row r="976" customFormat="false" ht="15.75" hidden="false" customHeight="true" outlineLevel="0" collapsed="false">
      <c r="A976" s="32"/>
      <c r="B976" s="32"/>
      <c r="C976" s="32"/>
      <c r="D976" s="32"/>
      <c r="E976" s="32"/>
      <c r="F976" s="32"/>
      <c r="G976" s="32"/>
      <c r="H976" s="32"/>
      <c r="I976" s="32"/>
      <c r="J976" s="32"/>
    </row>
    <row r="977" customFormat="false" ht="15.75" hidden="false" customHeight="true" outlineLevel="0" collapsed="false">
      <c r="A977" s="32"/>
      <c r="B977" s="32"/>
      <c r="C977" s="32"/>
      <c r="D977" s="32"/>
      <c r="E977" s="32"/>
      <c r="F977" s="32"/>
      <c r="G977" s="32"/>
      <c r="H977" s="32"/>
      <c r="I977" s="32"/>
      <c r="J977" s="32"/>
    </row>
    <row r="978" customFormat="false" ht="15.75" hidden="false" customHeight="true" outlineLevel="0" collapsed="false">
      <c r="A978" s="32"/>
      <c r="B978" s="32"/>
      <c r="C978" s="32"/>
      <c r="D978" s="32"/>
      <c r="E978" s="32"/>
      <c r="F978" s="32"/>
      <c r="G978" s="32"/>
      <c r="H978" s="32"/>
      <c r="I978" s="32"/>
      <c r="J978" s="32"/>
    </row>
    <row r="979" customFormat="false" ht="15.75" hidden="false" customHeight="true" outlineLevel="0" collapsed="false">
      <c r="A979" s="32"/>
      <c r="B979" s="32"/>
      <c r="C979" s="32"/>
      <c r="D979" s="32"/>
      <c r="E979" s="32"/>
      <c r="F979" s="32"/>
      <c r="G979" s="32"/>
      <c r="H979" s="32"/>
      <c r="I979" s="32"/>
      <c r="J979" s="32"/>
    </row>
    <row r="980" customFormat="false" ht="15.75" hidden="false" customHeight="true" outlineLevel="0" collapsed="false">
      <c r="A980" s="32"/>
      <c r="B980" s="32"/>
      <c r="C980" s="32"/>
      <c r="D980" s="32"/>
      <c r="E980" s="32"/>
      <c r="F980" s="32"/>
      <c r="G980" s="32"/>
      <c r="H980" s="32"/>
      <c r="I980" s="32"/>
      <c r="J980" s="32"/>
    </row>
    <row r="981" customFormat="false" ht="15.75" hidden="false" customHeight="true" outlineLevel="0" collapsed="false">
      <c r="A981" s="32"/>
      <c r="B981" s="32"/>
      <c r="C981" s="32"/>
      <c r="D981" s="32"/>
      <c r="E981" s="32"/>
      <c r="F981" s="32"/>
      <c r="G981" s="32"/>
      <c r="H981" s="32"/>
      <c r="I981" s="32"/>
      <c r="J981" s="32"/>
    </row>
    <row r="982" customFormat="false" ht="15.75" hidden="false" customHeight="true" outlineLevel="0" collapsed="false">
      <c r="A982" s="32"/>
      <c r="B982" s="32"/>
      <c r="C982" s="32"/>
      <c r="D982" s="32"/>
      <c r="E982" s="32"/>
      <c r="F982" s="32"/>
      <c r="G982" s="32"/>
      <c r="H982" s="32"/>
      <c r="I982" s="32"/>
      <c r="J982" s="32"/>
    </row>
    <row r="983" customFormat="false" ht="15.75" hidden="false" customHeight="true" outlineLevel="0" collapsed="false">
      <c r="A983" s="32"/>
      <c r="B983" s="32"/>
      <c r="C983" s="32"/>
      <c r="D983" s="32"/>
      <c r="E983" s="32"/>
      <c r="F983" s="32"/>
      <c r="G983" s="32"/>
      <c r="H983" s="32"/>
      <c r="I983" s="32"/>
      <c r="J983" s="32"/>
    </row>
    <row r="984" customFormat="false" ht="15.75" hidden="false" customHeight="true" outlineLevel="0" collapsed="false">
      <c r="A984" s="32"/>
      <c r="B984" s="32"/>
      <c r="C984" s="32"/>
      <c r="D984" s="32"/>
      <c r="E984" s="32"/>
      <c r="F984" s="32"/>
      <c r="G984" s="32"/>
      <c r="H984" s="32"/>
      <c r="I984" s="32"/>
      <c r="J984" s="32"/>
    </row>
    <row r="985" customFormat="false" ht="15.75" hidden="false" customHeight="true" outlineLevel="0" collapsed="false">
      <c r="A985" s="32"/>
      <c r="B985" s="32"/>
      <c r="C985" s="32"/>
      <c r="D985" s="32"/>
      <c r="E985" s="32"/>
      <c r="F985" s="32"/>
      <c r="G985" s="32"/>
      <c r="H985" s="32"/>
      <c r="I985" s="32"/>
      <c r="J985" s="32"/>
    </row>
    <row r="986" customFormat="false" ht="15.75" hidden="false" customHeight="true" outlineLevel="0" collapsed="false">
      <c r="A986" s="32"/>
      <c r="B986" s="32"/>
      <c r="C986" s="32"/>
      <c r="D986" s="32"/>
      <c r="E986" s="32"/>
      <c r="F986" s="32"/>
      <c r="G986" s="32"/>
      <c r="H986" s="32"/>
      <c r="I986" s="32"/>
      <c r="J986" s="32"/>
    </row>
    <row r="987" customFormat="false" ht="15.75" hidden="false" customHeight="true" outlineLevel="0" collapsed="false">
      <c r="A987" s="32"/>
      <c r="B987" s="32"/>
      <c r="C987" s="32"/>
      <c r="D987" s="32"/>
      <c r="E987" s="32"/>
      <c r="F987" s="32"/>
      <c r="G987" s="32"/>
      <c r="H987" s="32"/>
      <c r="I987" s="32"/>
      <c r="J987" s="32"/>
    </row>
    <row r="988" customFormat="false" ht="15.75" hidden="false" customHeight="true" outlineLevel="0" collapsed="false">
      <c r="A988" s="32"/>
      <c r="B988" s="32"/>
      <c r="C988" s="32"/>
      <c r="D988" s="32"/>
      <c r="E988" s="32"/>
      <c r="F988" s="32"/>
      <c r="G988" s="32"/>
      <c r="H988" s="32"/>
      <c r="I988" s="32"/>
      <c r="J988" s="32"/>
    </row>
    <row r="989" customFormat="false" ht="15.75" hidden="false" customHeight="true" outlineLevel="0" collapsed="false">
      <c r="A989" s="32"/>
      <c r="B989" s="32"/>
      <c r="C989" s="32"/>
      <c r="D989" s="32"/>
      <c r="E989" s="32"/>
      <c r="F989" s="32"/>
      <c r="G989" s="32"/>
      <c r="H989" s="32"/>
      <c r="I989" s="32"/>
      <c r="J989" s="32"/>
    </row>
    <row r="990" customFormat="false" ht="15.75" hidden="false" customHeight="true" outlineLevel="0" collapsed="false">
      <c r="A990" s="32"/>
      <c r="B990" s="32"/>
      <c r="C990" s="32"/>
      <c r="D990" s="32"/>
      <c r="E990" s="32"/>
      <c r="F990" s="32"/>
      <c r="G990" s="32"/>
      <c r="H990" s="32"/>
      <c r="I990" s="32"/>
      <c r="J990" s="32"/>
    </row>
    <row r="991" customFormat="false" ht="15.75" hidden="false" customHeight="true" outlineLevel="0" collapsed="false">
      <c r="A991" s="32"/>
      <c r="B991" s="32"/>
      <c r="C991" s="32"/>
      <c r="D991" s="32"/>
      <c r="E991" s="32"/>
      <c r="F991" s="32"/>
      <c r="G991" s="32"/>
      <c r="H991" s="32"/>
      <c r="I991" s="32"/>
      <c r="J991" s="32"/>
    </row>
    <row r="992" customFormat="false" ht="15.75" hidden="false" customHeight="true" outlineLevel="0" collapsed="false">
      <c r="A992" s="32"/>
      <c r="B992" s="32"/>
      <c r="C992" s="32"/>
      <c r="D992" s="32"/>
      <c r="E992" s="32"/>
      <c r="F992" s="32"/>
      <c r="G992" s="32"/>
      <c r="H992" s="32"/>
      <c r="I992" s="32"/>
      <c r="J992" s="32"/>
    </row>
    <row r="993" customFormat="false" ht="15.75" hidden="false" customHeight="true" outlineLevel="0" collapsed="false">
      <c r="A993" s="32"/>
      <c r="B993" s="32"/>
      <c r="C993" s="32"/>
      <c r="D993" s="32"/>
      <c r="E993" s="32"/>
      <c r="F993" s="32"/>
      <c r="G993" s="32"/>
      <c r="H993" s="32"/>
      <c r="I993" s="32"/>
      <c r="J993" s="32"/>
    </row>
    <row r="994" customFormat="false" ht="15.75" hidden="false" customHeight="true" outlineLevel="0" collapsed="false">
      <c r="A994" s="32"/>
      <c r="B994" s="32"/>
      <c r="C994" s="32"/>
      <c r="D994" s="32"/>
      <c r="E994" s="32"/>
      <c r="F994" s="32"/>
      <c r="G994" s="32"/>
      <c r="H994" s="32"/>
      <c r="I994" s="32"/>
      <c r="J994" s="32"/>
    </row>
    <row r="995" customFormat="false" ht="15.75" hidden="false" customHeight="true" outlineLevel="0" collapsed="false">
      <c r="A995" s="32"/>
      <c r="B995" s="32"/>
      <c r="C995" s="32"/>
      <c r="D995" s="32"/>
      <c r="E995" s="32"/>
      <c r="F995" s="32"/>
      <c r="G995" s="32"/>
      <c r="H995" s="32"/>
      <c r="I995" s="32"/>
      <c r="J995" s="32"/>
    </row>
    <row r="996" customFormat="false" ht="15.75" hidden="false" customHeight="true" outlineLevel="0" collapsed="false">
      <c r="A996" s="32"/>
      <c r="B996" s="32"/>
      <c r="C996" s="32"/>
      <c r="D996" s="32"/>
      <c r="E996" s="32"/>
      <c r="F996" s="32"/>
      <c r="G996" s="32"/>
      <c r="H996" s="32"/>
      <c r="I996" s="32"/>
      <c r="J996" s="32"/>
    </row>
    <row r="997" customFormat="false" ht="15.75" hidden="false" customHeight="true" outlineLevel="0" collapsed="false">
      <c r="A997" s="32"/>
      <c r="B997" s="32"/>
      <c r="C997" s="32"/>
      <c r="D997" s="32"/>
      <c r="E997" s="32"/>
      <c r="F997" s="32"/>
      <c r="G997" s="32"/>
      <c r="H997" s="32"/>
      <c r="I997" s="32"/>
      <c r="J997" s="32"/>
    </row>
    <row r="998" customFormat="false" ht="15.75" hidden="false" customHeight="true" outlineLevel="0" collapsed="false">
      <c r="A998" s="32"/>
      <c r="B998" s="32"/>
      <c r="C998" s="32"/>
      <c r="D998" s="32"/>
      <c r="E998" s="32"/>
      <c r="F998" s="32"/>
      <c r="G998" s="32"/>
      <c r="H998" s="32"/>
      <c r="I998" s="32"/>
      <c r="J998" s="32"/>
    </row>
    <row r="999" customFormat="false" ht="15.75" hidden="false" customHeight="true" outlineLevel="0" collapsed="false">
      <c r="A999" s="32"/>
      <c r="B999" s="32"/>
      <c r="C999" s="32"/>
      <c r="D999" s="32"/>
      <c r="E999" s="32"/>
      <c r="F999" s="32"/>
      <c r="G999" s="32"/>
      <c r="H999" s="32"/>
      <c r="I999" s="32"/>
      <c r="J999" s="32"/>
    </row>
    <row r="1000" customFormat="false" ht="15.75" hidden="false" customHeight="true" outlineLevel="0" collapsed="false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</row>
  </sheetData>
  <mergeCells count="10">
    <mergeCell ref="A1:J1"/>
    <mergeCell ref="A2:A3"/>
    <mergeCell ref="B2:B3"/>
    <mergeCell ref="C2:C3"/>
    <mergeCell ref="D2:D3"/>
    <mergeCell ref="E2:F2"/>
    <mergeCell ref="G2:H2"/>
    <mergeCell ref="I2:J2"/>
    <mergeCell ref="A4:J4"/>
    <mergeCell ref="A10:J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D4B4"/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8.71"/>
    <col collapsed="false" customWidth="true" hidden="false" outlineLevel="0" max="3" min="2" style="0" width="7.86"/>
    <col collapsed="false" customWidth="true" hidden="false" outlineLevel="0" max="4" min="4" style="0" width="42.29"/>
    <col collapsed="false" customWidth="true" hidden="false" outlineLevel="0" max="5" min="5" style="0" width="11.43"/>
    <col collapsed="false" customWidth="true" hidden="false" outlineLevel="0" max="6" min="6" style="0" width="12"/>
    <col collapsed="false" customWidth="true" hidden="false" outlineLevel="0" max="7" min="7" style="0" width="4.86"/>
    <col collapsed="false" customWidth="true" hidden="false" outlineLevel="0" max="8" min="8" style="0" width="10.29"/>
    <col collapsed="false" customWidth="true" hidden="false" outlineLevel="0" max="10" min="9" style="0" width="10"/>
    <col collapsed="false" customWidth="true" hidden="false" outlineLevel="0" max="11" min="11" style="0" width="12.86"/>
    <col collapsed="false" customWidth="true" hidden="false" outlineLevel="0" max="12" min="12" style="0" width="31.57"/>
    <col collapsed="false" customWidth="true" hidden="false" outlineLevel="0" max="13" min="13" style="0" width="13.29"/>
    <col collapsed="false" customWidth="true" hidden="false" outlineLevel="0" max="14" min="14" style="0" width="31.71"/>
    <col collapsed="false" customWidth="true" hidden="false" outlineLevel="0" max="15" min="15" style="0" width="11.57"/>
    <col collapsed="false" customWidth="true" hidden="false" outlineLevel="0" max="27" min="16" style="0" width="8.71"/>
  </cols>
  <sheetData>
    <row r="1" customFormat="false" ht="28.5" hidden="false" customHeight="true" outlineLevel="0" collapsed="false">
      <c r="A1" s="54" t="s">
        <v>99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</row>
    <row r="2" customFormat="false" ht="46.5" hidden="false" customHeight="true" outlineLevel="0" collapsed="false">
      <c r="A2" s="56" t="s">
        <v>100</v>
      </c>
      <c r="B2" s="57" t="s">
        <v>101</v>
      </c>
      <c r="C2" s="57" t="s">
        <v>102</v>
      </c>
      <c r="D2" s="57" t="s">
        <v>103</v>
      </c>
      <c r="E2" s="57" t="s">
        <v>104</v>
      </c>
      <c r="F2" s="57" t="s">
        <v>105</v>
      </c>
      <c r="G2" s="57" t="s">
        <v>106</v>
      </c>
      <c r="H2" s="58" t="s">
        <v>107</v>
      </c>
      <c r="I2" s="58"/>
      <c r="J2" s="58"/>
      <c r="K2" s="57" t="s">
        <v>108</v>
      </c>
      <c r="L2" s="58" t="s">
        <v>109</v>
      </c>
      <c r="M2" s="58"/>
      <c r="N2" s="59" t="s">
        <v>110</v>
      </c>
      <c r="O2" s="59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</row>
    <row r="3" customFormat="false" ht="45" hidden="false" customHeight="true" outlineLevel="0" collapsed="false">
      <c r="A3" s="56"/>
      <c r="B3" s="57"/>
      <c r="C3" s="57"/>
      <c r="D3" s="57"/>
      <c r="E3" s="57"/>
      <c r="F3" s="57"/>
      <c r="G3" s="57"/>
      <c r="H3" s="60" t="s">
        <v>111</v>
      </c>
      <c r="I3" s="60" t="s">
        <v>112</v>
      </c>
      <c r="J3" s="60" t="s">
        <v>113</v>
      </c>
      <c r="K3" s="57"/>
      <c r="L3" s="60" t="s">
        <v>114</v>
      </c>
      <c r="M3" s="60" t="s">
        <v>115</v>
      </c>
      <c r="N3" s="60" t="s">
        <v>114</v>
      </c>
      <c r="O3" s="61" t="s">
        <v>116</v>
      </c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</row>
    <row r="4" customFormat="false" ht="15" hidden="false" customHeight="true" outlineLevel="0" collapsed="false">
      <c r="A4" s="62" t="s">
        <v>117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</row>
    <row r="5" customFormat="false" ht="15" hidden="false" customHeight="true" outlineLevel="0" collapsed="false">
      <c r="A5" s="48" t="s">
        <v>118</v>
      </c>
      <c r="B5" s="63" t="n">
        <v>220</v>
      </c>
      <c r="C5" s="62" t="s">
        <v>119</v>
      </c>
      <c r="D5" s="64" t="s">
        <v>120</v>
      </c>
      <c r="E5" s="65" t="n">
        <v>1.5</v>
      </c>
      <c r="F5" s="63" t="n">
        <v>1</v>
      </c>
      <c r="G5" s="66" t="n">
        <v>0.99</v>
      </c>
      <c r="H5" s="67" t="n">
        <f aca="false">I5*G5</f>
        <v>2361</v>
      </c>
      <c r="I5" s="67" t="n">
        <f aca="false">'Previsão de Cargas'!D5+'Previsão de Cargas'!D6</f>
        <v>2384.84848484849</v>
      </c>
      <c r="J5" s="67" t="n">
        <f aca="false">SQRT(I5^2-H5^2)</f>
        <v>336.424279272638</v>
      </c>
      <c r="K5" s="67" t="n">
        <f aca="false">IF(F5=3, I5/(SQRT(3)*B5), I5/(F5*B5))</f>
        <v>10.8402203856749</v>
      </c>
      <c r="L5" s="63" t="n">
        <v>1</v>
      </c>
      <c r="M5" s="63" t="n">
        <v>16</v>
      </c>
      <c r="N5" s="63" t="n">
        <v>2</v>
      </c>
      <c r="O5" s="63" t="n">
        <v>25</v>
      </c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</row>
    <row r="6" customFormat="false" ht="15" hidden="false" customHeight="true" outlineLevel="0" collapsed="false">
      <c r="A6" s="48" t="s">
        <v>121</v>
      </c>
      <c r="B6" s="63" t="n">
        <v>220</v>
      </c>
      <c r="C6" s="62" t="s">
        <v>119</v>
      </c>
      <c r="D6" s="64" t="s">
        <v>122</v>
      </c>
      <c r="E6" s="65" t="n">
        <v>2.5</v>
      </c>
      <c r="F6" s="63" t="n">
        <v>1</v>
      </c>
      <c r="G6" s="66" t="n">
        <v>0.8</v>
      </c>
      <c r="H6" s="67" t="n">
        <f aca="false">I6*G6</f>
        <v>1920</v>
      </c>
      <c r="I6" s="67" t="n">
        <f aca="false">ROUNDUP('Previsão de Cargas'!E5/2,0)*600</f>
        <v>2400</v>
      </c>
      <c r="J6" s="67" t="n">
        <f aca="false">SQRT(I6^2-H6^2)</f>
        <v>1440</v>
      </c>
      <c r="K6" s="67" t="n">
        <f aca="false">IF(F6=3, I6/(SQRT(3)*B6), I6/(F6*B6))</f>
        <v>10.9090909090909</v>
      </c>
      <c r="L6" s="63" t="n">
        <v>1</v>
      </c>
      <c r="M6" s="63" t="n">
        <v>16</v>
      </c>
      <c r="N6" s="63" t="n">
        <v>2</v>
      </c>
      <c r="O6" s="63" t="n">
        <v>25</v>
      </c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</row>
    <row r="7" customFormat="false" ht="15" hidden="false" customHeight="true" outlineLevel="0" collapsed="false">
      <c r="A7" s="48" t="s">
        <v>123</v>
      </c>
      <c r="B7" s="63" t="n">
        <v>220</v>
      </c>
      <c r="C7" s="62" t="s">
        <v>119</v>
      </c>
      <c r="D7" s="64" t="s">
        <v>124</v>
      </c>
      <c r="E7" s="65" t="n">
        <v>2.5</v>
      </c>
      <c r="F7" s="63" t="n">
        <v>1</v>
      </c>
      <c r="G7" s="66" t="n">
        <v>0.8</v>
      </c>
      <c r="H7" s="67" t="n">
        <f aca="false">I7*G7</f>
        <v>1440</v>
      </c>
      <c r="I7" s="67" t="n">
        <f aca="false">('Previsão de Cargas'!E5-ROUNDUP('Previsão de Cargas'!E5/2,0))*600</f>
        <v>1800</v>
      </c>
      <c r="J7" s="67" t="n">
        <f aca="false">SQRT(I7^2-H7^2)</f>
        <v>1080</v>
      </c>
      <c r="K7" s="67" t="n">
        <f aca="false">IF(F7=3, I7/(SQRT(3)*B7), I7/(F7*B7))</f>
        <v>8.18181818181818</v>
      </c>
      <c r="L7" s="63" t="n">
        <v>1</v>
      </c>
      <c r="M7" s="63" t="n">
        <v>10</v>
      </c>
      <c r="N7" s="63" t="n">
        <v>2</v>
      </c>
      <c r="O7" s="63" t="n">
        <v>25</v>
      </c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</row>
    <row r="8" customFormat="false" ht="15" hidden="false" customHeight="true" outlineLevel="0" collapsed="false">
      <c r="A8" s="48" t="s">
        <v>125</v>
      </c>
      <c r="B8" s="63" t="n">
        <v>220</v>
      </c>
      <c r="C8" s="62" t="s">
        <v>119</v>
      </c>
      <c r="D8" s="64" t="s">
        <v>126</v>
      </c>
      <c r="E8" s="65" t="n">
        <v>2.5</v>
      </c>
      <c r="F8" s="63" t="n">
        <v>1</v>
      </c>
      <c r="G8" s="66" t="n">
        <v>0.8</v>
      </c>
      <c r="H8" s="67" t="n">
        <f aca="false">I8*G8</f>
        <v>1920</v>
      </c>
      <c r="I8" s="67" t="n">
        <f aca="false">ROUNDUP('Previsão de Cargas'!E6/2,0)*600</f>
        <v>2400</v>
      </c>
      <c r="J8" s="67" t="n">
        <f aca="false">SQRT(I8^2-H8^2)</f>
        <v>1440</v>
      </c>
      <c r="K8" s="67" t="n">
        <f aca="false">IF(F8=3, I8/(SQRT(3)*B8), I8/(F8*B8))</f>
        <v>10.9090909090909</v>
      </c>
      <c r="L8" s="63" t="n">
        <v>1</v>
      </c>
      <c r="M8" s="63" t="n">
        <v>16</v>
      </c>
      <c r="N8" s="63" t="n">
        <v>2</v>
      </c>
      <c r="O8" s="63" t="n">
        <v>25</v>
      </c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</row>
    <row r="9" customFormat="false" ht="15" hidden="false" customHeight="true" outlineLevel="0" collapsed="false">
      <c r="A9" s="48" t="s">
        <v>127</v>
      </c>
      <c r="B9" s="63" t="n">
        <v>220</v>
      </c>
      <c r="C9" s="62" t="s">
        <v>119</v>
      </c>
      <c r="D9" s="64" t="s">
        <v>128</v>
      </c>
      <c r="E9" s="65" t="n">
        <v>2.5</v>
      </c>
      <c r="F9" s="63" t="n">
        <v>1</v>
      </c>
      <c r="G9" s="66" t="n">
        <v>0.8</v>
      </c>
      <c r="H9" s="67" t="n">
        <f aca="false">I9*G9</f>
        <v>1440</v>
      </c>
      <c r="I9" s="67" t="n">
        <f aca="false">('Previsão de Cargas'!E6-ROUNDUP('Previsão de Cargas'!E6/2,0))*600</f>
        <v>1800</v>
      </c>
      <c r="J9" s="67" t="n">
        <f aca="false">SQRT(I9^2-H9^2)</f>
        <v>1080</v>
      </c>
      <c r="K9" s="67" t="n">
        <f aca="false">IF(F9=3, I9/(SQRT(3)*B9), I9/(F9*B9))</f>
        <v>8.18181818181818</v>
      </c>
      <c r="L9" s="63" t="n">
        <v>1</v>
      </c>
      <c r="M9" s="63" t="n">
        <v>10</v>
      </c>
      <c r="N9" s="63" t="n">
        <v>2</v>
      </c>
      <c r="O9" s="63" t="n">
        <v>25</v>
      </c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customFormat="false" ht="15" hidden="false" customHeight="true" outlineLevel="0" collapsed="false">
      <c r="A10" s="48" t="s">
        <v>129</v>
      </c>
      <c r="B10" s="63" t="n">
        <v>380</v>
      </c>
      <c r="C10" s="62" t="s">
        <v>119</v>
      </c>
      <c r="D10" s="64" t="s">
        <v>122</v>
      </c>
      <c r="E10" s="65" t="n">
        <v>2.5</v>
      </c>
      <c r="F10" s="63" t="n">
        <v>3</v>
      </c>
      <c r="G10" s="66" t="n">
        <v>0.8</v>
      </c>
      <c r="H10" s="67" t="n">
        <f aca="false">I10*G10</f>
        <v>9600</v>
      </c>
      <c r="I10" s="67" t="n">
        <v>12000</v>
      </c>
      <c r="J10" s="67" t="n">
        <f aca="false">SQRT(I10^2-H10^2)</f>
        <v>7200</v>
      </c>
      <c r="K10" s="67" t="n">
        <f aca="false">IF(F10=3, I10/(SQRT(3)*B10), I10/(F10*B10))</f>
        <v>18.2321137638829</v>
      </c>
      <c r="L10" s="63" t="n">
        <v>3</v>
      </c>
      <c r="M10" s="63" t="n">
        <v>20</v>
      </c>
      <c r="N10" s="63" t="n">
        <v>4</v>
      </c>
      <c r="O10" s="63" t="n">
        <v>25</v>
      </c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customFormat="false" ht="15" hidden="false" customHeight="true" outlineLevel="0" collapsed="false">
      <c r="A11" s="48" t="s">
        <v>130</v>
      </c>
      <c r="B11" s="63" t="n">
        <v>380</v>
      </c>
      <c r="C11" s="62" t="s">
        <v>119</v>
      </c>
      <c r="D11" s="64" t="s">
        <v>126</v>
      </c>
      <c r="E11" s="65" t="n">
        <v>2.5</v>
      </c>
      <c r="F11" s="63" t="n">
        <v>3</v>
      </c>
      <c r="G11" s="66" t="n">
        <v>0.8</v>
      </c>
      <c r="H11" s="67" t="n">
        <f aca="false">I11*G11</f>
        <v>9600</v>
      </c>
      <c r="I11" s="67" t="n">
        <v>12000</v>
      </c>
      <c r="J11" s="67" t="n">
        <f aca="false">SQRT(I11^2-H11^2)</f>
        <v>7200</v>
      </c>
      <c r="K11" s="67" t="n">
        <f aca="false">IF(F11=3, I11/(SQRT(3)*B11), I11/(F11*B11))</f>
        <v>18.2321137638829</v>
      </c>
      <c r="L11" s="63" t="n">
        <v>3</v>
      </c>
      <c r="M11" s="63" t="n">
        <v>20</v>
      </c>
      <c r="N11" s="63" t="n">
        <v>4</v>
      </c>
      <c r="O11" s="63" t="n">
        <v>25</v>
      </c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customFormat="false" ht="15" hidden="false" customHeight="true" outlineLevel="0" collapsed="false">
      <c r="A12" s="48" t="s">
        <v>131</v>
      </c>
      <c r="B12" s="63" t="n">
        <v>380</v>
      </c>
      <c r="C12" s="62" t="s">
        <v>119</v>
      </c>
      <c r="D12" s="64" t="s">
        <v>124</v>
      </c>
      <c r="E12" s="65" t="n">
        <v>2.5</v>
      </c>
      <c r="F12" s="63" t="n">
        <v>3</v>
      </c>
      <c r="G12" s="66" t="n">
        <v>0.8</v>
      </c>
      <c r="H12" s="67" t="n">
        <f aca="false">I12*G12</f>
        <v>9600</v>
      </c>
      <c r="I12" s="67" t="n">
        <v>12000</v>
      </c>
      <c r="J12" s="67" t="n">
        <f aca="false">SQRT(I12^2-H12^2)</f>
        <v>7200</v>
      </c>
      <c r="K12" s="67" t="n">
        <f aca="false">IF(F12=3, I12/(SQRT(3)*B12), I12/(F12*B12))</f>
        <v>18.2321137638829</v>
      </c>
      <c r="L12" s="63" t="n">
        <v>3</v>
      </c>
      <c r="M12" s="63" t="n">
        <v>20</v>
      </c>
      <c r="N12" s="63" t="n">
        <v>4</v>
      </c>
      <c r="O12" s="63" t="n">
        <v>25</v>
      </c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customFormat="false" ht="15" hidden="false" customHeight="true" outlineLevel="0" collapsed="false">
      <c r="A13" s="48" t="s">
        <v>132</v>
      </c>
      <c r="B13" s="63" t="n">
        <v>380</v>
      </c>
      <c r="C13" s="62" t="s">
        <v>119</v>
      </c>
      <c r="D13" s="64" t="s">
        <v>128</v>
      </c>
      <c r="E13" s="65" t="n">
        <v>2.5</v>
      </c>
      <c r="F13" s="63" t="n">
        <v>3</v>
      </c>
      <c r="G13" s="66" t="n">
        <v>0.8</v>
      </c>
      <c r="H13" s="67" t="n">
        <f aca="false">I13*G13</f>
        <v>9600</v>
      </c>
      <c r="I13" s="67" t="n">
        <v>12000</v>
      </c>
      <c r="J13" s="67" t="n">
        <f aca="false">SQRT(I13^2-H13^2)</f>
        <v>7200</v>
      </c>
      <c r="K13" s="67" t="n">
        <f aca="false">IF(F13=3, I13/(SQRT(3)*B13), I13/(F13*B13))</f>
        <v>18.2321137638829</v>
      </c>
      <c r="L13" s="63" t="n">
        <v>3</v>
      </c>
      <c r="M13" s="63" t="n">
        <v>20</v>
      </c>
      <c r="N13" s="63" t="n">
        <v>4</v>
      </c>
      <c r="O13" s="63" t="n">
        <v>25</v>
      </c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customFormat="false" ht="15" hidden="false" customHeight="true" outlineLevel="0" collapsed="false">
      <c r="A14" s="48" t="s">
        <v>133</v>
      </c>
      <c r="B14" s="63" t="n">
        <v>220</v>
      </c>
      <c r="C14" s="62" t="s">
        <v>119</v>
      </c>
      <c r="D14" s="64" t="s">
        <v>134</v>
      </c>
      <c r="E14" s="48" t="n">
        <v>2.5</v>
      </c>
      <c r="F14" s="63" t="n">
        <v>1</v>
      </c>
      <c r="G14" s="66" t="n">
        <v>0.8</v>
      </c>
      <c r="H14" s="67" t="n">
        <f aca="false">I14*G14</f>
        <v>2400</v>
      </c>
      <c r="I14" s="67" t="n">
        <v>3000</v>
      </c>
      <c r="J14" s="67" t="n">
        <f aca="false">SQRT(I14^2-H14^2)</f>
        <v>1800</v>
      </c>
      <c r="K14" s="67" t="n">
        <f aca="false">IF(F14=3, I14/(SQRT(3)*B14), I14/(F14*B14))</f>
        <v>13.6363636363636</v>
      </c>
      <c r="L14" s="63" t="n">
        <v>1</v>
      </c>
      <c r="M14" s="63" t="n">
        <v>16</v>
      </c>
      <c r="N14" s="63" t="n">
        <v>2</v>
      </c>
      <c r="O14" s="63" t="n">
        <v>25</v>
      </c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customFormat="false" ht="15" hidden="false" customHeight="true" outlineLevel="0" collapsed="false">
      <c r="A15" s="48" t="s">
        <v>135</v>
      </c>
      <c r="B15" s="63" t="n">
        <v>220</v>
      </c>
      <c r="C15" s="62" t="s">
        <v>119</v>
      </c>
      <c r="D15" s="64" t="s">
        <v>136</v>
      </c>
      <c r="E15" s="48" t="n">
        <v>2.5</v>
      </c>
      <c r="F15" s="63" t="n">
        <v>1</v>
      </c>
      <c r="G15" s="66" t="n">
        <v>0.8</v>
      </c>
      <c r="H15" s="67" t="n">
        <f aca="false">I15*G15</f>
        <v>1760</v>
      </c>
      <c r="I15" s="67" t="n">
        <v>2200</v>
      </c>
      <c r="J15" s="67" t="n">
        <f aca="false">SQRT(I15^2-H15^2)</f>
        <v>1320</v>
      </c>
      <c r="K15" s="67" t="n">
        <f aca="false">IF(F15=3, I15/(SQRT(3)*B15), I15/(F15*B15))</f>
        <v>10</v>
      </c>
      <c r="L15" s="63" t="n">
        <v>1</v>
      </c>
      <c r="M15" s="63" t="n">
        <v>16</v>
      </c>
      <c r="N15" s="63" t="n">
        <v>2</v>
      </c>
      <c r="O15" s="63" t="n">
        <v>25</v>
      </c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customFormat="false" ht="15" hidden="false" customHeight="true" outlineLevel="0" collapsed="false">
      <c r="A16" s="48" t="s">
        <v>137</v>
      </c>
      <c r="B16" s="63" t="n">
        <v>220</v>
      </c>
      <c r="C16" s="62" t="s">
        <v>119</v>
      </c>
      <c r="D16" s="64" t="s">
        <v>138</v>
      </c>
      <c r="E16" s="48" t="n">
        <v>2.5</v>
      </c>
      <c r="F16" s="63" t="n">
        <v>1</v>
      </c>
      <c r="G16" s="66" t="n">
        <v>0.8</v>
      </c>
      <c r="H16" s="67" t="n">
        <f aca="false">I16*G16</f>
        <v>1600</v>
      </c>
      <c r="I16" s="67" t="n">
        <v>2000</v>
      </c>
      <c r="J16" s="67" t="n">
        <f aca="false">SQRT(I16^2-H16^2)</f>
        <v>1200</v>
      </c>
      <c r="K16" s="67" t="n">
        <f aca="false">IF(F16=3, I16/(SQRT(3)*B16), I16/(F16*B16))</f>
        <v>9.09090909090909</v>
      </c>
      <c r="L16" s="63" t="n">
        <v>1</v>
      </c>
      <c r="M16" s="63" t="n">
        <v>10</v>
      </c>
      <c r="N16" s="63" t="n">
        <v>2</v>
      </c>
      <c r="O16" s="63" t="n">
        <v>25</v>
      </c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</row>
    <row r="17" customFormat="false" ht="15" hidden="false" customHeight="true" outlineLevel="0" collapsed="false">
      <c r="A17" s="48" t="s">
        <v>139</v>
      </c>
      <c r="B17" s="63" t="n">
        <v>220</v>
      </c>
      <c r="C17" s="62" t="s">
        <v>119</v>
      </c>
      <c r="D17" s="64" t="s">
        <v>140</v>
      </c>
      <c r="E17" s="48" t="n">
        <v>2.5</v>
      </c>
      <c r="F17" s="63" t="n">
        <v>1</v>
      </c>
      <c r="G17" s="66" t="n">
        <v>0.8</v>
      </c>
      <c r="H17" s="67" t="n">
        <f aca="false">I17*G17</f>
        <v>2720</v>
      </c>
      <c r="I17" s="67" t="n">
        <v>3400</v>
      </c>
      <c r="J17" s="67" t="n">
        <f aca="false">SQRT(I17^2-H17^2)</f>
        <v>2040</v>
      </c>
      <c r="K17" s="67" t="n">
        <f aca="false">IF(F17=3, I17/(SQRT(3)*B17), I17/(F17*B17))</f>
        <v>15.4545454545455</v>
      </c>
      <c r="L17" s="63" t="n">
        <v>1</v>
      </c>
      <c r="M17" s="63" t="n">
        <v>16</v>
      </c>
      <c r="N17" s="63" t="n">
        <v>2</v>
      </c>
      <c r="O17" s="63" t="n">
        <v>25</v>
      </c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</row>
    <row r="18" customFormat="false" ht="15" hidden="false" customHeight="true" outlineLevel="0" collapsed="false">
      <c r="A18" s="68" t="s">
        <v>141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</row>
    <row r="19" customFormat="false" ht="27.75" hidden="false" customHeight="true" outlineLevel="0" collapsed="false">
      <c r="A19" s="48" t="s">
        <v>142</v>
      </c>
      <c r="B19" s="63" t="n">
        <v>220</v>
      </c>
      <c r="C19" s="68" t="s">
        <v>143</v>
      </c>
      <c r="D19" s="64" t="s">
        <v>144</v>
      </c>
      <c r="E19" s="65" t="n">
        <v>1.5</v>
      </c>
      <c r="F19" s="63" t="n">
        <v>1</v>
      </c>
      <c r="G19" s="66" t="n">
        <v>0.99</v>
      </c>
      <c r="H19" s="67" t="n">
        <f aca="false">I19*G19</f>
        <v>1932.4</v>
      </c>
      <c r="I19" s="67" t="n">
        <f aca="false">'Previsão de Cargas'!D7+'Previsão de Cargas'!D8+'Previsão de Cargas'!D16+'Previsão de Cargas'!D17</f>
        <v>1951.91919191919</v>
      </c>
      <c r="J19" s="67" t="n">
        <f aca="false">SQRT(I19^2-H19^2)</f>
        <v>275.352086940468</v>
      </c>
      <c r="K19" s="67" t="n">
        <f aca="false">IF(F19=3, I19/(SQRT(3)*B19), I19/(F19*B19))</f>
        <v>8.87235996326905</v>
      </c>
      <c r="L19" s="63" t="n">
        <v>1</v>
      </c>
      <c r="M19" s="63" t="n">
        <v>10</v>
      </c>
      <c r="N19" s="63" t="n">
        <v>2</v>
      </c>
      <c r="O19" s="63" t="n">
        <v>25</v>
      </c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</row>
    <row r="20" customFormat="false" ht="15.75" hidden="false" customHeight="true" outlineLevel="0" collapsed="false">
      <c r="A20" s="48" t="s">
        <v>145</v>
      </c>
      <c r="B20" s="63" t="n">
        <v>220</v>
      </c>
      <c r="C20" s="69" t="s">
        <v>143</v>
      </c>
      <c r="D20" s="64" t="s">
        <v>53</v>
      </c>
      <c r="E20" s="65" t="n">
        <v>1.5</v>
      </c>
      <c r="F20" s="63" t="n">
        <v>1</v>
      </c>
      <c r="G20" s="66" t="n">
        <v>0.99</v>
      </c>
      <c r="H20" s="67" t="n">
        <f aca="false">I20*G20</f>
        <v>1652.7</v>
      </c>
      <c r="I20" s="67" t="n">
        <f aca="false">'Previsão de Cargas'!D9</f>
        <v>1669.39393939394</v>
      </c>
      <c r="J20" s="67" t="n">
        <f aca="false">SQRT(I20^2-H20^2)</f>
        <v>235.496995490847</v>
      </c>
      <c r="K20" s="67" t="n">
        <f aca="false">IF(F20=3, I20/(SQRT(3)*B20), I20/(F20*B20))</f>
        <v>7.58815426997245</v>
      </c>
      <c r="L20" s="63" t="n">
        <v>1</v>
      </c>
      <c r="M20" s="63" t="n">
        <v>10</v>
      </c>
      <c r="N20" s="63" t="n">
        <v>2</v>
      </c>
      <c r="O20" s="63" t="n">
        <v>25</v>
      </c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</row>
    <row r="21" customFormat="false" ht="15" hidden="false" customHeight="true" outlineLevel="0" collapsed="false">
      <c r="A21" s="48" t="s">
        <v>146</v>
      </c>
      <c r="B21" s="63" t="n">
        <v>220</v>
      </c>
      <c r="C21" s="68" t="s">
        <v>143</v>
      </c>
      <c r="D21" s="64" t="s">
        <v>147</v>
      </c>
      <c r="E21" s="65" t="n">
        <v>2.5</v>
      </c>
      <c r="F21" s="63" t="n">
        <v>1</v>
      </c>
      <c r="G21" s="66" t="n">
        <v>0.8</v>
      </c>
      <c r="H21" s="67" t="n">
        <f aca="false">I21*G21</f>
        <v>960</v>
      </c>
      <c r="I21" s="67" t="n">
        <f aca="false">'Previsão de Cargas'!F16+'Previsão de Cargas'!F17</f>
        <v>1200</v>
      </c>
      <c r="J21" s="67" t="n">
        <f aca="false">SQRT(I21^2-H21^2)</f>
        <v>720</v>
      </c>
      <c r="K21" s="67" t="n">
        <f aca="false">IF(F21=3, I21/(SQRT(3)*B21), I21/(F21*B21))</f>
        <v>5.45454545454545</v>
      </c>
      <c r="L21" s="63" t="n">
        <v>1</v>
      </c>
      <c r="M21" s="63" t="n">
        <v>10</v>
      </c>
      <c r="N21" s="63" t="n">
        <v>2</v>
      </c>
      <c r="O21" s="63" t="n">
        <v>25</v>
      </c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</row>
    <row r="22" customFormat="false" ht="15" hidden="false" customHeight="true" outlineLevel="0" collapsed="false">
      <c r="A22" s="48" t="s">
        <v>148</v>
      </c>
      <c r="B22" s="63" t="n">
        <v>220</v>
      </c>
      <c r="C22" s="68" t="s">
        <v>143</v>
      </c>
      <c r="D22" s="64" t="s">
        <v>149</v>
      </c>
      <c r="E22" s="65" t="n">
        <v>2.5</v>
      </c>
      <c r="F22" s="63" t="n">
        <v>1</v>
      </c>
      <c r="G22" s="66" t="n">
        <v>0.8</v>
      </c>
      <c r="H22" s="67" t="n">
        <f aca="false">I22*G22</f>
        <v>1920</v>
      </c>
      <c r="I22" s="67" t="n">
        <f aca="false">ROUNDUP('Previsão de Cargas'!E7/2,0)*600</f>
        <v>2400</v>
      </c>
      <c r="J22" s="67" t="n">
        <f aca="false">SQRT(I22^2-H22^2)</f>
        <v>1440</v>
      </c>
      <c r="K22" s="67" t="n">
        <f aca="false">IF(F22=3, I22/(SQRT(3)*B22), I22/(F22*B22))</f>
        <v>10.9090909090909</v>
      </c>
      <c r="L22" s="63" t="n">
        <v>1</v>
      </c>
      <c r="M22" s="63" t="n">
        <v>16</v>
      </c>
      <c r="N22" s="63" t="n">
        <v>2</v>
      </c>
      <c r="O22" s="63" t="n">
        <v>25</v>
      </c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</row>
    <row r="23" customFormat="false" ht="15" hidden="false" customHeight="true" outlineLevel="0" collapsed="false">
      <c r="A23" s="48" t="s">
        <v>150</v>
      </c>
      <c r="B23" s="63" t="n">
        <v>220</v>
      </c>
      <c r="C23" s="68" t="s">
        <v>143</v>
      </c>
      <c r="D23" s="64" t="s">
        <v>151</v>
      </c>
      <c r="E23" s="65" t="n">
        <v>2.5</v>
      </c>
      <c r="F23" s="63" t="n">
        <v>1</v>
      </c>
      <c r="G23" s="66" t="n">
        <v>0.8</v>
      </c>
      <c r="H23" s="67" t="n">
        <f aca="false">I23*G23</f>
        <v>1440</v>
      </c>
      <c r="I23" s="67" t="n">
        <f aca="false">('Previsão de Cargas'!E7-ROUNDUP('Previsão de Cargas'!E7/2,0))*600</f>
        <v>1800</v>
      </c>
      <c r="J23" s="67" t="n">
        <f aca="false">SQRT(I23^2-H23^2)</f>
        <v>1080</v>
      </c>
      <c r="K23" s="67" t="n">
        <f aca="false">IF(F23=3, I23/(SQRT(3)*B23), I23/(F23*B23))</f>
        <v>8.18181818181818</v>
      </c>
      <c r="L23" s="63" t="n">
        <v>1</v>
      </c>
      <c r="M23" s="63" t="n">
        <v>10</v>
      </c>
      <c r="N23" s="63" t="n">
        <v>2</v>
      </c>
      <c r="O23" s="63" t="n">
        <v>25</v>
      </c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</row>
    <row r="24" customFormat="false" ht="15" hidden="false" customHeight="true" outlineLevel="0" collapsed="false">
      <c r="A24" s="48" t="s">
        <v>152</v>
      </c>
      <c r="B24" s="63" t="n">
        <v>220</v>
      </c>
      <c r="C24" s="68" t="s">
        <v>143</v>
      </c>
      <c r="D24" s="64" t="s">
        <v>153</v>
      </c>
      <c r="E24" s="65" t="n">
        <v>2.5</v>
      </c>
      <c r="F24" s="63" t="n">
        <v>1</v>
      </c>
      <c r="G24" s="66" t="n">
        <v>0.8</v>
      </c>
      <c r="H24" s="67" t="n">
        <f aca="false">I24*G24</f>
        <v>1920</v>
      </c>
      <c r="I24" s="67" t="n">
        <f aca="false">ROUNDUP('Previsão de Cargas'!E8/2,0)*600</f>
        <v>2400</v>
      </c>
      <c r="J24" s="67" t="n">
        <f aca="false">SQRT(I24^2-H24^2)</f>
        <v>1440</v>
      </c>
      <c r="K24" s="67" t="n">
        <f aca="false">IF(F24=3, I24/(SQRT(3)*B24), I24/(F24*B24))</f>
        <v>10.9090909090909</v>
      </c>
      <c r="L24" s="63" t="n">
        <v>1</v>
      </c>
      <c r="M24" s="63" t="n">
        <v>16</v>
      </c>
      <c r="N24" s="63" t="n">
        <v>2</v>
      </c>
      <c r="O24" s="63" t="n">
        <v>25</v>
      </c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</row>
    <row r="25" customFormat="false" ht="15" hidden="false" customHeight="true" outlineLevel="0" collapsed="false">
      <c r="A25" s="48" t="s">
        <v>154</v>
      </c>
      <c r="B25" s="63" t="n">
        <v>220</v>
      </c>
      <c r="C25" s="68" t="s">
        <v>143</v>
      </c>
      <c r="D25" s="64" t="s">
        <v>155</v>
      </c>
      <c r="E25" s="65" t="n">
        <v>2.5</v>
      </c>
      <c r="F25" s="63" t="n">
        <v>1</v>
      </c>
      <c r="G25" s="66" t="n">
        <v>0.8</v>
      </c>
      <c r="H25" s="67" t="n">
        <f aca="false">I25*G25</f>
        <v>1440</v>
      </c>
      <c r="I25" s="67" t="n">
        <f aca="false">('Previsão de Cargas'!E8-ROUNDUP('Previsão de Cargas'!E8/2,0))*600</f>
        <v>1800</v>
      </c>
      <c r="J25" s="67" t="n">
        <f aca="false">SQRT(I25^2-H25^2)</f>
        <v>1080</v>
      </c>
      <c r="K25" s="67" t="n">
        <f aca="false">IF(F25=3, I25/(SQRT(3)*B25), I25/(F25*B25))</f>
        <v>8.18181818181818</v>
      </c>
      <c r="L25" s="63" t="n">
        <v>1</v>
      </c>
      <c r="M25" s="63" t="n">
        <v>10</v>
      </c>
      <c r="N25" s="63" t="n">
        <v>2</v>
      </c>
      <c r="O25" s="63" t="n">
        <v>25</v>
      </c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</row>
    <row r="26" customFormat="false" ht="15.75" hidden="false" customHeight="true" outlineLevel="0" collapsed="false">
      <c r="A26" s="48" t="s">
        <v>156</v>
      </c>
      <c r="B26" s="63" t="n">
        <v>220</v>
      </c>
      <c r="C26" s="69" t="s">
        <v>143</v>
      </c>
      <c r="D26" s="64" t="s">
        <v>157</v>
      </c>
      <c r="E26" s="65" t="n">
        <v>2.5</v>
      </c>
      <c r="F26" s="63" t="n">
        <v>1</v>
      </c>
      <c r="G26" s="66" t="n">
        <v>0.8</v>
      </c>
      <c r="H26" s="67" t="n">
        <f aca="false">I26*G26</f>
        <v>1440</v>
      </c>
      <c r="I26" s="67" t="n">
        <f aca="false">ROUNDUP('Previsão de Cargas'!E9/2,0)*600</f>
        <v>1800</v>
      </c>
      <c r="J26" s="67" t="n">
        <f aca="false">SQRT(I26^2-H26^2)</f>
        <v>1080</v>
      </c>
      <c r="K26" s="67" t="n">
        <f aca="false">IF(F26=3, I26/(SQRT(3)*B26), I26/(F26*B26))</f>
        <v>8.18181818181818</v>
      </c>
      <c r="L26" s="63" t="n">
        <v>1</v>
      </c>
      <c r="M26" s="63" t="n">
        <v>10</v>
      </c>
      <c r="N26" s="63" t="n">
        <v>2</v>
      </c>
      <c r="O26" s="63" t="n">
        <v>25</v>
      </c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</row>
    <row r="27" customFormat="false" ht="15.75" hidden="false" customHeight="true" outlineLevel="0" collapsed="false">
      <c r="A27" s="48" t="s">
        <v>158</v>
      </c>
      <c r="B27" s="63" t="n">
        <v>220</v>
      </c>
      <c r="C27" s="69" t="s">
        <v>143</v>
      </c>
      <c r="D27" s="64" t="s">
        <v>159</v>
      </c>
      <c r="E27" s="65" t="n">
        <v>2.5</v>
      </c>
      <c r="F27" s="63" t="n">
        <v>1</v>
      </c>
      <c r="G27" s="66" t="n">
        <v>0.8</v>
      </c>
      <c r="H27" s="67" t="n">
        <f aca="false">I27*G27</f>
        <v>1440</v>
      </c>
      <c r="I27" s="67" t="n">
        <f aca="false">('Previsão de Cargas'!E9-ROUNDUP('Previsão de Cargas'!E9/2,0))*600</f>
        <v>1800</v>
      </c>
      <c r="J27" s="67" t="n">
        <f aca="false">SQRT(I27^2-H27^2)</f>
        <v>1080</v>
      </c>
      <c r="K27" s="67" t="n">
        <f aca="false">IF(F27=3, I27/(SQRT(3)*B27), I27/(F27*B27))</f>
        <v>8.18181818181818</v>
      </c>
      <c r="L27" s="63" t="n">
        <v>1</v>
      </c>
      <c r="M27" s="63" t="n">
        <v>10</v>
      </c>
      <c r="N27" s="63" t="n">
        <v>2</v>
      </c>
      <c r="O27" s="63" t="n">
        <v>25</v>
      </c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</row>
    <row r="28" customFormat="false" ht="15" hidden="false" customHeight="true" outlineLevel="0" collapsed="false">
      <c r="A28" s="48" t="s">
        <v>160</v>
      </c>
      <c r="B28" s="63" t="n">
        <v>380</v>
      </c>
      <c r="C28" s="68" t="s">
        <v>143</v>
      </c>
      <c r="D28" s="64" t="s">
        <v>149</v>
      </c>
      <c r="E28" s="65" t="n">
        <v>2.5</v>
      </c>
      <c r="F28" s="63" t="n">
        <v>3</v>
      </c>
      <c r="G28" s="66" t="n">
        <v>0.8</v>
      </c>
      <c r="H28" s="67" t="n">
        <f aca="false">I28*G28</f>
        <v>9600</v>
      </c>
      <c r="I28" s="67" t="n">
        <f aca="false">'Previsão de Cargas'!H7/2</f>
        <v>12000</v>
      </c>
      <c r="J28" s="67" t="n">
        <f aca="false">SQRT(I28^2-H28^2)</f>
        <v>7200</v>
      </c>
      <c r="K28" s="67" t="n">
        <f aca="false">IF(F28=3, I28/(SQRT(3)*B28), I28/(F28*B28))</f>
        <v>18.2321137638829</v>
      </c>
      <c r="L28" s="63" t="n">
        <v>3</v>
      </c>
      <c r="M28" s="63" t="n">
        <v>20</v>
      </c>
      <c r="N28" s="63" t="n">
        <v>4</v>
      </c>
      <c r="O28" s="63" t="n">
        <v>25</v>
      </c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</row>
    <row r="29" customFormat="false" ht="15" hidden="false" customHeight="true" outlineLevel="0" collapsed="false">
      <c r="A29" s="48" t="s">
        <v>161</v>
      </c>
      <c r="B29" s="63" t="n">
        <v>380</v>
      </c>
      <c r="C29" s="68" t="s">
        <v>143</v>
      </c>
      <c r="D29" s="64" t="s">
        <v>151</v>
      </c>
      <c r="E29" s="65" t="n">
        <v>2.5</v>
      </c>
      <c r="F29" s="63" t="n">
        <v>3</v>
      </c>
      <c r="G29" s="66" t="n">
        <v>0.8</v>
      </c>
      <c r="H29" s="67" t="n">
        <f aca="false">I29*G29</f>
        <v>9600</v>
      </c>
      <c r="I29" s="67" t="n">
        <f aca="false">'Previsão de Cargas'!H7/2</f>
        <v>12000</v>
      </c>
      <c r="J29" s="67" t="n">
        <f aca="false">SQRT(I29^2-H29^2)</f>
        <v>7200</v>
      </c>
      <c r="K29" s="67" t="n">
        <f aca="false">IF(F29=3, I29/(SQRT(3)*B29), I29/(F29*B29))</f>
        <v>18.2321137638829</v>
      </c>
      <c r="L29" s="63" t="n">
        <v>3</v>
      </c>
      <c r="M29" s="63" t="n">
        <v>20</v>
      </c>
      <c r="N29" s="63" t="n">
        <v>4</v>
      </c>
      <c r="O29" s="63" t="n">
        <v>25</v>
      </c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</row>
    <row r="30" customFormat="false" ht="15.75" hidden="false" customHeight="true" outlineLevel="0" collapsed="false">
      <c r="A30" s="48" t="s">
        <v>162</v>
      </c>
      <c r="B30" s="63" t="n">
        <v>380</v>
      </c>
      <c r="C30" s="68" t="s">
        <v>143</v>
      </c>
      <c r="D30" s="64" t="s">
        <v>153</v>
      </c>
      <c r="E30" s="65" t="n">
        <v>2.5</v>
      </c>
      <c r="F30" s="63" t="n">
        <v>3</v>
      </c>
      <c r="G30" s="66" t="n">
        <v>0.8</v>
      </c>
      <c r="H30" s="67" t="n">
        <f aca="false">I30*G30</f>
        <v>9600</v>
      </c>
      <c r="I30" s="67" t="n">
        <v>12000</v>
      </c>
      <c r="J30" s="67" t="n">
        <f aca="false">SQRT(I30^2-H30^2)</f>
        <v>7200</v>
      </c>
      <c r="K30" s="67" t="n">
        <f aca="false">IF(F30=3, I30/(SQRT(3)*B30), I30/(F30*B30))</f>
        <v>18.2321137638829</v>
      </c>
      <c r="L30" s="63" t="n">
        <v>3</v>
      </c>
      <c r="M30" s="63" t="n">
        <v>20</v>
      </c>
      <c r="N30" s="63" t="n">
        <v>4</v>
      </c>
      <c r="O30" s="63" t="n">
        <v>25</v>
      </c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customFormat="false" ht="15.75" hidden="false" customHeight="true" outlineLevel="0" collapsed="false">
      <c r="A31" s="48" t="s">
        <v>163</v>
      </c>
      <c r="B31" s="63" t="n">
        <v>380</v>
      </c>
      <c r="C31" s="69" t="s">
        <v>143</v>
      </c>
      <c r="D31" s="64" t="s">
        <v>53</v>
      </c>
      <c r="E31" s="65" t="n">
        <v>2.5</v>
      </c>
      <c r="F31" s="63" t="n">
        <v>3</v>
      </c>
      <c r="G31" s="66" t="n">
        <v>0.8</v>
      </c>
      <c r="H31" s="67" t="n">
        <f aca="false">I31*G31</f>
        <v>14400</v>
      </c>
      <c r="I31" s="67" t="n">
        <f aca="false">'Previsão de Cargas'!H9</f>
        <v>18000</v>
      </c>
      <c r="J31" s="67" t="n">
        <f aca="false">SQRT(I31^2-H31^2)</f>
        <v>10800</v>
      </c>
      <c r="K31" s="67" t="n">
        <f aca="false">IF(F31=3, I31/(SQRT(3)*B31), I31/(F31*B31))</f>
        <v>27.3481706458244</v>
      </c>
      <c r="L31" s="63" t="n">
        <v>3</v>
      </c>
      <c r="M31" s="63" t="n">
        <v>32</v>
      </c>
      <c r="N31" s="63" t="n">
        <v>4</v>
      </c>
      <c r="O31" s="63" t="n">
        <v>40</v>
      </c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customFormat="false" ht="15.75" hidden="false" customHeight="true" outlineLevel="0" collapsed="false">
      <c r="A32" s="48" t="s">
        <v>164</v>
      </c>
      <c r="B32" s="63" t="n">
        <v>220</v>
      </c>
      <c r="C32" s="68" t="s">
        <v>143</v>
      </c>
      <c r="D32" s="64" t="s">
        <v>165</v>
      </c>
      <c r="E32" s="65" t="n">
        <v>2.5</v>
      </c>
      <c r="F32" s="63" t="n">
        <v>1</v>
      </c>
      <c r="G32" s="66" t="n">
        <v>0.98</v>
      </c>
      <c r="H32" s="67" t="n">
        <f aca="false">I32*G32</f>
        <v>3000</v>
      </c>
      <c r="I32" s="67" t="n">
        <f aca="false">('Previsão de Cargas'!J16+'Previsão de Cargas'!J17)/G32</f>
        <v>3061.22448979592</v>
      </c>
      <c r="J32" s="67" t="n">
        <f aca="false">SQRT(I32^2-H32^2)</f>
        <v>609.175981902014</v>
      </c>
      <c r="K32" s="67" t="n">
        <f aca="false">IF(F32=3, I32/(SQRT(3)*B32), I32/(F32*B32))</f>
        <v>13.9146567717996</v>
      </c>
      <c r="L32" s="63" t="n">
        <v>1</v>
      </c>
      <c r="M32" s="63" t="n">
        <v>16</v>
      </c>
      <c r="N32" s="63" t="n">
        <v>2</v>
      </c>
      <c r="O32" s="63" t="n">
        <v>25</v>
      </c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3" customFormat="false" ht="15.75" hidden="false" customHeight="true" outlineLevel="0" collapsed="false">
      <c r="A33" s="48" t="s">
        <v>166</v>
      </c>
      <c r="B33" s="63" t="n">
        <v>380</v>
      </c>
      <c r="C33" s="68" t="s">
        <v>143</v>
      </c>
      <c r="D33" s="64" t="s">
        <v>155</v>
      </c>
      <c r="E33" s="65" t="n">
        <v>2.5</v>
      </c>
      <c r="F33" s="63" t="n">
        <v>3</v>
      </c>
      <c r="G33" s="66" t="n">
        <v>0.8</v>
      </c>
      <c r="H33" s="67" t="n">
        <f aca="false">I33*G33</f>
        <v>9600</v>
      </c>
      <c r="I33" s="67" t="n">
        <v>12000</v>
      </c>
      <c r="J33" s="67" t="n">
        <f aca="false">SQRT(I33^2-H33^2)</f>
        <v>7200</v>
      </c>
      <c r="K33" s="67" t="n">
        <f aca="false">IF(F33=3, I33/(SQRT(3)*B33), I33/(F33*B33))</f>
        <v>18.2321137638829</v>
      </c>
      <c r="L33" s="63" t="n">
        <v>3</v>
      </c>
      <c r="M33" s="63" t="n">
        <v>20</v>
      </c>
      <c r="N33" s="63" t="n">
        <v>4</v>
      </c>
      <c r="O33" s="63" t="n">
        <v>25</v>
      </c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  <row r="34" customFormat="false" ht="15.75" hidden="false" customHeight="true" outlineLevel="0" collapsed="false">
      <c r="A34" s="48" t="s">
        <v>167</v>
      </c>
      <c r="B34" s="63" t="n">
        <v>220</v>
      </c>
      <c r="C34" s="68" t="s">
        <v>143</v>
      </c>
      <c r="D34" s="64" t="s">
        <v>90</v>
      </c>
      <c r="E34" s="48" t="n">
        <v>2.5</v>
      </c>
      <c r="F34" s="63" t="n">
        <v>1</v>
      </c>
      <c r="G34" s="66" t="n">
        <v>0.8</v>
      </c>
      <c r="H34" s="67" t="n">
        <f aca="false">I34*G34</f>
        <v>2240</v>
      </c>
      <c r="I34" s="67" t="n">
        <v>2800</v>
      </c>
      <c r="J34" s="67" t="n">
        <f aca="false">SQRT(I34^2-H34^2)</f>
        <v>1680</v>
      </c>
      <c r="K34" s="67" t="n">
        <f aca="false">IF(F34=3, I34/(SQRT(3)*B34), I34/(F34*B34))</f>
        <v>12.7272727272727</v>
      </c>
      <c r="L34" s="63" t="n">
        <v>1</v>
      </c>
      <c r="M34" s="63" t="n">
        <v>16</v>
      </c>
      <c r="N34" s="63" t="n">
        <v>2</v>
      </c>
      <c r="O34" s="63" t="n">
        <v>25</v>
      </c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</row>
    <row r="35" customFormat="false" ht="15.75" hidden="false" customHeight="true" outlineLevel="0" collapsed="false">
      <c r="A35" s="48" t="s">
        <v>168</v>
      </c>
      <c r="B35" s="63" t="n">
        <v>380</v>
      </c>
      <c r="C35" s="68" t="s">
        <v>143</v>
      </c>
      <c r="D35" s="64" t="s">
        <v>91</v>
      </c>
      <c r="E35" s="48" t="n">
        <v>2.5</v>
      </c>
      <c r="F35" s="63" t="n">
        <v>2</v>
      </c>
      <c r="G35" s="66" t="n">
        <v>0.8</v>
      </c>
      <c r="H35" s="67" t="n">
        <f aca="false">I35*G35</f>
        <v>5440</v>
      </c>
      <c r="I35" s="67" t="n">
        <v>6800</v>
      </c>
      <c r="J35" s="67" t="n">
        <f aca="false">SQRT(I35^2-H35^2)</f>
        <v>4080</v>
      </c>
      <c r="K35" s="67" t="n">
        <f aca="false">I35/380</f>
        <v>17.8947368421053</v>
      </c>
      <c r="L35" s="63" t="n">
        <v>2</v>
      </c>
      <c r="M35" s="63" t="n">
        <v>20</v>
      </c>
      <c r="N35" s="63" t="n">
        <v>2</v>
      </c>
      <c r="O35" s="63" t="n">
        <v>25</v>
      </c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</row>
    <row r="36" customFormat="false" ht="15.75" hidden="false" customHeight="true" outlineLevel="0" collapsed="false">
      <c r="A36" s="70" t="s">
        <v>169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</row>
    <row r="37" customFormat="false" ht="15.75" hidden="false" customHeight="true" outlineLevel="0" collapsed="false">
      <c r="A37" s="48" t="s">
        <v>170</v>
      </c>
      <c r="B37" s="63" t="n">
        <v>220</v>
      </c>
      <c r="C37" s="70" t="s">
        <v>171</v>
      </c>
      <c r="D37" s="64" t="s">
        <v>172</v>
      </c>
      <c r="E37" s="65" t="n">
        <v>1.5</v>
      </c>
      <c r="F37" s="63" t="n">
        <v>1</v>
      </c>
      <c r="G37" s="66" t="n">
        <v>0.99</v>
      </c>
      <c r="H37" s="67" t="n">
        <f aca="false">I37*G37</f>
        <v>1940.4</v>
      </c>
      <c r="I37" s="67" t="n">
        <f aca="false">'Previsão de Cargas'!D11+'Previsão de Cargas'!D12+'Previsão de Cargas'!D13+'Previsão de Cargas'!D14</f>
        <v>1960</v>
      </c>
      <c r="J37" s="67" t="n">
        <f aca="false">SQRT(I37^2-H37^2)</f>
        <v>276.492025201451</v>
      </c>
      <c r="K37" s="67" t="n">
        <f aca="false">IF(F37=3, I37/(SQRT(3)*B37), I37/(F37*B37))</f>
        <v>8.90909090909091</v>
      </c>
      <c r="L37" s="63" t="n">
        <v>1</v>
      </c>
      <c r="M37" s="63" t="n">
        <v>10</v>
      </c>
      <c r="N37" s="63" t="n">
        <v>2</v>
      </c>
      <c r="O37" s="63" t="n">
        <v>25</v>
      </c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</row>
    <row r="38" customFormat="false" ht="15.75" hidden="false" customHeight="true" outlineLevel="0" collapsed="false">
      <c r="A38" s="48" t="s">
        <v>173</v>
      </c>
      <c r="B38" s="63" t="n">
        <v>220</v>
      </c>
      <c r="C38" s="70" t="s">
        <v>171</v>
      </c>
      <c r="D38" s="64" t="s">
        <v>61</v>
      </c>
      <c r="E38" s="65" t="n">
        <v>2.5</v>
      </c>
      <c r="F38" s="63" t="n">
        <v>1</v>
      </c>
      <c r="G38" s="66" t="n">
        <v>0.8</v>
      </c>
      <c r="H38" s="67" t="n">
        <f aca="false">I38*G38</f>
        <v>1600</v>
      </c>
      <c r="I38" s="67" t="n">
        <f aca="false">'Previsão de Cargas'!F14</f>
        <v>2000</v>
      </c>
      <c r="J38" s="67" t="n">
        <f aca="false">SQRT(I38^2-H38^2)</f>
        <v>1200</v>
      </c>
      <c r="K38" s="67" t="n">
        <f aca="false">IF(F38=3, I38/(SQRT(3)*B38), I38/(F38*B38))</f>
        <v>9.09090909090909</v>
      </c>
      <c r="L38" s="63" t="n">
        <v>1</v>
      </c>
      <c r="M38" s="63" t="n">
        <v>10</v>
      </c>
      <c r="N38" s="63" t="n">
        <v>2</v>
      </c>
      <c r="O38" s="63" t="n">
        <v>25</v>
      </c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</row>
    <row r="39" customFormat="false" ht="15.75" hidden="false" customHeight="true" outlineLevel="0" collapsed="false">
      <c r="A39" s="48" t="s">
        <v>174</v>
      </c>
      <c r="B39" s="63" t="n">
        <v>220</v>
      </c>
      <c r="C39" s="70" t="s">
        <v>171</v>
      </c>
      <c r="D39" s="64" t="s">
        <v>175</v>
      </c>
      <c r="E39" s="65" t="n">
        <v>2.5</v>
      </c>
      <c r="F39" s="63" t="n">
        <v>1</v>
      </c>
      <c r="G39" s="66" t="n">
        <v>0.8</v>
      </c>
      <c r="H39" s="67" t="n">
        <f aca="false">I39*G39</f>
        <v>960</v>
      </c>
      <c r="I39" s="67" t="n">
        <f aca="false">'Previsão de Cargas'!F18+'Previsão de Cargas'!F19</f>
        <v>1200</v>
      </c>
      <c r="J39" s="67" t="n">
        <f aca="false">SQRT(I39^2-H39^2)</f>
        <v>720</v>
      </c>
      <c r="K39" s="67" t="n">
        <f aca="false">IF(F39=3, I39/(SQRT(3)*B39), I39/(F39*B39))</f>
        <v>5.45454545454545</v>
      </c>
      <c r="L39" s="63" t="n">
        <v>1</v>
      </c>
      <c r="M39" s="63" t="n">
        <v>10</v>
      </c>
      <c r="N39" s="63" t="n">
        <v>2</v>
      </c>
      <c r="O39" s="63" t="n">
        <v>25</v>
      </c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</row>
    <row r="40" customFormat="false" ht="15.75" hidden="false" customHeight="true" outlineLevel="0" collapsed="false">
      <c r="A40" s="48" t="s">
        <v>176</v>
      </c>
      <c r="B40" s="63" t="n">
        <v>220</v>
      </c>
      <c r="C40" s="70" t="s">
        <v>171</v>
      </c>
      <c r="D40" s="64" t="s">
        <v>177</v>
      </c>
      <c r="E40" s="65" t="n">
        <v>2.5</v>
      </c>
      <c r="F40" s="63" t="n">
        <v>1</v>
      </c>
      <c r="G40" s="66" t="n">
        <v>0.8</v>
      </c>
      <c r="H40" s="67" t="n">
        <f aca="false">I40*G40</f>
        <v>2320</v>
      </c>
      <c r="I40" s="67" t="n">
        <f aca="false">'Previsão de Cargas'!F11+'Previsão de Cargas'!F12</f>
        <v>2900</v>
      </c>
      <c r="J40" s="67" t="n">
        <f aca="false">SQRT(I40^2-H40^2)</f>
        <v>1740</v>
      </c>
      <c r="K40" s="67" t="n">
        <f aca="false">IF(F40=3, I40/(SQRT(3)*B40), I40/(F40*B40))</f>
        <v>13.1818181818182</v>
      </c>
      <c r="L40" s="63" t="n">
        <v>1</v>
      </c>
      <c r="M40" s="63" t="n">
        <v>16</v>
      </c>
      <c r="N40" s="63" t="n">
        <v>2</v>
      </c>
      <c r="O40" s="63" t="n">
        <v>25</v>
      </c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</row>
    <row r="41" customFormat="false" ht="15.75" hidden="false" customHeight="true" outlineLevel="0" collapsed="false">
      <c r="A41" s="48" t="s">
        <v>178</v>
      </c>
      <c r="B41" s="63" t="n">
        <v>220</v>
      </c>
      <c r="C41" s="69" t="s">
        <v>171</v>
      </c>
      <c r="D41" s="64" t="s">
        <v>179</v>
      </c>
      <c r="E41" s="65" t="n">
        <v>2.5</v>
      </c>
      <c r="F41" s="63" t="n">
        <v>1</v>
      </c>
      <c r="G41" s="66" t="n">
        <v>0.8</v>
      </c>
      <c r="H41" s="67" t="n">
        <f aca="false">I41*G41</f>
        <v>1120</v>
      </c>
      <c r="I41" s="67" t="n">
        <f aca="false">'Previsão de Cargas'!F25+'Previsão de Cargas'!F26</f>
        <v>1400</v>
      </c>
      <c r="J41" s="67" t="n">
        <f aca="false">SQRT(I41^2-H41^2)</f>
        <v>840</v>
      </c>
      <c r="K41" s="67" t="n">
        <f aca="false">IF(F41=3, I41/(SQRT(3)*B41), I41/(F41*B41))</f>
        <v>6.36363636363636</v>
      </c>
      <c r="L41" s="63" t="n">
        <v>1</v>
      </c>
      <c r="M41" s="63" t="n">
        <v>10</v>
      </c>
      <c r="N41" s="63" t="n">
        <v>2</v>
      </c>
      <c r="O41" s="63" t="n">
        <v>25</v>
      </c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</row>
    <row r="42" customFormat="false" ht="15.75" hidden="false" customHeight="true" outlineLevel="0" collapsed="false">
      <c r="A42" s="48" t="s">
        <v>180</v>
      </c>
      <c r="B42" s="63" t="n">
        <v>220</v>
      </c>
      <c r="C42" s="70" t="s">
        <v>171</v>
      </c>
      <c r="D42" s="64" t="s">
        <v>181</v>
      </c>
      <c r="E42" s="65" t="n">
        <v>2.5</v>
      </c>
      <c r="F42" s="63" t="n">
        <v>1</v>
      </c>
      <c r="G42" s="66" t="n">
        <v>0.98</v>
      </c>
      <c r="H42" s="67" t="n">
        <f aca="false">I42*G42</f>
        <v>3000</v>
      </c>
      <c r="I42" s="67" t="n">
        <f aca="false">('Previsão de Cargas'!J18+'Previsão de Cargas'!J19)/G42</f>
        <v>3061.22448979592</v>
      </c>
      <c r="J42" s="67" t="n">
        <f aca="false">SQRT(I42^2-H42^2)</f>
        <v>609.175981902014</v>
      </c>
      <c r="K42" s="67" t="n">
        <f aca="false">IF(F42=3, I42/(SQRT(3)*B42), I42/(F42*B42))</f>
        <v>13.9146567717996</v>
      </c>
      <c r="L42" s="63" t="n">
        <v>1</v>
      </c>
      <c r="M42" s="63" t="n">
        <v>16</v>
      </c>
      <c r="N42" s="63" t="n">
        <v>2</v>
      </c>
      <c r="O42" s="63" t="n">
        <v>25</v>
      </c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</row>
    <row r="43" customFormat="false" ht="15.75" hidden="false" customHeight="true" outlineLevel="0" collapsed="false">
      <c r="A43" s="48" t="s">
        <v>182</v>
      </c>
      <c r="B43" s="63" t="n">
        <v>220</v>
      </c>
      <c r="C43" s="70" t="s">
        <v>171</v>
      </c>
      <c r="D43" s="64" t="s">
        <v>183</v>
      </c>
      <c r="E43" s="65" t="n">
        <v>2.5</v>
      </c>
      <c r="F43" s="63" t="n">
        <v>1</v>
      </c>
      <c r="G43" s="66" t="n">
        <v>0.92</v>
      </c>
      <c r="H43" s="67" t="n">
        <f aca="false">I43*G43</f>
        <v>1900</v>
      </c>
      <c r="I43" s="67" t="n">
        <f aca="false">'Previsão de Cargas'!J11/G43</f>
        <v>2065.21739130435</v>
      </c>
      <c r="J43" s="67" t="n">
        <f aca="false">SQRT(I43^2-H43^2)</f>
        <v>809.396610658789</v>
      </c>
      <c r="K43" s="67" t="n">
        <f aca="false">IF(F43=3, I43/(SQRT(3)*B43), I43/(F43*B43))</f>
        <v>9.38735177865613</v>
      </c>
      <c r="L43" s="63" t="n">
        <v>1</v>
      </c>
      <c r="M43" s="63" t="n">
        <v>10</v>
      </c>
      <c r="N43" s="63" t="n">
        <v>2</v>
      </c>
      <c r="O43" s="63" t="n">
        <v>25</v>
      </c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</row>
    <row r="44" customFormat="false" ht="15.75" hidden="false" customHeight="true" outlineLevel="0" collapsed="false">
      <c r="A44" s="48" t="s">
        <v>184</v>
      </c>
      <c r="B44" s="63" t="n">
        <v>220</v>
      </c>
      <c r="C44" s="70" t="s">
        <v>171</v>
      </c>
      <c r="D44" s="64" t="s">
        <v>185</v>
      </c>
      <c r="E44" s="65" t="n">
        <v>2.5</v>
      </c>
      <c r="F44" s="63" t="n">
        <v>1</v>
      </c>
      <c r="G44" s="66" t="n">
        <v>0.92</v>
      </c>
      <c r="H44" s="67" t="n">
        <f aca="false">I44*G44</f>
        <v>2500</v>
      </c>
      <c r="I44" s="67" t="n">
        <f aca="false">'Previsão de Cargas'!J12/G44</f>
        <v>2717.39130434783</v>
      </c>
      <c r="J44" s="67" t="n">
        <f aca="false">SQRT(I44^2-H44^2)</f>
        <v>1064.99554034051</v>
      </c>
      <c r="K44" s="67" t="n">
        <f aca="false">IF(F44=3, I44/(SQRT(3)*B44), I44/(F44*B44))</f>
        <v>12.3517786561265</v>
      </c>
      <c r="L44" s="63" t="n">
        <v>1</v>
      </c>
      <c r="M44" s="63" t="n">
        <v>16</v>
      </c>
      <c r="N44" s="63" t="n">
        <v>2</v>
      </c>
      <c r="O44" s="63" t="n">
        <v>25</v>
      </c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</row>
    <row r="45" customFormat="false" ht="15.75" hidden="false" customHeight="true" outlineLevel="0" collapsed="false">
      <c r="A45" s="48" t="s">
        <v>186</v>
      </c>
      <c r="B45" s="63" t="n">
        <v>220</v>
      </c>
      <c r="C45" s="70" t="s">
        <v>171</v>
      </c>
      <c r="D45" s="64" t="s">
        <v>187</v>
      </c>
      <c r="E45" s="65" t="n">
        <v>2.5</v>
      </c>
      <c r="F45" s="63" t="n">
        <v>1</v>
      </c>
      <c r="G45" s="66" t="n">
        <v>0.92</v>
      </c>
      <c r="H45" s="67" t="n">
        <f aca="false">I45*G45</f>
        <v>1400</v>
      </c>
      <c r="I45" s="67" t="n">
        <f aca="false">'Previsão de Cargas'!J13/G45</f>
        <v>1521.73913043478</v>
      </c>
      <c r="J45" s="67" t="n">
        <f aca="false">SQRT(I45^2-H45^2)</f>
        <v>596.397502590687</v>
      </c>
      <c r="K45" s="67" t="n">
        <f aca="false">IF(F45=3, I45/(SQRT(3)*B45), I45/(F45*B45))</f>
        <v>6.91699604743083</v>
      </c>
      <c r="L45" s="63" t="n">
        <v>1</v>
      </c>
      <c r="M45" s="63" t="n">
        <v>10</v>
      </c>
      <c r="N45" s="63" t="n">
        <v>2</v>
      </c>
      <c r="O45" s="63" t="n">
        <v>25</v>
      </c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</row>
    <row r="46" customFormat="false" ht="15.75" hidden="false" customHeight="true" outlineLevel="0" collapsed="false">
      <c r="A46" s="48" t="s">
        <v>188</v>
      </c>
      <c r="B46" s="63" t="n">
        <v>220</v>
      </c>
      <c r="C46" s="70" t="s">
        <v>171</v>
      </c>
      <c r="D46" s="64" t="s">
        <v>189</v>
      </c>
      <c r="E46" s="65" t="n">
        <v>2.5</v>
      </c>
      <c r="F46" s="63" t="n">
        <v>1</v>
      </c>
      <c r="G46" s="66" t="n">
        <v>0.8</v>
      </c>
      <c r="H46" s="67" t="n">
        <f aca="false">I46*G46</f>
        <v>1360</v>
      </c>
      <c r="I46" s="67" t="n">
        <f aca="false">'Previsão de Cargas'!F13+'Previsão de Cargas'!F15</f>
        <v>1700</v>
      </c>
      <c r="J46" s="67" t="n">
        <f aca="false">SQRT(I46^2-H46^2)</f>
        <v>1020</v>
      </c>
      <c r="K46" s="67" t="n">
        <f aca="false">IF(F46=3, I46/(SQRT(3)*B46), I46/(F46*B46))</f>
        <v>7.72727272727273</v>
      </c>
      <c r="L46" s="63" t="n">
        <v>1</v>
      </c>
      <c r="M46" s="63" t="n">
        <v>10</v>
      </c>
      <c r="N46" s="63" t="n">
        <v>2</v>
      </c>
      <c r="O46" s="63" t="n">
        <v>25</v>
      </c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</row>
    <row r="47" customFormat="false" ht="15.75" hidden="false" customHeight="true" outlineLevel="0" collapsed="false">
      <c r="A47" s="48" t="s">
        <v>190</v>
      </c>
      <c r="B47" s="63" t="n">
        <v>220</v>
      </c>
      <c r="C47" s="69" t="s">
        <v>171</v>
      </c>
      <c r="D47" s="64" t="s">
        <v>191</v>
      </c>
      <c r="E47" s="65" t="n">
        <v>1.5</v>
      </c>
      <c r="F47" s="63" t="n">
        <v>1</v>
      </c>
      <c r="G47" s="66" t="n">
        <v>0.99</v>
      </c>
      <c r="H47" s="67" t="n">
        <f aca="false">I47*G47</f>
        <v>1445.4</v>
      </c>
      <c r="I47" s="67" t="n">
        <f aca="false">'Previsão de Cargas'!D15+'Previsão de Cargas'!D25+'Previsão de Cargas'!D26+'Previsão de Cargas'!D18+'Previsão de Cargas'!D19</f>
        <v>1460</v>
      </c>
      <c r="J47" s="67" t="n">
        <f aca="false">SQRT(I47^2-H47^2)</f>
        <v>205.958345303122</v>
      </c>
      <c r="K47" s="67" t="n">
        <f aca="false">IF(F47=3, I47/(SQRT(3)*B47), I47/(F47*B47))</f>
        <v>6.63636363636364</v>
      </c>
      <c r="L47" s="63" t="n">
        <v>1</v>
      </c>
      <c r="M47" s="63" t="n">
        <v>10</v>
      </c>
      <c r="N47" s="63" t="n">
        <v>2</v>
      </c>
      <c r="O47" s="63" t="n">
        <v>25</v>
      </c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</row>
    <row r="48" customFormat="false" ht="15.75" hidden="false" customHeight="true" outlineLevel="0" collapsed="false">
      <c r="A48" s="69" t="s">
        <v>192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</row>
    <row r="49" customFormat="false" ht="15.75" hidden="false" customHeight="true" outlineLevel="0" collapsed="false">
      <c r="A49" s="48" t="s">
        <v>193</v>
      </c>
      <c r="B49" s="63" t="n">
        <v>220</v>
      </c>
      <c r="C49" s="70" t="s">
        <v>194</v>
      </c>
      <c r="D49" s="64" t="s">
        <v>195</v>
      </c>
      <c r="E49" s="65" t="n">
        <v>1.5</v>
      </c>
      <c r="F49" s="63" t="n">
        <v>1</v>
      </c>
      <c r="G49" s="66" t="n">
        <v>0.99</v>
      </c>
      <c r="H49" s="67" t="n">
        <f aca="false">I49*G49</f>
        <v>2376</v>
      </c>
      <c r="I49" s="67" t="n">
        <f aca="false">'Previsão de Cargas'!D24+'Previsão de Cargas'!D20+'Previsão de Cargas'!D21+'Previsão de Cargas'!D22+'Previsão de Cargas'!D23+'Previsão de Cargas'!D27</f>
        <v>2400</v>
      </c>
      <c r="J49" s="67" t="n">
        <f aca="false">SQRT(I49^2-H49^2)</f>
        <v>338.561663511981</v>
      </c>
      <c r="K49" s="67" t="n">
        <f aca="false">IF(F49=3, I49/(SQRT(3)*B49), I49/(F49*B49))</f>
        <v>10.9090909090909</v>
      </c>
      <c r="L49" s="63" t="n">
        <v>1</v>
      </c>
      <c r="M49" s="63" t="n">
        <v>16</v>
      </c>
      <c r="N49" s="63" t="n">
        <v>2</v>
      </c>
      <c r="O49" s="63" t="n">
        <v>25</v>
      </c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</row>
    <row r="50" customFormat="false" ht="15.75" hidden="false" customHeight="true" outlineLevel="0" collapsed="false">
      <c r="A50" s="48" t="s">
        <v>196</v>
      </c>
      <c r="B50" s="63" t="n">
        <v>220</v>
      </c>
      <c r="C50" s="70" t="s">
        <v>194</v>
      </c>
      <c r="D50" s="64" t="s">
        <v>197</v>
      </c>
      <c r="E50" s="65" t="n">
        <v>2.5</v>
      </c>
      <c r="F50" s="63" t="n">
        <v>1</v>
      </c>
      <c r="G50" s="66" t="n">
        <v>0.8</v>
      </c>
      <c r="H50" s="67" t="n">
        <f aca="false">I50*G50</f>
        <v>2080</v>
      </c>
      <c r="I50" s="67" t="n">
        <f aca="false">'Previsão de Cargas'!F20+'Previsão de Cargas'!F21</f>
        <v>2600</v>
      </c>
      <c r="J50" s="67" t="n">
        <f aca="false">SQRT(I50^2-H50^2)</f>
        <v>1560</v>
      </c>
      <c r="K50" s="67" t="n">
        <f aca="false">IF(F50=3, I50/(SQRT(3)*B50), I50/(F50*B50))</f>
        <v>11.8181818181818</v>
      </c>
      <c r="L50" s="63" t="n">
        <v>1</v>
      </c>
      <c r="M50" s="63" t="n">
        <v>16</v>
      </c>
      <c r="N50" s="63" t="n">
        <v>2</v>
      </c>
      <c r="O50" s="63" t="n">
        <v>25</v>
      </c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</row>
    <row r="51" customFormat="false" ht="15.75" hidden="false" customHeight="true" outlineLevel="0" collapsed="false">
      <c r="A51" s="48" t="s">
        <v>198</v>
      </c>
      <c r="B51" s="63" t="n">
        <v>220</v>
      </c>
      <c r="C51" s="70" t="s">
        <v>194</v>
      </c>
      <c r="D51" s="64" t="s">
        <v>70</v>
      </c>
      <c r="E51" s="65" t="n">
        <v>2.5</v>
      </c>
      <c r="F51" s="63" t="n">
        <v>1</v>
      </c>
      <c r="G51" s="66" t="n">
        <v>1</v>
      </c>
      <c r="H51" s="67" t="n">
        <f aca="false">I51*G51</f>
        <v>6000</v>
      </c>
      <c r="I51" s="67" t="n">
        <f aca="false">'Previsão de Cargas'!J23/G51</f>
        <v>6000</v>
      </c>
      <c r="J51" s="67" t="n">
        <f aca="false">SQRT(I51^2-H51^2)</f>
        <v>0</v>
      </c>
      <c r="K51" s="67" t="n">
        <f aca="false">IF(F51=3, I51/(SQRT(3)*B51), I51/(F51*B51))</f>
        <v>27.2727272727273</v>
      </c>
      <c r="L51" s="63" t="n">
        <v>1</v>
      </c>
      <c r="M51" s="63" t="n">
        <v>32</v>
      </c>
      <c r="N51" s="63" t="n">
        <v>2</v>
      </c>
      <c r="O51" s="63" t="n">
        <v>40</v>
      </c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</row>
    <row r="52" customFormat="false" ht="15" hidden="false" customHeight="true" outlineLevel="0" collapsed="false">
      <c r="A52" s="48" t="s">
        <v>199</v>
      </c>
      <c r="B52" s="63" t="n">
        <v>220</v>
      </c>
      <c r="C52" s="69" t="s">
        <v>194</v>
      </c>
      <c r="D52" s="64" t="s">
        <v>74</v>
      </c>
      <c r="E52" s="65" t="n">
        <v>2.5</v>
      </c>
      <c r="F52" s="63" t="n">
        <v>1</v>
      </c>
      <c r="G52" s="66" t="n">
        <v>1</v>
      </c>
      <c r="H52" s="67" t="n">
        <f aca="false">I52*G52</f>
        <v>6000</v>
      </c>
      <c r="I52" s="67" t="n">
        <f aca="false">'Previsão de Cargas'!J27/G52</f>
        <v>6000</v>
      </c>
      <c r="J52" s="67" t="n">
        <f aca="false">SQRT(I52^2-H52^2)</f>
        <v>0</v>
      </c>
      <c r="K52" s="67" t="n">
        <f aca="false">IF(F52=3, I52/(SQRT(3)*B52), I52/(F52*B52))</f>
        <v>27.2727272727273</v>
      </c>
      <c r="L52" s="63" t="n">
        <v>1</v>
      </c>
      <c r="M52" s="63" t="n">
        <v>32</v>
      </c>
      <c r="N52" s="63" t="n">
        <v>2</v>
      </c>
      <c r="O52" s="63" t="n">
        <v>40</v>
      </c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</row>
    <row r="53" customFormat="false" ht="15.75" hidden="false" customHeight="true" outlineLevel="0" collapsed="false">
      <c r="A53" s="48" t="s">
        <v>200</v>
      </c>
      <c r="B53" s="63" t="n">
        <v>220</v>
      </c>
      <c r="C53" s="70" t="s">
        <v>194</v>
      </c>
      <c r="D53" s="64" t="s">
        <v>201</v>
      </c>
      <c r="E53" s="65" t="n">
        <v>2.5</v>
      </c>
      <c r="F53" s="63" t="n">
        <v>1</v>
      </c>
      <c r="G53" s="66" t="n">
        <v>0.92</v>
      </c>
      <c r="H53" s="67" t="n">
        <f aca="false">I53*G53</f>
        <v>1900</v>
      </c>
      <c r="I53" s="67" t="n">
        <f aca="false">'Previsão de Cargas'!J20/G53</f>
        <v>2065.21739130435</v>
      </c>
      <c r="J53" s="67" t="n">
        <f aca="false">SQRT(I53^2-H53^2)</f>
        <v>809.396610658789</v>
      </c>
      <c r="K53" s="67" t="n">
        <f aca="false">IF(F53=3, I53/(SQRT(3)*B53), I53/(F53*B53))</f>
        <v>9.38735177865613</v>
      </c>
      <c r="L53" s="63" t="n">
        <v>1</v>
      </c>
      <c r="M53" s="63" t="n">
        <v>10</v>
      </c>
      <c r="N53" s="63" t="n">
        <v>2</v>
      </c>
      <c r="O53" s="63" t="n">
        <v>25</v>
      </c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</row>
    <row r="54" customFormat="false" ht="15.75" hidden="false" customHeight="true" outlineLevel="0" collapsed="false">
      <c r="A54" s="48" t="s">
        <v>202</v>
      </c>
      <c r="B54" s="63" t="n">
        <v>220</v>
      </c>
      <c r="C54" s="70" t="s">
        <v>194</v>
      </c>
      <c r="D54" s="64" t="s">
        <v>203</v>
      </c>
      <c r="E54" s="65" t="n">
        <v>2.5</v>
      </c>
      <c r="F54" s="63" t="n">
        <v>1</v>
      </c>
      <c r="G54" s="66" t="n">
        <v>0.92</v>
      </c>
      <c r="H54" s="67" t="n">
        <f aca="false">I54*G54</f>
        <v>1400</v>
      </c>
      <c r="I54" s="67" t="n">
        <f aca="false">'Previsão de Cargas'!J21/G54</f>
        <v>1521.73913043478</v>
      </c>
      <c r="J54" s="67" t="n">
        <f aca="false">SQRT(I54^2-H54^2)</f>
        <v>596.397502590687</v>
      </c>
      <c r="K54" s="67" t="n">
        <f aca="false">IF(F54=3, I54/(SQRT(3)*B54), I54/(F54*B54))</f>
        <v>6.91699604743083</v>
      </c>
      <c r="L54" s="63" t="n">
        <v>1</v>
      </c>
      <c r="M54" s="63" t="n">
        <v>10</v>
      </c>
      <c r="N54" s="63" t="n">
        <v>2</v>
      </c>
      <c r="O54" s="63" t="n">
        <v>25</v>
      </c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</row>
    <row r="55" customFormat="false" ht="15.75" hidden="false" customHeight="true" outlineLevel="0" collapsed="false">
      <c r="A55" s="48" t="s">
        <v>204</v>
      </c>
      <c r="B55" s="63" t="n">
        <v>220</v>
      </c>
      <c r="C55" s="70" t="s">
        <v>194</v>
      </c>
      <c r="D55" s="64" t="s">
        <v>205</v>
      </c>
      <c r="E55" s="65" t="n">
        <v>2.5</v>
      </c>
      <c r="F55" s="63" t="n">
        <v>1</v>
      </c>
      <c r="G55" s="66" t="n">
        <v>0.92</v>
      </c>
      <c r="H55" s="67" t="n">
        <f aca="false">I55*G55</f>
        <v>1400</v>
      </c>
      <c r="I55" s="67" t="n">
        <f aca="false">'Previsão de Cargas'!J22/G55</f>
        <v>1521.73913043478</v>
      </c>
      <c r="J55" s="67" t="n">
        <f aca="false">SQRT(I55^2-H55^2)</f>
        <v>596.397502590687</v>
      </c>
      <c r="K55" s="67" t="n">
        <f aca="false">IF(F55=3, I55/(SQRT(3)*B55), I55/(F55*B55))</f>
        <v>6.91699604743083</v>
      </c>
      <c r="L55" s="63" t="n">
        <v>1</v>
      </c>
      <c r="M55" s="63" t="n">
        <v>10</v>
      </c>
      <c r="N55" s="63" t="n">
        <v>2</v>
      </c>
      <c r="O55" s="63" t="n">
        <v>25</v>
      </c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customFormat="false" ht="15.75" hidden="false" customHeight="true" outlineLevel="0" collapsed="false">
      <c r="A56" s="48" t="s">
        <v>206</v>
      </c>
      <c r="B56" s="63" t="n">
        <v>220</v>
      </c>
      <c r="C56" s="70" t="s">
        <v>194</v>
      </c>
      <c r="D56" s="64" t="s">
        <v>207</v>
      </c>
      <c r="E56" s="65" t="n">
        <v>2.5</v>
      </c>
      <c r="F56" s="63" t="n">
        <v>1</v>
      </c>
      <c r="G56" s="66" t="n">
        <v>0.8</v>
      </c>
      <c r="H56" s="67" t="n">
        <f aca="false">I56*G56</f>
        <v>2640</v>
      </c>
      <c r="I56" s="67" t="n">
        <f aca="false">'Previsão de Cargas'!F22+'Previsão de Cargas'!F23+'Previsão de Cargas'!F24+'Previsão de Cargas'!F27</f>
        <v>3300</v>
      </c>
      <c r="J56" s="67" t="n">
        <f aca="false">SQRT(I56^2-H56^2)</f>
        <v>1980</v>
      </c>
      <c r="K56" s="67" t="n">
        <f aca="false">IF(F56=3, I56/(SQRT(3)*B56), I56/(F56*B56))</f>
        <v>15</v>
      </c>
      <c r="L56" s="63" t="n">
        <v>1</v>
      </c>
      <c r="M56" s="63" t="n">
        <v>16</v>
      </c>
      <c r="N56" s="63" t="n">
        <v>2</v>
      </c>
      <c r="O56" s="63" t="n">
        <v>25</v>
      </c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</row>
    <row r="57" customFormat="false" ht="15.75" hidden="false" customHeight="true" outlineLevel="0" collapsed="false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</row>
    <row r="58" customFormat="false" ht="15.75" hidden="false" customHeight="true" outlineLevel="0" collapsed="false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</row>
    <row r="59" customFormat="false" ht="15.75" hidden="false" customHeight="true" outlineLevel="0" collapsed="false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</row>
    <row r="60" customFormat="false" ht="15.75" hidden="false" customHeight="true" outlineLevel="0" collapsed="false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</row>
    <row r="61" customFormat="false" ht="15.75" hidden="false" customHeight="true" outlineLevel="0" collapsed="false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</row>
    <row r="62" customFormat="false" ht="15.75" hidden="false" customHeight="true" outlineLevel="0" collapsed="false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</row>
    <row r="63" customFormat="false" ht="15.75" hidden="false" customHeight="true" outlineLevel="0" collapsed="false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</row>
    <row r="64" customFormat="false" ht="15.75" hidden="false" customHeight="true" outlineLevel="0" collapsed="false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</row>
    <row r="65" customFormat="false" ht="15.75" hidden="false" customHeight="true" outlineLevel="0" collapsed="false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</row>
    <row r="66" customFormat="false" ht="15.75" hidden="false" customHeight="true" outlineLevel="0" collapsed="false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</row>
    <row r="67" customFormat="false" ht="15.75" hidden="false" customHeight="true" outlineLevel="0" collapsed="false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</row>
    <row r="68" customFormat="false" ht="15.75" hidden="false" customHeight="true" outlineLevel="0" collapsed="false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</row>
    <row r="69" customFormat="false" ht="15.75" hidden="false" customHeight="true" outlineLevel="0" collapsed="false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</row>
    <row r="70" customFormat="false" ht="15.75" hidden="false" customHeight="true" outlineLevel="0" collapsed="false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</row>
    <row r="71" customFormat="false" ht="15.75" hidden="false" customHeight="true" outlineLevel="0" collapsed="false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</row>
    <row r="72" customFormat="false" ht="15.75" hidden="false" customHeight="true" outlineLevel="0" collapsed="false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</row>
    <row r="73" customFormat="false" ht="15.75" hidden="false" customHeight="true" outlineLevel="0" collapsed="false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</row>
    <row r="74" customFormat="false" ht="15.75" hidden="false" customHeight="true" outlineLevel="0" collapsed="false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</row>
    <row r="75" customFormat="false" ht="15.75" hidden="false" customHeight="true" outlineLevel="0" collapsed="false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</row>
    <row r="76" customFormat="false" ht="15.75" hidden="false" customHeight="true" outlineLevel="0" collapsed="false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</row>
    <row r="77" customFormat="false" ht="15.75" hidden="false" customHeight="true" outlineLevel="0" collapsed="false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</row>
    <row r="78" customFormat="false" ht="15.75" hidden="false" customHeight="true" outlineLevel="0" collapsed="false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</row>
    <row r="79" customFormat="false" ht="15.75" hidden="false" customHeight="true" outlineLevel="0" collapsed="false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</row>
    <row r="80" customFormat="false" ht="15.75" hidden="false" customHeight="true" outlineLevel="0" collapsed="false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</row>
    <row r="81" customFormat="false" ht="15.75" hidden="false" customHeight="true" outlineLevel="0" collapsed="false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</row>
    <row r="82" customFormat="false" ht="15.75" hidden="false" customHeight="true" outlineLevel="0" collapsed="false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</row>
    <row r="83" customFormat="false" ht="15.75" hidden="false" customHeight="true" outlineLevel="0" collapsed="false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</row>
    <row r="84" customFormat="false" ht="15.75" hidden="false" customHeight="true" outlineLevel="0" collapsed="false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</row>
    <row r="85" customFormat="false" ht="15.75" hidden="false" customHeight="true" outlineLevel="0" collapsed="false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</row>
    <row r="86" customFormat="false" ht="15.75" hidden="false" customHeight="true" outlineLevel="0" collapsed="false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</row>
    <row r="87" customFormat="false" ht="15.75" hidden="false" customHeight="true" outlineLevel="0" collapsed="false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</row>
    <row r="88" customFormat="false" ht="15.75" hidden="false" customHeight="true" outlineLevel="0" collapsed="false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</row>
    <row r="89" customFormat="false" ht="15.75" hidden="false" customHeight="true" outlineLevel="0" collapsed="false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</row>
    <row r="90" customFormat="false" ht="15.75" hidden="false" customHeight="true" outlineLevel="0" collapsed="false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</row>
    <row r="91" customFormat="false" ht="15.75" hidden="false" customHeight="true" outlineLevel="0" collapsed="false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</row>
    <row r="92" customFormat="false" ht="15.75" hidden="false" customHeight="true" outlineLevel="0" collapsed="false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</row>
    <row r="93" customFormat="false" ht="15.75" hidden="false" customHeight="true" outlineLevel="0" collapsed="false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</row>
    <row r="94" customFormat="false" ht="15.75" hidden="false" customHeight="true" outlineLevel="0" collapsed="false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</row>
    <row r="95" customFormat="false" ht="15.75" hidden="false" customHeight="true" outlineLevel="0" collapsed="false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</row>
    <row r="96" customFormat="false" ht="15.75" hidden="false" customHeight="true" outlineLevel="0" collapsed="false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</row>
    <row r="97" customFormat="false" ht="15.75" hidden="false" customHeight="true" outlineLevel="0" collapsed="false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</row>
    <row r="98" customFormat="false" ht="15.75" hidden="false" customHeight="true" outlineLevel="0" collapsed="false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</row>
    <row r="99" customFormat="false" ht="15.75" hidden="false" customHeight="true" outlineLevel="0" collapsed="false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</row>
    <row r="100" customFormat="false" ht="15.75" hidden="false" customHeight="true" outlineLevel="0" collapsed="false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</row>
    <row r="101" customFormat="false" ht="15.75" hidden="false" customHeight="true" outlineLevel="0" collapsed="false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</row>
    <row r="102" customFormat="false" ht="15.75" hidden="false" customHeight="true" outlineLevel="0" collapsed="false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</row>
    <row r="103" customFormat="false" ht="15.75" hidden="false" customHeight="true" outlineLevel="0" collapsed="false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</row>
    <row r="104" customFormat="false" ht="15.75" hidden="false" customHeight="true" outlineLevel="0" collapsed="false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</row>
    <row r="105" customFormat="false" ht="15.75" hidden="false" customHeight="true" outlineLevel="0" collapsed="false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</row>
    <row r="106" customFormat="false" ht="15.75" hidden="false" customHeight="true" outlineLevel="0" collapsed="false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</row>
    <row r="107" customFormat="false" ht="15.75" hidden="false" customHeight="true" outlineLevel="0" collapsed="false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</row>
    <row r="108" customFormat="false" ht="15.75" hidden="false" customHeight="true" outlineLevel="0" collapsed="false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</row>
    <row r="109" customFormat="false" ht="15.75" hidden="false" customHeight="true" outlineLevel="0" collapsed="false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</row>
    <row r="110" customFormat="false" ht="15.75" hidden="false" customHeight="true" outlineLevel="0" collapsed="false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</row>
    <row r="111" customFormat="false" ht="15.75" hidden="false" customHeight="true" outlineLevel="0" collapsed="false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</row>
    <row r="112" customFormat="false" ht="15.75" hidden="false" customHeight="true" outlineLevel="0" collapsed="false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</row>
    <row r="113" customFormat="false" ht="15.75" hidden="false" customHeight="true" outlineLevel="0" collapsed="false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</row>
    <row r="114" customFormat="false" ht="15.75" hidden="false" customHeight="true" outlineLevel="0" collapsed="false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</row>
    <row r="115" customFormat="false" ht="15.75" hidden="false" customHeight="true" outlineLevel="0" collapsed="false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</row>
    <row r="116" customFormat="false" ht="15.75" hidden="false" customHeight="true" outlineLevel="0" collapsed="false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</row>
    <row r="117" customFormat="false" ht="15.75" hidden="false" customHeight="true" outlineLevel="0" collapsed="false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</row>
    <row r="118" customFormat="false" ht="15.75" hidden="false" customHeight="true" outlineLevel="0" collapsed="false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</row>
    <row r="119" customFormat="false" ht="15.75" hidden="false" customHeight="true" outlineLevel="0" collapsed="false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</row>
    <row r="120" customFormat="false" ht="15.75" hidden="false" customHeight="true" outlineLevel="0" collapsed="false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</row>
    <row r="121" customFormat="false" ht="15.75" hidden="false" customHeight="true" outlineLevel="0" collapsed="false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</row>
    <row r="122" customFormat="false" ht="15.75" hidden="false" customHeight="true" outlineLevel="0" collapsed="false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</row>
    <row r="123" customFormat="false" ht="15.75" hidden="false" customHeight="true" outlineLevel="0" collapsed="false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</row>
    <row r="124" customFormat="false" ht="15.75" hidden="false" customHeight="true" outlineLevel="0" collapsed="false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</row>
    <row r="125" customFormat="false" ht="15.75" hidden="false" customHeight="true" outlineLevel="0" collapsed="false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</row>
    <row r="126" customFormat="false" ht="15.75" hidden="false" customHeight="true" outlineLevel="0" collapsed="false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</row>
    <row r="127" customFormat="false" ht="15.75" hidden="false" customHeight="true" outlineLevel="0" collapsed="false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</row>
    <row r="128" customFormat="false" ht="15.75" hidden="false" customHeight="true" outlineLevel="0" collapsed="false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</row>
    <row r="129" customFormat="false" ht="15.75" hidden="false" customHeight="true" outlineLevel="0" collapsed="false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</row>
    <row r="130" customFormat="false" ht="15.75" hidden="false" customHeight="true" outlineLevel="0" collapsed="false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</row>
    <row r="131" customFormat="false" ht="15.75" hidden="false" customHeight="true" outlineLevel="0" collapsed="false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</row>
    <row r="132" customFormat="false" ht="15.75" hidden="false" customHeight="true" outlineLevel="0" collapsed="false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</row>
    <row r="133" customFormat="false" ht="15.75" hidden="false" customHeight="true" outlineLevel="0" collapsed="false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</row>
    <row r="134" customFormat="false" ht="15.75" hidden="false" customHeight="true" outlineLevel="0" collapsed="false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</row>
    <row r="135" customFormat="false" ht="15.75" hidden="false" customHeight="true" outlineLevel="0" collapsed="false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</row>
    <row r="136" customFormat="false" ht="15.75" hidden="false" customHeight="true" outlineLevel="0" collapsed="false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</row>
    <row r="137" customFormat="false" ht="15.75" hidden="false" customHeight="true" outlineLevel="0" collapsed="false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</row>
    <row r="138" customFormat="false" ht="15.75" hidden="false" customHeight="true" outlineLevel="0" collapsed="false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</row>
    <row r="139" customFormat="false" ht="15.75" hidden="false" customHeight="true" outlineLevel="0" collapsed="false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</row>
    <row r="140" customFormat="false" ht="15.75" hidden="false" customHeight="true" outlineLevel="0" collapsed="false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</row>
    <row r="141" customFormat="false" ht="15.75" hidden="false" customHeight="true" outlineLevel="0" collapsed="false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</row>
    <row r="142" customFormat="false" ht="15.75" hidden="false" customHeight="true" outlineLevel="0" collapsed="false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</row>
    <row r="143" customFormat="false" ht="15.75" hidden="false" customHeight="true" outlineLevel="0" collapsed="false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</row>
    <row r="144" customFormat="false" ht="15.75" hidden="false" customHeight="true" outlineLevel="0" collapsed="false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</row>
    <row r="145" customFormat="false" ht="15.75" hidden="false" customHeight="true" outlineLevel="0" collapsed="false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</row>
    <row r="146" customFormat="false" ht="15.75" hidden="false" customHeight="true" outlineLevel="0" collapsed="false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</row>
    <row r="147" customFormat="false" ht="15.75" hidden="false" customHeight="true" outlineLevel="0" collapsed="false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</row>
    <row r="148" customFormat="false" ht="15.75" hidden="false" customHeight="true" outlineLevel="0" collapsed="false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</row>
    <row r="149" customFormat="false" ht="15.75" hidden="false" customHeight="true" outlineLevel="0" collapsed="false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</row>
    <row r="150" customFormat="false" ht="15.75" hidden="false" customHeight="true" outlineLevel="0" collapsed="false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</row>
    <row r="151" customFormat="false" ht="15.75" hidden="false" customHeight="true" outlineLevel="0" collapsed="false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</row>
    <row r="152" customFormat="false" ht="15.75" hidden="false" customHeight="true" outlineLevel="0" collapsed="false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</row>
    <row r="153" customFormat="false" ht="15.75" hidden="false" customHeight="true" outlineLevel="0" collapsed="false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</row>
    <row r="154" customFormat="false" ht="15.75" hidden="false" customHeight="true" outlineLevel="0" collapsed="false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</row>
    <row r="155" customFormat="false" ht="15.75" hidden="false" customHeight="true" outlineLevel="0" collapsed="false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</row>
    <row r="156" customFormat="false" ht="15.75" hidden="false" customHeight="true" outlineLevel="0" collapsed="false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</row>
    <row r="157" customFormat="false" ht="15.75" hidden="false" customHeight="true" outlineLevel="0" collapsed="false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</row>
    <row r="158" customFormat="false" ht="15.75" hidden="false" customHeight="true" outlineLevel="0" collapsed="false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</row>
    <row r="159" customFormat="false" ht="15.75" hidden="false" customHeight="true" outlineLevel="0" collapsed="false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</row>
    <row r="160" customFormat="false" ht="15.75" hidden="false" customHeight="true" outlineLevel="0" collapsed="false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</row>
    <row r="161" customFormat="false" ht="15.75" hidden="false" customHeight="true" outlineLevel="0" collapsed="false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</row>
    <row r="162" customFormat="false" ht="15.75" hidden="false" customHeight="true" outlineLevel="0" collapsed="false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</row>
    <row r="163" customFormat="false" ht="15.75" hidden="false" customHeight="true" outlineLevel="0" collapsed="false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</row>
    <row r="164" customFormat="false" ht="15.75" hidden="false" customHeight="true" outlineLevel="0" collapsed="false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</row>
    <row r="165" customFormat="false" ht="15.75" hidden="false" customHeight="true" outlineLevel="0" collapsed="false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</row>
    <row r="166" customFormat="false" ht="15.75" hidden="false" customHeight="true" outlineLevel="0" collapsed="false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</row>
    <row r="167" customFormat="false" ht="15.75" hidden="false" customHeight="true" outlineLevel="0" collapsed="false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</row>
    <row r="168" customFormat="false" ht="15.75" hidden="false" customHeight="true" outlineLevel="0" collapsed="false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</row>
    <row r="169" customFormat="false" ht="15.75" hidden="false" customHeight="true" outlineLevel="0" collapsed="false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</row>
    <row r="170" customFormat="false" ht="15.75" hidden="false" customHeight="true" outlineLevel="0" collapsed="false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</row>
    <row r="171" customFormat="false" ht="15.75" hidden="false" customHeight="true" outlineLevel="0" collapsed="false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</row>
    <row r="172" customFormat="false" ht="15.75" hidden="false" customHeight="true" outlineLevel="0" collapsed="false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</row>
    <row r="173" customFormat="false" ht="15.75" hidden="false" customHeight="true" outlineLevel="0" collapsed="false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</row>
    <row r="174" customFormat="false" ht="15.75" hidden="false" customHeight="true" outlineLevel="0" collapsed="false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</row>
    <row r="175" customFormat="false" ht="15.75" hidden="false" customHeight="true" outlineLevel="0" collapsed="false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</row>
    <row r="176" customFormat="false" ht="15.75" hidden="false" customHeight="true" outlineLevel="0" collapsed="false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</row>
    <row r="177" customFormat="false" ht="15.75" hidden="false" customHeight="true" outlineLevel="0" collapsed="false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</row>
    <row r="178" customFormat="false" ht="15.75" hidden="false" customHeight="true" outlineLevel="0" collapsed="false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</row>
    <row r="179" customFormat="false" ht="15.75" hidden="false" customHeight="true" outlineLevel="0" collapsed="false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</row>
    <row r="180" customFormat="false" ht="15.75" hidden="false" customHeight="true" outlineLevel="0" collapsed="false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</row>
    <row r="181" customFormat="false" ht="15.75" hidden="false" customHeight="true" outlineLevel="0" collapsed="false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</row>
    <row r="182" customFormat="false" ht="15.75" hidden="false" customHeight="true" outlineLevel="0" collapsed="false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</row>
    <row r="183" customFormat="false" ht="15.75" hidden="false" customHeight="true" outlineLevel="0" collapsed="false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</row>
    <row r="184" customFormat="false" ht="15.75" hidden="false" customHeight="true" outlineLevel="0" collapsed="false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</row>
    <row r="185" customFormat="false" ht="15.75" hidden="false" customHeight="true" outlineLevel="0" collapsed="false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</row>
    <row r="186" customFormat="false" ht="15.75" hidden="false" customHeight="true" outlineLevel="0" collapsed="false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</row>
    <row r="187" customFormat="false" ht="15.75" hidden="false" customHeight="true" outlineLevel="0" collapsed="false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</row>
    <row r="188" customFormat="false" ht="15.75" hidden="false" customHeight="true" outlineLevel="0" collapsed="false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</row>
    <row r="189" customFormat="false" ht="15.75" hidden="false" customHeight="true" outlineLevel="0" collapsed="false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</row>
    <row r="190" customFormat="false" ht="15.75" hidden="false" customHeight="true" outlineLevel="0" collapsed="false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</row>
    <row r="191" customFormat="false" ht="15.75" hidden="false" customHeight="true" outlineLevel="0" collapsed="false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</row>
    <row r="192" customFormat="false" ht="15.75" hidden="false" customHeight="true" outlineLevel="0" collapsed="false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</row>
    <row r="193" customFormat="false" ht="15.75" hidden="false" customHeight="true" outlineLevel="0" collapsed="false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</row>
    <row r="194" customFormat="false" ht="15.75" hidden="false" customHeight="true" outlineLevel="0" collapsed="false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</row>
    <row r="195" customFormat="false" ht="15.75" hidden="false" customHeight="true" outlineLevel="0" collapsed="false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</row>
    <row r="196" customFormat="false" ht="15.75" hidden="false" customHeight="true" outlineLevel="0" collapsed="false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</row>
    <row r="197" customFormat="false" ht="15.75" hidden="false" customHeight="true" outlineLevel="0" collapsed="false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</row>
    <row r="198" customFormat="false" ht="15.75" hidden="false" customHeight="true" outlineLevel="0" collapsed="false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</row>
    <row r="199" customFormat="false" ht="15.75" hidden="false" customHeight="true" outlineLevel="0" collapsed="false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</row>
    <row r="200" customFormat="false" ht="15.75" hidden="false" customHeight="true" outlineLevel="0" collapsed="false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</row>
    <row r="201" customFormat="false" ht="15.75" hidden="false" customHeight="true" outlineLevel="0" collapsed="false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</row>
    <row r="202" customFormat="false" ht="15.75" hidden="false" customHeight="true" outlineLevel="0" collapsed="false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</row>
    <row r="203" customFormat="false" ht="15.75" hidden="false" customHeight="true" outlineLevel="0" collapsed="false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</row>
    <row r="204" customFormat="false" ht="15.75" hidden="false" customHeight="true" outlineLevel="0" collapsed="false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</row>
    <row r="205" customFormat="false" ht="15.75" hidden="false" customHeight="true" outlineLevel="0" collapsed="false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</row>
    <row r="206" customFormat="false" ht="15.75" hidden="false" customHeight="true" outlineLevel="0" collapsed="false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</row>
    <row r="207" customFormat="false" ht="15.75" hidden="false" customHeight="true" outlineLevel="0" collapsed="false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</row>
    <row r="208" customFormat="false" ht="15.75" hidden="false" customHeight="true" outlineLevel="0" collapsed="false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</row>
    <row r="209" customFormat="false" ht="15.75" hidden="false" customHeight="true" outlineLevel="0" collapsed="false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</row>
    <row r="210" customFormat="false" ht="15.75" hidden="false" customHeight="true" outlineLevel="0" collapsed="false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</row>
    <row r="211" customFormat="false" ht="15.75" hidden="false" customHeight="true" outlineLevel="0" collapsed="false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</row>
    <row r="212" customFormat="false" ht="15.75" hidden="false" customHeight="true" outlineLevel="0" collapsed="false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</row>
    <row r="213" customFormat="false" ht="15.75" hidden="false" customHeight="true" outlineLevel="0" collapsed="false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</row>
    <row r="214" customFormat="false" ht="15.75" hidden="false" customHeight="true" outlineLevel="0" collapsed="false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</row>
    <row r="215" customFormat="false" ht="15.75" hidden="false" customHeight="true" outlineLevel="0" collapsed="false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</row>
    <row r="216" customFormat="false" ht="15.75" hidden="false" customHeight="true" outlineLevel="0" collapsed="false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</row>
    <row r="217" customFormat="false" ht="15.75" hidden="false" customHeight="true" outlineLevel="0" collapsed="false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</row>
    <row r="218" customFormat="false" ht="15.75" hidden="false" customHeight="true" outlineLevel="0" collapsed="false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</row>
    <row r="219" customFormat="false" ht="15.75" hidden="false" customHeight="true" outlineLevel="0" collapsed="false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</row>
    <row r="220" customFormat="false" ht="15.75" hidden="false" customHeight="true" outlineLevel="0" collapsed="false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</row>
    <row r="221" customFormat="false" ht="15.75" hidden="false" customHeight="true" outlineLevel="0" collapsed="false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</row>
    <row r="222" customFormat="false" ht="15.75" hidden="false" customHeight="true" outlineLevel="0" collapsed="false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</row>
    <row r="223" customFormat="false" ht="15.75" hidden="false" customHeight="true" outlineLevel="0" collapsed="false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</row>
    <row r="224" customFormat="false" ht="15.75" hidden="false" customHeight="true" outlineLevel="0" collapsed="false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</row>
    <row r="225" customFormat="false" ht="15.75" hidden="false" customHeight="true" outlineLevel="0" collapsed="false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</row>
    <row r="226" customFormat="false" ht="15.75" hidden="false" customHeight="true" outlineLevel="0" collapsed="false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</row>
    <row r="227" customFormat="false" ht="15.75" hidden="false" customHeight="true" outlineLevel="0" collapsed="false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</row>
    <row r="228" customFormat="false" ht="15.75" hidden="false" customHeight="true" outlineLevel="0" collapsed="false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</row>
    <row r="229" customFormat="false" ht="15.75" hidden="false" customHeight="true" outlineLevel="0" collapsed="false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</row>
    <row r="230" customFormat="false" ht="15.75" hidden="false" customHeight="true" outlineLevel="0" collapsed="false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</row>
    <row r="231" customFormat="false" ht="15.75" hidden="false" customHeight="true" outlineLevel="0" collapsed="false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</row>
    <row r="232" customFormat="false" ht="15.75" hidden="false" customHeight="true" outlineLevel="0" collapsed="false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</row>
    <row r="233" customFormat="false" ht="15.75" hidden="false" customHeight="true" outlineLevel="0" collapsed="false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</row>
    <row r="234" customFormat="false" ht="15.75" hidden="false" customHeight="true" outlineLevel="0" collapsed="false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</row>
    <row r="235" customFormat="false" ht="15.75" hidden="false" customHeight="true" outlineLevel="0" collapsed="false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</row>
    <row r="236" customFormat="false" ht="15.75" hidden="false" customHeight="true" outlineLevel="0" collapsed="false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</row>
    <row r="237" customFormat="false" ht="15.75" hidden="false" customHeight="true" outlineLevel="0" collapsed="false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</row>
    <row r="238" customFormat="false" ht="15.75" hidden="false" customHeight="true" outlineLevel="0" collapsed="false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</row>
    <row r="239" customFormat="false" ht="15.75" hidden="false" customHeight="true" outlineLevel="0" collapsed="false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</row>
    <row r="240" customFormat="false" ht="15.75" hidden="false" customHeight="true" outlineLevel="0" collapsed="false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customFormat="false" ht="15.75" hidden="false" customHeight="true" outlineLevel="0" collapsed="false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customFormat="false" ht="15.75" hidden="false" customHeight="true" outlineLevel="0" collapsed="false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customFormat="false" ht="15.75" hidden="false" customHeight="true" outlineLevel="0" collapsed="false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customFormat="false" ht="15.75" hidden="false" customHeight="true" outlineLevel="0" collapsed="false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customFormat="false" ht="15.75" hidden="false" customHeight="true" outlineLevel="0" collapsed="false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customFormat="false" ht="15.75" hidden="false" customHeight="true" outlineLevel="0" collapsed="false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customFormat="false" ht="15.75" hidden="false" customHeight="true" outlineLevel="0" collapsed="false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customFormat="false" ht="15.75" hidden="false" customHeight="true" outlineLevel="0" collapsed="false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customFormat="false" ht="15.75" hidden="false" customHeight="true" outlineLevel="0" collapsed="false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customFormat="false" ht="15.75" hidden="false" customHeight="true" outlineLevel="0" collapsed="false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customFormat="false" ht="15.75" hidden="false" customHeight="true" outlineLevel="0" collapsed="false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customFormat="false" ht="15.75" hidden="false" customHeight="true" outlineLevel="0" collapsed="false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customFormat="false" ht="15.75" hidden="false" customHeight="true" outlineLevel="0" collapsed="false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customFormat="false" ht="15.75" hidden="false" customHeight="true" outlineLevel="0" collapsed="false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customFormat="false" ht="15.75" hidden="false" customHeight="true" outlineLevel="0" collapsed="false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customFormat="false" ht="15.75" hidden="false" customHeight="true" outlineLevel="0" collapsed="false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customFormat="false" ht="15.75" hidden="false" customHeight="true" outlineLevel="0" collapsed="false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customFormat="false" ht="15.75" hidden="false" customHeight="true" outlineLevel="0" collapsed="false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customFormat="false" ht="15.75" hidden="false" customHeight="true" outlineLevel="0" collapsed="false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customFormat="false" ht="15.75" hidden="false" customHeight="true" outlineLevel="0" collapsed="false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customFormat="false" ht="15.75" hidden="false" customHeight="true" outlineLevel="0" collapsed="false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customFormat="false" ht="15.75" hidden="false" customHeight="true" outlineLevel="0" collapsed="false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customFormat="false" ht="15.75" hidden="false" customHeight="true" outlineLevel="0" collapsed="false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customFormat="false" ht="15.75" hidden="false" customHeight="true" outlineLevel="0" collapsed="false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customFormat="false" ht="15.75" hidden="false" customHeight="true" outlineLevel="0" collapsed="false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customFormat="false" ht="15.75" hidden="false" customHeight="true" outlineLevel="0" collapsed="false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customFormat="false" ht="15.75" hidden="false" customHeight="true" outlineLevel="0" collapsed="false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customFormat="false" ht="15.75" hidden="false" customHeight="true" outlineLevel="0" collapsed="false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customFormat="false" ht="15.75" hidden="false" customHeight="true" outlineLevel="0" collapsed="false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customFormat="false" ht="15.75" hidden="false" customHeight="true" outlineLevel="0" collapsed="false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customFormat="false" ht="15.75" hidden="false" customHeight="true" outlineLevel="0" collapsed="false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customFormat="false" ht="15.75" hidden="false" customHeight="true" outlineLevel="0" collapsed="false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customFormat="false" ht="15.75" hidden="false" customHeight="true" outlineLevel="0" collapsed="false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customFormat="false" ht="15.75" hidden="false" customHeight="true" outlineLevel="0" collapsed="false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customFormat="false" ht="15.75" hidden="false" customHeight="true" outlineLevel="0" collapsed="false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customFormat="false" ht="15.75" hidden="false" customHeight="true" outlineLevel="0" collapsed="false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customFormat="false" ht="15.75" hidden="false" customHeight="true" outlineLevel="0" collapsed="false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customFormat="false" ht="15.75" hidden="false" customHeight="true" outlineLevel="0" collapsed="false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customFormat="false" ht="15.75" hidden="false" customHeight="true" outlineLevel="0" collapsed="false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customFormat="false" ht="15.75" hidden="false" customHeight="true" outlineLevel="0" collapsed="false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customFormat="false" ht="15.75" hidden="false" customHeight="true" outlineLevel="0" collapsed="false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customFormat="false" ht="15.75" hidden="false" customHeight="true" outlineLevel="0" collapsed="false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customFormat="false" ht="15.75" hidden="false" customHeight="true" outlineLevel="0" collapsed="false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customFormat="false" ht="15.75" hidden="false" customHeight="true" outlineLevel="0" collapsed="false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customFormat="false" ht="15.75" hidden="false" customHeight="true" outlineLevel="0" collapsed="false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customFormat="false" ht="15.75" hidden="false" customHeight="true" outlineLevel="0" collapsed="false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customFormat="false" ht="15.75" hidden="false" customHeight="true" outlineLevel="0" collapsed="false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customFormat="false" ht="15.75" hidden="false" customHeight="true" outlineLevel="0" collapsed="false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customFormat="false" ht="15.75" hidden="false" customHeight="true" outlineLevel="0" collapsed="false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customFormat="false" ht="15.75" hidden="false" customHeight="true" outlineLevel="0" collapsed="false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customFormat="false" ht="15.75" hidden="false" customHeight="true" outlineLevel="0" collapsed="false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customFormat="false" ht="15.75" hidden="false" customHeight="true" outlineLevel="0" collapsed="false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customFormat="false" ht="15.75" hidden="false" customHeight="true" outlineLevel="0" collapsed="false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customFormat="false" ht="15.75" hidden="false" customHeight="true" outlineLevel="0" collapsed="false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customFormat="false" ht="15.75" hidden="false" customHeight="true" outlineLevel="0" collapsed="false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customFormat="false" ht="15.75" hidden="false" customHeight="true" outlineLevel="0" collapsed="false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customFormat="false" ht="15.75" hidden="false" customHeight="true" outlineLevel="0" collapsed="false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customFormat="false" ht="15.75" hidden="false" customHeight="true" outlineLevel="0" collapsed="false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customFormat="false" ht="15.75" hidden="false" customHeight="true" outlineLevel="0" collapsed="false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customFormat="false" ht="15.75" hidden="false" customHeight="true" outlineLevel="0" collapsed="false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customFormat="false" ht="15.75" hidden="false" customHeight="true" outlineLevel="0" collapsed="false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customFormat="false" ht="15.75" hidden="false" customHeight="true" outlineLevel="0" collapsed="false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customFormat="false" ht="15.75" hidden="false" customHeight="true" outlineLevel="0" collapsed="false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customFormat="false" ht="15.75" hidden="false" customHeight="true" outlineLevel="0" collapsed="false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customFormat="false" ht="15.75" hidden="false" customHeight="true" outlineLevel="0" collapsed="false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customFormat="false" ht="15.75" hidden="false" customHeight="true" outlineLevel="0" collapsed="false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customFormat="false" ht="15.75" hidden="false" customHeight="true" outlineLevel="0" collapsed="false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customFormat="false" ht="15.75" hidden="false" customHeight="true" outlineLevel="0" collapsed="false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customFormat="false" ht="15.75" hidden="false" customHeight="true" outlineLevel="0" collapsed="false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customFormat="false" ht="15.75" hidden="false" customHeight="true" outlineLevel="0" collapsed="false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customFormat="false" ht="15.75" hidden="false" customHeight="true" outlineLevel="0" collapsed="false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customFormat="false" ht="15.75" hidden="false" customHeight="true" outlineLevel="0" collapsed="false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customFormat="false" ht="15.75" hidden="false" customHeight="true" outlineLevel="0" collapsed="false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customFormat="false" ht="15.75" hidden="false" customHeight="true" outlineLevel="0" collapsed="false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customFormat="false" ht="15.75" hidden="false" customHeight="true" outlineLevel="0" collapsed="false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customFormat="false" ht="15.75" hidden="false" customHeight="true" outlineLevel="0" collapsed="false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customFormat="false" ht="15.75" hidden="false" customHeight="true" outlineLevel="0" collapsed="false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customFormat="false" ht="15.75" hidden="false" customHeight="true" outlineLevel="0" collapsed="false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customFormat="false" ht="15.75" hidden="false" customHeight="true" outlineLevel="0" collapsed="false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customFormat="false" ht="15.75" hidden="false" customHeight="true" outlineLevel="0" collapsed="false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customFormat="false" ht="15.75" hidden="false" customHeight="true" outlineLevel="0" collapsed="false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customFormat="false" ht="15.75" hidden="false" customHeight="true" outlineLevel="0" collapsed="false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customFormat="false" ht="15.75" hidden="false" customHeight="true" outlineLevel="0" collapsed="false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customFormat="false" ht="15.75" hidden="false" customHeight="true" outlineLevel="0" collapsed="false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customFormat="false" ht="15.75" hidden="false" customHeight="true" outlineLevel="0" collapsed="false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customFormat="false" ht="15.75" hidden="false" customHeight="true" outlineLevel="0" collapsed="false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customFormat="false" ht="15.75" hidden="false" customHeight="true" outlineLevel="0" collapsed="false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customFormat="false" ht="15.75" hidden="false" customHeight="true" outlineLevel="0" collapsed="false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customFormat="false" ht="15.75" hidden="false" customHeight="true" outlineLevel="0" collapsed="false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customFormat="false" ht="15.75" hidden="false" customHeight="true" outlineLevel="0" collapsed="false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customFormat="false" ht="15.75" hidden="false" customHeight="true" outlineLevel="0" collapsed="false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customFormat="false" ht="15.75" hidden="false" customHeight="true" outlineLevel="0" collapsed="false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customFormat="false" ht="15.75" hidden="false" customHeight="true" outlineLevel="0" collapsed="false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customFormat="false" ht="15.75" hidden="false" customHeight="true" outlineLevel="0" collapsed="false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customFormat="false" ht="15.75" hidden="false" customHeight="true" outlineLevel="0" collapsed="false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customFormat="false" ht="15.75" hidden="false" customHeight="true" outlineLevel="0" collapsed="false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customFormat="false" ht="15.75" hidden="false" customHeight="true" outlineLevel="0" collapsed="false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customFormat="false" ht="15.75" hidden="false" customHeight="true" outlineLevel="0" collapsed="false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customFormat="false" ht="15.75" hidden="false" customHeight="true" outlineLevel="0" collapsed="false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customFormat="false" ht="15.75" hidden="false" customHeight="true" outlineLevel="0" collapsed="false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customFormat="false" ht="15.75" hidden="false" customHeight="true" outlineLevel="0" collapsed="false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customFormat="false" ht="15.75" hidden="false" customHeight="true" outlineLevel="0" collapsed="false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customFormat="false" ht="15.75" hidden="false" customHeight="true" outlineLevel="0" collapsed="false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customFormat="false" ht="15.75" hidden="false" customHeight="true" outlineLevel="0" collapsed="false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customFormat="false" ht="15.75" hidden="false" customHeight="true" outlineLevel="0" collapsed="false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customFormat="false" ht="15.75" hidden="false" customHeight="true" outlineLevel="0" collapsed="false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customFormat="false" ht="15.75" hidden="false" customHeight="true" outlineLevel="0" collapsed="false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customFormat="false" ht="15.75" hidden="false" customHeight="true" outlineLevel="0" collapsed="false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customFormat="false" ht="15.75" hidden="false" customHeight="true" outlineLevel="0" collapsed="false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customFormat="false" ht="15.75" hidden="false" customHeight="true" outlineLevel="0" collapsed="false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customFormat="false" ht="15.75" hidden="false" customHeight="true" outlineLevel="0" collapsed="false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customFormat="false" ht="15.75" hidden="false" customHeight="true" outlineLevel="0" collapsed="false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customFormat="false" ht="15.75" hidden="false" customHeight="true" outlineLevel="0" collapsed="false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customFormat="false" ht="15.75" hidden="false" customHeight="true" outlineLevel="0" collapsed="false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customFormat="false" ht="15.75" hidden="false" customHeight="true" outlineLevel="0" collapsed="false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customFormat="false" ht="15.75" hidden="false" customHeight="true" outlineLevel="0" collapsed="false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customFormat="false" ht="15.75" hidden="false" customHeight="true" outlineLevel="0" collapsed="false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customFormat="false" ht="15.75" hidden="false" customHeight="true" outlineLevel="0" collapsed="false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customFormat="false" ht="15.75" hidden="false" customHeight="true" outlineLevel="0" collapsed="false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customFormat="false" ht="15.75" hidden="false" customHeight="true" outlineLevel="0" collapsed="false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customFormat="false" ht="15.75" hidden="false" customHeight="true" outlineLevel="0" collapsed="false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customFormat="false" ht="15.75" hidden="false" customHeight="true" outlineLevel="0" collapsed="false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customFormat="false" ht="15.75" hidden="false" customHeight="true" outlineLevel="0" collapsed="false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customFormat="false" ht="15.75" hidden="false" customHeight="true" outlineLevel="0" collapsed="false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customFormat="false" ht="15.75" hidden="false" customHeight="true" outlineLevel="0" collapsed="false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customFormat="false" ht="15.75" hidden="false" customHeight="true" outlineLevel="0" collapsed="false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customFormat="false" ht="15.75" hidden="false" customHeight="true" outlineLevel="0" collapsed="false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customFormat="false" ht="15.75" hidden="false" customHeight="true" outlineLevel="0" collapsed="false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customFormat="false" ht="15.75" hidden="false" customHeight="true" outlineLevel="0" collapsed="false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customFormat="false" ht="15.75" hidden="false" customHeight="true" outlineLevel="0" collapsed="false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customFormat="false" ht="15.75" hidden="false" customHeight="true" outlineLevel="0" collapsed="false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customFormat="false" ht="15.75" hidden="false" customHeight="true" outlineLevel="0" collapsed="false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customFormat="false" ht="15.75" hidden="false" customHeight="true" outlineLevel="0" collapsed="false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customFormat="false" ht="15.75" hidden="false" customHeight="true" outlineLevel="0" collapsed="false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customFormat="false" ht="15.75" hidden="false" customHeight="true" outlineLevel="0" collapsed="false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customFormat="false" ht="15.75" hidden="false" customHeight="true" outlineLevel="0" collapsed="false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 customFormat="false" ht="15.75" hidden="false" customHeight="true" outlineLevel="0" collapsed="false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 customFormat="false" ht="15.75" hidden="false" customHeight="true" outlineLevel="0" collapsed="false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 customFormat="false" ht="15.75" hidden="false" customHeight="true" outlineLevel="0" collapsed="false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 customFormat="false" ht="15.75" hidden="false" customHeight="true" outlineLevel="0" collapsed="false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 customFormat="false" ht="15.75" hidden="false" customHeight="true" outlineLevel="0" collapsed="false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 customFormat="false" ht="15.75" hidden="false" customHeight="true" outlineLevel="0" collapsed="false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 customFormat="false" ht="15.75" hidden="false" customHeight="true" outlineLevel="0" collapsed="false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 customFormat="false" ht="15.75" hidden="false" customHeight="true" outlineLevel="0" collapsed="false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 customFormat="false" ht="15.75" hidden="false" customHeight="true" outlineLevel="0" collapsed="false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 customFormat="false" ht="15.75" hidden="false" customHeight="true" outlineLevel="0" collapsed="false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 customFormat="false" ht="15.75" hidden="false" customHeight="true" outlineLevel="0" collapsed="false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customFormat="false" ht="15.75" hidden="false" customHeight="true" outlineLevel="0" collapsed="false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customFormat="false" ht="15.75" hidden="false" customHeight="true" outlineLevel="0" collapsed="false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customFormat="false" ht="15.75" hidden="false" customHeight="true" outlineLevel="0" collapsed="false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customFormat="false" ht="15.75" hidden="false" customHeight="true" outlineLevel="0" collapsed="false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customFormat="false" ht="15.75" hidden="false" customHeight="true" outlineLevel="0" collapsed="false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customFormat="false" ht="15.75" hidden="false" customHeight="true" outlineLevel="0" collapsed="false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customFormat="false" ht="15.75" hidden="false" customHeight="true" outlineLevel="0" collapsed="false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customFormat="false" ht="15.75" hidden="false" customHeight="true" outlineLevel="0" collapsed="false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customFormat="false" ht="15.75" hidden="false" customHeight="true" outlineLevel="0" collapsed="false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customFormat="false" ht="15.75" hidden="false" customHeight="true" outlineLevel="0" collapsed="false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customFormat="false" ht="15.75" hidden="false" customHeight="true" outlineLevel="0" collapsed="false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customFormat="false" ht="15.75" hidden="false" customHeight="true" outlineLevel="0" collapsed="false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customFormat="false" ht="15.75" hidden="false" customHeight="true" outlineLevel="0" collapsed="false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customFormat="false" ht="15.75" hidden="false" customHeight="true" outlineLevel="0" collapsed="false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 customFormat="false" ht="15.75" hidden="false" customHeight="true" outlineLevel="0" collapsed="false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 customFormat="false" ht="15.75" hidden="false" customHeight="true" outlineLevel="0" collapsed="false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 customFormat="false" ht="15.75" hidden="false" customHeight="true" outlineLevel="0" collapsed="false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 customFormat="false" ht="15.75" hidden="false" customHeight="true" outlineLevel="0" collapsed="false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 customFormat="false" ht="15.75" hidden="false" customHeight="true" outlineLevel="0" collapsed="false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 customFormat="false" ht="15.75" hidden="false" customHeight="true" outlineLevel="0" collapsed="false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 customFormat="false" ht="15.75" hidden="false" customHeight="true" outlineLevel="0" collapsed="false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 customFormat="false" ht="15.75" hidden="false" customHeight="true" outlineLevel="0" collapsed="false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 customFormat="false" ht="15.75" hidden="false" customHeight="true" outlineLevel="0" collapsed="false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 customFormat="false" ht="15.75" hidden="false" customHeight="true" outlineLevel="0" collapsed="false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customFormat="false" ht="15.75" hidden="false" customHeight="true" outlineLevel="0" collapsed="false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customFormat="false" ht="15.75" hidden="false" customHeight="true" outlineLevel="0" collapsed="false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customFormat="false" ht="15.75" hidden="false" customHeight="true" outlineLevel="0" collapsed="false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customFormat="false" ht="15.75" hidden="false" customHeight="true" outlineLevel="0" collapsed="false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customFormat="false" ht="15.75" hidden="false" customHeight="true" outlineLevel="0" collapsed="false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customFormat="false" ht="15.75" hidden="false" customHeight="true" outlineLevel="0" collapsed="false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customFormat="false" ht="15.75" hidden="false" customHeight="true" outlineLevel="0" collapsed="false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customFormat="false" ht="15.75" hidden="false" customHeight="true" outlineLevel="0" collapsed="false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customFormat="false" ht="15.75" hidden="false" customHeight="true" outlineLevel="0" collapsed="false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customFormat="false" ht="15.75" hidden="false" customHeight="true" outlineLevel="0" collapsed="false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customFormat="false" ht="15.75" hidden="false" customHeight="true" outlineLevel="0" collapsed="false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customFormat="false" ht="15.75" hidden="false" customHeight="true" outlineLevel="0" collapsed="false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customFormat="false" ht="15.75" hidden="false" customHeight="true" outlineLevel="0" collapsed="false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 customFormat="false" ht="15.75" hidden="false" customHeight="true" outlineLevel="0" collapsed="false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 customFormat="false" ht="15.75" hidden="false" customHeight="true" outlineLevel="0" collapsed="false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 customFormat="false" ht="15.75" hidden="false" customHeight="true" outlineLevel="0" collapsed="false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 customFormat="false" ht="15.75" hidden="false" customHeight="true" outlineLevel="0" collapsed="false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 customFormat="false" ht="15.75" hidden="false" customHeight="true" outlineLevel="0" collapsed="false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customFormat="false" ht="15.75" hidden="false" customHeight="true" outlineLevel="0" collapsed="false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 customFormat="false" ht="15.75" hidden="false" customHeight="true" outlineLevel="0" collapsed="false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 customFormat="false" ht="15.75" hidden="false" customHeight="true" outlineLevel="0" collapsed="false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 customFormat="false" ht="15.75" hidden="false" customHeight="true" outlineLevel="0" collapsed="false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 customFormat="false" ht="15.75" hidden="false" customHeight="true" outlineLevel="0" collapsed="false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 customFormat="false" ht="15.75" hidden="false" customHeight="true" outlineLevel="0" collapsed="false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customFormat="false" ht="15.75" hidden="false" customHeight="true" outlineLevel="0" collapsed="false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customFormat="false" ht="15.75" hidden="false" customHeight="true" outlineLevel="0" collapsed="false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customFormat="false" ht="15.75" hidden="false" customHeight="true" outlineLevel="0" collapsed="false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customFormat="false" ht="15.75" hidden="false" customHeight="true" outlineLevel="0" collapsed="false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customFormat="false" ht="15.75" hidden="false" customHeight="true" outlineLevel="0" collapsed="false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customFormat="false" ht="15.75" hidden="false" customHeight="true" outlineLevel="0" collapsed="false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customFormat="false" ht="15.75" hidden="false" customHeight="true" outlineLevel="0" collapsed="false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customFormat="false" ht="15.75" hidden="false" customHeight="true" outlineLevel="0" collapsed="false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customFormat="false" ht="15.75" hidden="false" customHeight="true" outlineLevel="0" collapsed="false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customFormat="false" ht="15.75" hidden="false" customHeight="true" outlineLevel="0" collapsed="false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customFormat="false" ht="15.75" hidden="false" customHeight="true" outlineLevel="0" collapsed="false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customFormat="false" ht="15.75" hidden="false" customHeight="true" outlineLevel="0" collapsed="false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customFormat="false" ht="15.75" hidden="false" customHeight="true" outlineLevel="0" collapsed="false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 customFormat="false" ht="15.75" hidden="false" customHeight="true" outlineLevel="0" collapsed="false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 customFormat="false" ht="15.75" hidden="false" customHeight="true" outlineLevel="0" collapsed="false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 customFormat="false" ht="15.75" hidden="false" customHeight="true" outlineLevel="0" collapsed="false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 customFormat="false" ht="15.75" hidden="false" customHeight="true" outlineLevel="0" collapsed="false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 customFormat="false" ht="15.75" hidden="false" customHeight="true" outlineLevel="0" collapsed="false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 customFormat="false" ht="15.75" hidden="false" customHeight="true" outlineLevel="0" collapsed="false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 customFormat="false" ht="15.75" hidden="false" customHeight="true" outlineLevel="0" collapsed="false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 customFormat="false" ht="15.75" hidden="false" customHeight="true" outlineLevel="0" collapsed="false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 customFormat="false" ht="15.75" hidden="false" customHeight="true" outlineLevel="0" collapsed="false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 customFormat="false" ht="15.75" hidden="false" customHeight="true" outlineLevel="0" collapsed="false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customFormat="false" ht="15.75" hidden="false" customHeight="true" outlineLevel="0" collapsed="false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customFormat="false" ht="15.75" hidden="false" customHeight="true" outlineLevel="0" collapsed="false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customFormat="false" ht="15.75" hidden="false" customHeight="true" outlineLevel="0" collapsed="false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customFormat="false" ht="15.75" hidden="false" customHeight="true" outlineLevel="0" collapsed="false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customFormat="false" ht="15.75" hidden="false" customHeight="true" outlineLevel="0" collapsed="false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customFormat="false" ht="15.75" hidden="false" customHeight="true" outlineLevel="0" collapsed="false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customFormat="false" ht="15.75" hidden="false" customHeight="true" outlineLevel="0" collapsed="false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customFormat="false" ht="15.75" hidden="false" customHeight="true" outlineLevel="0" collapsed="false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customFormat="false" ht="15.75" hidden="false" customHeight="true" outlineLevel="0" collapsed="false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customFormat="false" ht="15.75" hidden="false" customHeight="true" outlineLevel="0" collapsed="false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customFormat="false" ht="15.75" hidden="false" customHeight="true" outlineLevel="0" collapsed="false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customFormat="false" ht="15.75" hidden="false" customHeight="true" outlineLevel="0" collapsed="false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customFormat="false" ht="15.75" hidden="false" customHeight="true" outlineLevel="0" collapsed="false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customFormat="false" ht="15.75" hidden="false" customHeight="true" outlineLevel="0" collapsed="false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 customFormat="false" ht="15.75" hidden="false" customHeight="true" outlineLevel="0" collapsed="false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 customFormat="false" ht="15.75" hidden="false" customHeight="true" outlineLevel="0" collapsed="false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 customFormat="false" ht="15.75" hidden="false" customHeight="true" outlineLevel="0" collapsed="false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 customFormat="false" ht="15.75" hidden="false" customHeight="true" outlineLevel="0" collapsed="false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 customFormat="false" ht="15.75" hidden="false" customHeight="true" outlineLevel="0" collapsed="false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 customFormat="false" ht="15.75" hidden="false" customHeight="true" outlineLevel="0" collapsed="false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 customFormat="false" ht="15.75" hidden="false" customHeight="true" outlineLevel="0" collapsed="false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 customFormat="false" ht="15.75" hidden="false" customHeight="true" outlineLevel="0" collapsed="false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 customFormat="false" ht="15.75" hidden="false" customHeight="true" outlineLevel="0" collapsed="false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 customFormat="false" ht="15.75" hidden="false" customHeight="true" outlineLevel="0" collapsed="false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 customFormat="false" ht="15.75" hidden="false" customHeight="true" outlineLevel="0" collapsed="false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customFormat="false" ht="15.75" hidden="false" customHeight="true" outlineLevel="0" collapsed="false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customFormat="false" ht="15.75" hidden="false" customHeight="true" outlineLevel="0" collapsed="false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customFormat="false" ht="15.75" hidden="false" customHeight="true" outlineLevel="0" collapsed="false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customFormat="false" ht="15.75" hidden="false" customHeight="true" outlineLevel="0" collapsed="false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customFormat="false" ht="15.75" hidden="false" customHeight="true" outlineLevel="0" collapsed="false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customFormat="false" ht="15.75" hidden="false" customHeight="true" outlineLevel="0" collapsed="false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customFormat="false" ht="15.75" hidden="false" customHeight="true" outlineLevel="0" collapsed="false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customFormat="false" ht="15.75" hidden="false" customHeight="true" outlineLevel="0" collapsed="false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customFormat="false" ht="15.75" hidden="false" customHeight="true" outlineLevel="0" collapsed="false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customFormat="false" ht="15.75" hidden="false" customHeight="true" outlineLevel="0" collapsed="false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customFormat="false" ht="15.75" hidden="false" customHeight="true" outlineLevel="0" collapsed="false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customFormat="false" ht="15.75" hidden="false" customHeight="true" outlineLevel="0" collapsed="false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customFormat="false" ht="15.75" hidden="false" customHeight="true" outlineLevel="0" collapsed="false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 customFormat="false" ht="15.75" hidden="false" customHeight="true" outlineLevel="0" collapsed="false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 customFormat="false" ht="15.75" hidden="false" customHeight="true" outlineLevel="0" collapsed="false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 customFormat="false" ht="15.75" hidden="false" customHeight="true" outlineLevel="0" collapsed="false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 customFormat="false" ht="15.75" hidden="false" customHeight="true" outlineLevel="0" collapsed="false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 customFormat="false" ht="15.75" hidden="false" customHeight="true" outlineLevel="0" collapsed="false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 customFormat="false" ht="15.75" hidden="false" customHeight="true" outlineLevel="0" collapsed="false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 customFormat="false" ht="15.75" hidden="false" customHeight="true" outlineLevel="0" collapsed="false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 customFormat="false" ht="15.75" hidden="false" customHeight="true" outlineLevel="0" collapsed="false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 customFormat="false" ht="15.75" hidden="false" customHeight="true" outlineLevel="0" collapsed="false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 customFormat="false" ht="15.75" hidden="false" customHeight="true" outlineLevel="0" collapsed="false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 customFormat="false" ht="15.75" hidden="false" customHeight="true" outlineLevel="0" collapsed="false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customFormat="false" ht="15.75" hidden="false" customHeight="true" outlineLevel="0" collapsed="false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customFormat="false" ht="15.75" hidden="false" customHeight="true" outlineLevel="0" collapsed="false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customFormat="false" ht="15.75" hidden="false" customHeight="true" outlineLevel="0" collapsed="false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customFormat="false" ht="15.75" hidden="false" customHeight="true" outlineLevel="0" collapsed="false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customFormat="false" ht="15.75" hidden="false" customHeight="true" outlineLevel="0" collapsed="false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customFormat="false" ht="15.75" hidden="false" customHeight="true" outlineLevel="0" collapsed="false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customFormat="false" ht="15.75" hidden="false" customHeight="true" outlineLevel="0" collapsed="false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customFormat="false" ht="15.75" hidden="false" customHeight="true" outlineLevel="0" collapsed="false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customFormat="false" ht="15.75" hidden="false" customHeight="true" outlineLevel="0" collapsed="false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customFormat="false" ht="15.75" hidden="false" customHeight="true" outlineLevel="0" collapsed="false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customFormat="false" ht="15.75" hidden="false" customHeight="true" outlineLevel="0" collapsed="false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customFormat="false" ht="15.75" hidden="false" customHeight="true" outlineLevel="0" collapsed="false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customFormat="false" ht="15.75" hidden="false" customHeight="true" outlineLevel="0" collapsed="false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 customFormat="false" ht="15.75" hidden="false" customHeight="true" outlineLevel="0" collapsed="false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 customFormat="false" ht="15.75" hidden="false" customHeight="true" outlineLevel="0" collapsed="false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 customFormat="false" ht="15.75" hidden="false" customHeight="true" outlineLevel="0" collapsed="false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 customFormat="false" ht="15.75" hidden="false" customHeight="true" outlineLevel="0" collapsed="false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 customFormat="false" ht="15.75" hidden="false" customHeight="true" outlineLevel="0" collapsed="false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 customFormat="false" ht="15.75" hidden="false" customHeight="true" outlineLevel="0" collapsed="false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 customFormat="false" ht="15.75" hidden="false" customHeight="true" outlineLevel="0" collapsed="false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 customFormat="false" ht="15.75" hidden="false" customHeight="true" outlineLevel="0" collapsed="false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 customFormat="false" ht="15.75" hidden="false" customHeight="true" outlineLevel="0" collapsed="false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 customFormat="false" ht="15.75" hidden="false" customHeight="true" outlineLevel="0" collapsed="false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 customFormat="false" ht="15.75" hidden="false" customHeight="true" outlineLevel="0" collapsed="false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customFormat="false" ht="15.75" hidden="false" customHeight="true" outlineLevel="0" collapsed="false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customFormat="false" ht="15.75" hidden="false" customHeight="true" outlineLevel="0" collapsed="false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customFormat="false" ht="15.75" hidden="false" customHeight="true" outlineLevel="0" collapsed="false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customFormat="false" ht="15.75" hidden="false" customHeight="true" outlineLevel="0" collapsed="false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customFormat="false" ht="15.75" hidden="false" customHeight="true" outlineLevel="0" collapsed="false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customFormat="false" ht="15.75" hidden="false" customHeight="true" outlineLevel="0" collapsed="false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customFormat="false" ht="15.75" hidden="false" customHeight="true" outlineLevel="0" collapsed="false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customFormat="false" ht="15.75" hidden="false" customHeight="true" outlineLevel="0" collapsed="false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customFormat="false" ht="15.75" hidden="false" customHeight="true" outlineLevel="0" collapsed="false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customFormat="false" ht="15.75" hidden="false" customHeight="true" outlineLevel="0" collapsed="false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customFormat="false" ht="15.75" hidden="false" customHeight="true" outlineLevel="0" collapsed="false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customFormat="false" ht="15.75" hidden="false" customHeight="true" outlineLevel="0" collapsed="false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customFormat="false" ht="15.75" hidden="false" customHeight="true" outlineLevel="0" collapsed="false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 customFormat="false" ht="15.75" hidden="false" customHeight="true" outlineLevel="0" collapsed="false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customFormat="false" ht="15.75" hidden="false" customHeight="true" outlineLevel="0" collapsed="false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 customFormat="false" ht="15.75" hidden="false" customHeight="true" outlineLevel="0" collapsed="false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 customFormat="false" ht="15.75" hidden="false" customHeight="true" outlineLevel="0" collapsed="false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customFormat="false" ht="15.75" hidden="false" customHeight="true" outlineLevel="0" collapsed="false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customFormat="false" ht="15.75" hidden="false" customHeight="true" outlineLevel="0" collapsed="false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customFormat="false" ht="15.75" hidden="false" customHeight="true" outlineLevel="0" collapsed="false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customFormat="false" ht="15.75" hidden="false" customHeight="true" outlineLevel="0" collapsed="false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customFormat="false" ht="15.75" hidden="false" customHeight="true" outlineLevel="0" collapsed="false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customFormat="false" ht="15.75" hidden="false" customHeight="true" outlineLevel="0" collapsed="false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customFormat="false" ht="15.75" hidden="false" customHeight="true" outlineLevel="0" collapsed="false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customFormat="false" ht="15.75" hidden="false" customHeight="true" outlineLevel="0" collapsed="false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customFormat="false" ht="15.75" hidden="false" customHeight="true" outlineLevel="0" collapsed="false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customFormat="false" ht="15.75" hidden="false" customHeight="true" outlineLevel="0" collapsed="false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customFormat="false" ht="15.75" hidden="false" customHeight="true" outlineLevel="0" collapsed="false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customFormat="false" ht="15.75" hidden="false" customHeight="true" outlineLevel="0" collapsed="false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customFormat="false" ht="15.75" hidden="false" customHeight="true" outlineLevel="0" collapsed="false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customFormat="false" ht="15.75" hidden="false" customHeight="true" outlineLevel="0" collapsed="false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customFormat="false" ht="15.75" hidden="false" customHeight="true" outlineLevel="0" collapsed="false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customFormat="false" ht="15.75" hidden="false" customHeight="true" outlineLevel="0" collapsed="false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customFormat="false" ht="15.75" hidden="false" customHeight="true" outlineLevel="0" collapsed="false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customFormat="false" ht="15.75" hidden="false" customHeight="true" outlineLevel="0" collapsed="false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customFormat="false" ht="15.75" hidden="false" customHeight="true" outlineLevel="0" collapsed="false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customFormat="false" ht="15.75" hidden="false" customHeight="true" outlineLevel="0" collapsed="false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customFormat="false" ht="15.75" hidden="false" customHeight="true" outlineLevel="0" collapsed="false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customFormat="false" ht="15.75" hidden="false" customHeight="true" outlineLevel="0" collapsed="false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customFormat="false" ht="15.75" hidden="false" customHeight="true" outlineLevel="0" collapsed="false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customFormat="false" ht="15.75" hidden="false" customHeight="true" outlineLevel="0" collapsed="false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 customFormat="false" ht="15.75" hidden="false" customHeight="true" outlineLevel="0" collapsed="false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 customFormat="false" ht="15.75" hidden="false" customHeight="true" outlineLevel="0" collapsed="false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customFormat="false" ht="15.75" hidden="false" customHeight="true" outlineLevel="0" collapsed="false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 customFormat="false" ht="15.75" hidden="false" customHeight="true" outlineLevel="0" collapsed="false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 customFormat="false" ht="15.75" hidden="false" customHeight="true" outlineLevel="0" collapsed="false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 customFormat="false" ht="15.75" hidden="false" customHeight="true" outlineLevel="0" collapsed="false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 customFormat="false" ht="15.75" hidden="false" customHeight="true" outlineLevel="0" collapsed="false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customFormat="false" ht="15.75" hidden="false" customHeight="true" outlineLevel="0" collapsed="false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customFormat="false" ht="15.75" hidden="false" customHeight="true" outlineLevel="0" collapsed="false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customFormat="false" ht="15.75" hidden="false" customHeight="true" outlineLevel="0" collapsed="false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customFormat="false" ht="15.75" hidden="false" customHeight="true" outlineLevel="0" collapsed="false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customFormat="false" ht="15.75" hidden="false" customHeight="true" outlineLevel="0" collapsed="false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customFormat="false" ht="15.75" hidden="false" customHeight="true" outlineLevel="0" collapsed="false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customFormat="false" ht="15.75" hidden="false" customHeight="true" outlineLevel="0" collapsed="false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customFormat="false" ht="15.75" hidden="false" customHeight="true" outlineLevel="0" collapsed="false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customFormat="false" ht="15.75" hidden="false" customHeight="true" outlineLevel="0" collapsed="false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customFormat="false" ht="15.75" hidden="false" customHeight="true" outlineLevel="0" collapsed="false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customFormat="false" ht="15.75" hidden="false" customHeight="true" outlineLevel="0" collapsed="false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customFormat="false" ht="15.75" hidden="false" customHeight="true" outlineLevel="0" collapsed="false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customFormat="false" ht="15.75" hidden="false" customHeight="true" outlineLevel="0" collapsed="false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 customFormat="false" ht="15.75" hidden="false" customHeight="true" outlineLevel="0" collapsed="false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 customFormat="false" ht="15.75" hidden="false" customHeight="true" outlineLevel="0" collapsed="false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 customFormat="false" ht="15.75" hidden="false" customHeight="true" outlineLevel="0" collapsed="false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 customFormat="false" ht="15.75" hidden="false" customHeight="true" outlineLevel="0" collapsed="false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 customFormat="false" ht="15.75" hidden="false" customHeight="true" outlineLevel="0" collapsed="false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 customFormat="false" ht="15.75" hidden="false" customHeight="true" outlineLevel="0" collapsed="false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 customFormat="false" ht="15.75" hidden="false" customHeight="true" outlineLevel="0" collapsed="false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 customFormat="false" ht="15.75" hidden="false" customHeight="true" outlineLevel="0" collapsed="false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 customFormat="false" ht="15.75" hidden="false" customHeight="true" outlineLevel="0" collapsed="false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 customFormat="false" ht="15.75" hidden="false" customHeight="true" outlineLevel="0" collapsed="false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 customFormat="false" ht="15.75" hidden="false" customHeight="true" outlineLevel="0" collapsed="false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customFormat="false" ht="15.75" hidden="false" customHeight="true" outlineLevel="0" collapsed="false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customFormat="false" ht="15.75" hidden="false" customHeight="true" outlineLevel="0" collapsed="false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customFormat="false" ht="15.75" hidden="false" customHeight="true" outlineLevel="0" collapsed="false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customFormat="false" ht="15.75" hidden="false" customHeight="true" outlineLevel="0" collapsed="false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customFormat="false" ht="15.75" hidden="false" customHeight="true" outlineLevel="0" collapsed="false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customFormat="false" ht="15.75" hidden="false" customHeight="true" outlineLevel="0" collapsed="false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customFormat="false" ht="15.75" hidden="false" customHeight="true" outlineLevel="0" collapsed="false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customFormat="false" ht="15.75" hidden="false" customHeight="true" outlineLevel="0" collapsed="false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customFormat="false" ht="15.75" hidden="false" customHeight="true" outlineLevel="0" collapsed="false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customFormat="false" ht="15.75" hidden="false" customHeight="true" outlineLevel="0" collapsed="false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customFormat="false" ht="15.75" hidden="false" customHeight="true" outlineLevel="0" collapsed="false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customFormat="false" ht="15.75" hidden="false" customHeight="true" outlineLevel="0" collapsed="false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customFormat="false" ht="15.75" hidden="false" customHeight="true" outlineLevel="0" collapsed="false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 customFormat="false" ht="15.75" hidden="false" customHeight="true" outlineLevel="0" collapsed="false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 customFormat="false" ht="15.75" hidden="false" customHeight="true" outlineLevel="0" collapsed="false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customFormat="false" ht="15.75" hidden="false" customHeight="true" outlineLevel="0" collapsed="false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customFormat="false" ht="15.75" hidden="false" customHeight="true" outlineLevel="0" collapsed="false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 customFormat="false" ht="15.75" hidden="false" customHeight="true" outlineLevel="0" collapsed="false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 customFormat="false" ht="15.75" hidden="false" customHeight="true" outlineLevel="0" collapsed="false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 customFormat="false" ht="15.75" hidden="false" customHeight="true" outlineLevel="0" collapsed="false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 customFormat="false" ht="15.75" hidden="false" customHeight="true" outlineLevel="0" collapsed="false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 customFormat="false" ht="15.75" hidden="false" customHeight="true" outlineLevel="0" collapsed="false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 customFormat="false" ht="15.75" hidden="false" customHeight="true" outlineLevel="0" collapsed="false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 customFormat="false" ht="15.75" hidden="false" customHeight="true" outlineLevel="0" collapsed="false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customFormat="false" ht="15.75" hidden="false" customHeight="true" outlineLevel="0" collapsed="false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customFormat="false" ht="15.75" hidden="false" customHeight="true" outlineLevel="0" collapsed="false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customFormat="false" ht="15.75" hidden="false" customHeight="true" outlineLevel="0" collapsed="false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customFormat="false" ht="15.75" hidden="false" customHeight="true" outlineLevel="0" collapsed="false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customFormat="false" ht="15.75" hidden="false" customHeight="true" outlineLevel="0" collapsed="false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customFormat="false" ht="15.75" hidden="false" customHeight="true" outlineLevel="0" collapsed="false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customFormat="false" ht="15.75" hidden="false" customHeight="true" outlineLevel="0" collapsed="false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customFormat="false" ht="15.75" hidden="false" customHeight="true" outlineLevel="0" collapsed="false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customFormat="false" ht="15.75" hidden="false" customHeight="true" outlineLevel="0" collapsed="false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customFormat="false" ht="15.75" hidden="false" customHeight="true" outlineLevel="0" collapsed="false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customFormat="false" ht="15.75" hidden="false" customHeight="true" outlineLevel="0" collapsed="false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customFormat="false" ht="15.75" hidden="false" customHeight="true" outlineLevel="0" collapsed="false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customFormat="false" ht="15.75" hidden="false" customHeight="true" outlineLevel="0" collapsed="false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 customFormat="false" ht="15.75" hidden="false" customHeight="true" outlineLevel="0" collapsed="false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 customFormat="false" ht="15.75" hidden="false" customHeight="true" outlineLevel="0" collapsed="false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 customFormat="false" ht="15.75" hidden="false" customHeight="true" outlineLevel="0" collapsed="false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 customFormat="false" ht="15.75" hidden="false" customHeight="true" outlineLevel="0" collapsed="false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 customFormat="false" ht="15.75" hidden="false" customHeight="true" outlineLevel="0" collapsed="false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 customFormat="false" ht="15.75" hidden="false" customHeight="true" outlineLevel="0" collapsed="false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 customFormat="false" ht="15.75" hidden="false" customHeight="true" outlineLevel="0" collapsed="false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 customFormat="false" ht="15.75" hidden="false" customHeight="true" outlineLevel="0" collapsed="false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 customFormat="false" ht="15.75" hidden="false" customHeight="true" outlineLevel="0" collapsed="false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 customFormat="false" ht="15.75" hidden="false" customHeight="true" outlineLevel="0" collapsed="false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 customFormat="false" ht="15.75" hidden="false" customHeight="true" outlineLevel="0" collapsed="false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customFormat="false" ht="15.75" hidden="false" customHeight="true" outlineLevel="0" collapsed="false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customFormat="false" ht="15.75" hidden="false" customHeight="true" outlineLevel="0" collapsed="false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customFormat="false" ht="15.75" hidden="false" customHeight="true" outlineLevel="0" collapsed="false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customFormat="false" ht="15.75" hidden="false" customHeight="true" outlineLevel="0" collapsed="false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customFormat="false" ht="15.75" hidden="false" customHeight="true" outlineLevel="0" collapsed="false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customFormat="false" ht="15.75" hidden="false" customHeight="true" outlineLevel="0" collapsed="false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customFormat="false" ht="15.75" hidden="false" customHeight="true" outlineLevel="0" collapsed="false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customFormat="false" ht="15.75" hidden="false" customHeight="true" outlineLevel="0" collapsed="false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customFormat="false" ht="15.75" hidden="false" customHeight="true" outlineLevel="0" collapsed="false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customFormat="false" ht="15.75" hidden="false" customHeight="true" outlineLevel="0" collapsed="false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customFormat="false" ht="15.75" hidden="false" customHeight="true" outlineLevel="0" collapsed="false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customFormat="false" ht="15.75" hidden="false" customHeight="true" outlineLevel="0" collapsed="false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customFormat="false" ht="15.75" hidden="false" customHeight="true" outlineLevel="0" collapsed="false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 customFormat="false" ht="15.75" hidden="false" customHeight="true" outlineLevel="0" collapsed="false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 customFormat="false" ht="15.75" hidden="false" customHeight="true" outlineLevel="0" collapsed="false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 customFormat="false" ht="15.75" hidden="false" customHeight="true" outlineLevel="0" collapsed="false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 customFormat="false" ht="15.75" hidden="false" customHeight="true" outlineLevel="0" collapsed="false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 customFormat="false" ht="15.75" hidden="false" customHeight="true" outlineLevel="0" collapsed="false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 customFormat="false" ht="15.75" hidden="false" customHeight="true" outlineLevel="0" collapsed="false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 customFormat="false" ht="15.75" hidden="false" customHeight="true" outlineLevel="0" collapsed="false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 customFormat="false" ht="15.75" hidden="false" customHeight="true" outlineLevel="0" collapsed="false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 customFormat="false" ht="15.75" hidden="false" customHeight="true" outlineLevel="0" collapsed="false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 customFormat="false" ht="15.75" hidden="false" customHeight="true" outlineLevel="0" collapsed="false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 customFormat="false" ht="15.75" hidden="false" customHeight="true" outlineLevel="0" collapsed="false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customFormat="false" ht="15.75" hidden="false" customHeight="true" outlineLevel="0" collapsed="false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customFormat="false" ht="15.75" hidden="false" customHeight="true" outlineLevel="0" collapsed="false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customFormat="false" ht="15.75" hidden="false" customHeight="true" outlineLevel="0" collapsed="false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customFormat="false" ht="15.75" hidden="false" customHeight="true" outlineLevel="0" collapsed="false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customFormat="false" ht="15.75" hidden="false" customHeight="true" outlineLevel="0" collapsed="false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customFormat="false" ht="15.75" hidden="false" customHeight="true" outlineLevel="0" collapsed="false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customFormat="false" ht="15.75" hidden="false" customHeight="true" outlineLevel="0" collapsed="false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customFormat="false" ht="15.75" hidden="false" customHeight="true" outlineLevel="0" collapsed="false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customFormat="false" ht="15.75" hidden="false" customHeight="true" outlineLevel="0" collapsed="false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customFormat="false" ht="15.75" hidden="false" customHeight="true" outlineLevel="0" collapsed="false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customFormat="false" ht="15.75" hidden="false" customHeight="true" outlineLevel="0" collapsed="false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customFormat="false" ht="15.75" hidden="false" customHeight="true" outlineLevel="0" collapsed="false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customFormat="false" ht="15.75" hidden="false" customHeight="true" outlineLevel="0" collapsed="false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 customFormat="false" ht="15.75" hidden="false" customHeight="true" outlineLevel="0" collapsed="false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 customFormat="false" ht="15.75" hidden="false" customHeight="true" outlineLevel="0" collapsed="false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customFormat="false" ht="15.75" hidden="false" customHeight="true" outlineLevel="0" collapsed="false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customFormat="false" ht="15.75" hidden="false" customHeight="true" outlineLevel="0" collapsed="false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 customFormat="false" ht="15.75" hidden="false" customHeight="true" outlineLevel="0" collapsed="false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 customFormat="false" ht="15.75" hidden="false" customHeight="true" outlineLevel="0" collapsed="false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 customFormat="false" ht="15.75" hidden="false" customHeight="true" outlineLevel="0" collapsed="false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 customFormat="false" ht="15.75" hidden="false" customHeight="true" outlineLevel="0" collapsed="false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 customFormat="false" ht="15.75" hidden="false" customHeight="true" outlineLevel="0" collapsed="false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 customFormat="false" ht="15.75" hidden="false" customHeight="true" outlineLevel="0" collapsed="false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 customFormat="false" ht="15.75" hidden="false" customHeight="true" outlineLevel="0" collapsed="false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customFormat="false" ht="15.75" hidden="false" customHeight="true" outlineLevel="0" collapsed="false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customFormat="false" ht="15.75" hidden="false" customHeight="true" outlineLevel="0" collapsed="false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customFormat="false" ht="15.75" hidden="false" customHeight="true" outlineLevel="0" collapsed="false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customFormat="false" ht="15.75" hidden="false" customHeight="true" outlineLevel="0" collapsed="false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customFormat="false" ht="15.75" hidden="false" customHeight="true" outlineLevel="0" collapsed="false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customFormat="false" ht="15.75" hidden="false" customHeight="true" outlineLevel="0" collapsed="false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customFormat="false" ht="15.75" hidden="false" customHeight="true" outlineLevel="0" collapsed="false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customFormat="false" ht="15.75" hidden="false" customHeight="true" outlineLevel="0" collapsed="false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customFormat="false" ht="15.75" hidden="false" customHeight="true" outlineLevel="0" collapsed="false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customFormat="false" ht="15.75" hidden="false" customHeight="true" outlineLevel="0" collapsed="false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customFormat="false" ht="15.75" hidden="false" customHeight="true" outlineLevel="0" collapsed="false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customFormat="false" ht="15.75" hidden="false" customHeight="true" outlineLevel="0" collapsed="false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customFormat="false" ht="15.75" hidden="false" customHeight="true" outlineLevel="0" collapsed="false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 customFormat="false" ht="15.75" hidden="false" customHeight="true" outlineLevel="0" collapsed="false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 customFormat="false" ht="15.75" hidden="false" customHeight="true" outlineLevel="0" collapsed="false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 customFormat="false" ht="15.75" hidden="false" customHeight="true" outlineLevel="0" collapsed="false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 customFormat="false" ht="15.75" hidden="false" customHeight="true" outlineLevel="0" collapsed="false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 customFormat="false" ht="15.75" hidden="false" customHeight="true" outlineLevel="0" collapsed="false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 customFormat="false" ht="15.75" hidden="false" customHeight="true" outlineLevel="0" collapsed="false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 customFormat="false" ht="15.75" hidden="false" customHeight="true" outlineLevel="0" collapsed="false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customFormat="false" ht="15.75" hidden="false" customHeight="true" outlineLevel="0" collapsed="false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 customFormat="false" ht="15.75" hidden="false" customHeight="true" outlineLevel="0" collapsed="false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 customFormat="false" ht="15.75" hidden="false" customHeight="true" outlineLevel="0" collapsed="false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 customFormat="false" ht="15.75" hidden="false" customHeight="true" outlineLevel="0" collapsed="false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customFormat="false" ht="15.75" hidden="false" customHeight="true" outlineLevel="0" collapsed="false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customFormat="false" ht="15.75" hidden="false" customHeight="true" outlineLevel="0" collapsed="false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customFormat="false" ht="15.75" hidden="false" customHeight="true" outlineLevel="0" collapsed="false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customFormat="false" ht="15.75" hidden="false" customHeight="true" outlineLevel="0" collapsed="false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customFormat="false" ht="15.75" hidden="false" customHeight="true" outlineLevel="0" collapsed="false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customFormat="false" ht="15.75" hidden="false" customHeight="true" outlineLevel="0" collapsed="false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customFormat="false" ht="15.75" hidden="false" customHeight="true" outlineLevel="0" collapsed="false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customFormat="false" ht="15.75" hidden="false" customHeight="true" outlineLevel="0" collapsed="false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customFormat="false" ht="15.75" hidden="false" customHeight="true" outlineLevel="0" collapsed="false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customFormat="false" ht="15.75" hidden="false" customHeight="true" outlineLevel="0" collapsed="false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customFormat="false" ht="15.75" hidden="false" customHeight="true" outlineLevel="0" collapsed="false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customFormat="false" ht="15.75" hidden="false" customHeight="true" outlineLevel="0" collapsed="false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customFormat="false" ht="15.75" hidden="false" customHeight="true" outlineLevel="0" collapsed="false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 customFormat="false" ht="15.75" hidden="false" customHeight="true" outlineLevel="0" collapsed="false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 customFormat="false" ht="15.75" hidden="false" customHeight="true" outlineLevel="0" collapsed="false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 customFormat="false" ht="15.75" hidden="false" customHeight="true" outlineLevel="0" collapsed="false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 customFormat="false" ht="15.75" hidden="false" customHeight="true" outlineLevel="0" collapsed="false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 customFormat="false" ht="15.75" hidden="false" customHeight="true" outlineLevel="0" collapsed="false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 customFormat="false" ht="15.75" hidden="false" customHeight="true" outlineLevel="0" collapsed="false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 customFormat="false" ht="15.75" hidden="false" customHeight="true" outlineLevel="0" collapsed="false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 customFormat="false" ht="15.75" hidden="false" customHeight="true" outlineLevel="0" collapsed="false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 customFormat="false" ht="15.75" hidden="false" customHeight="true" outlineLevel="0" collapsed="false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 customFormat="false" ht="15.75" hidden="false" customHeight="true" outlineLevel="0" collapsed="false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 customFormat="false" ht="15.75" hidden="false" customHeight="true" outlineLevel="0" collapsed="false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customFormat="false" ht="15.75" hidden="false" customHeight="true" outlineLevel="0" collapsed="false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customFormat="false" ht="15.75" hidden="false" customHeight="true" outlineLevel="0" collapsed="false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customFormat="false" ht="15.75" hidden="false" customHeight="true" outlineLevel="0" collapsed="false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customFormat="false" ht="15.75" hidden="false" customHeight="true" outlineLevel="0" collapsed="false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customFormat="false" ht="15.75" hidden="false" customHeight="true" outlineLevel="0" collapsed="false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 customFormat="false" ht="15.75" hidden="false" customHeight="true" outlineLevel="0" collapsed="false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 customFormat="false" ht="15.75" hidden="false" customHeight="true" outlineLevel="0" collapsed="false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 customFormat="false" ht="15.75" hidden="false" customHeight="true" outlineLevel="0" collapsed="false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 customFormat="false" ht="15.75" hidden="false" customHeight="true" outlineLevel="0" collapsed="false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 customFormat="false" ht="15.75" hidden="false" customHeight="true" outlineLevel="0" collapsed="false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 customFormat="false" ht="15.75" hidden="false" customHeight="true" outlineLevel="0" collapsed="false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 customFormat="false" ht="15.75" hidden="false" customHeight="true" outlineLevel="0" collapsed="false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 customFormat="false" ht="15.75" hidden="false" customHeight="true" outlineLevel="0" collapsed="false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 customFormat="false" ht="15.75" hidden="false" customHeight="true" outlineLevel="0" collapsed="false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 customFormat="false" ht="15.75" hidden="false" customHeight="true" outlineLevel="0" collapsed="false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 customFormat="false" ht="15.75" hidden="false" customHeight="true" outlineLevel="0" collapsed="false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 customFormat="false" ht="15.75" hidden="false" customHeight="true" outlineLevel="0" collapsed="false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 customFormat="false" ht="15.75" hidden="false" customHeight="true" outlineLevel="0" collapsed="false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 customFormat="false" ht="15.75" hidden="false" customHeight="true" outlineLevel="0" collapsed="false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 customFormat="false" ht="15.75" hidden="false" customHeight="true" outlineLevel="0" collapsed="false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 customFormat="false" ht="15.75" hidden="false" customHeight="true" outlineLevel="0" collapsed="false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 customFormat="false" ht="15.75" hidden="false" customHeight="true" outlineLevel="0" collapsed="false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 customFormat="false" ht="15.75" hidden="false" customHeight="true" outlineLevel="0" collapsed="false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 customFormat="false" ht="15.75" hidden="false" customHeight="true" outlineLevel="0" collapsed="false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 customFormat="false" ht="15.75" hidden="false" customHeight="true" outlineLevel="0" collapsed="false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 customFormat="false" ht="15.75" hidden="false" customHeight="true" outlineLevel="0" collapsed="false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 customFormat="false" ht="15.75" hidden="false" customHeight="true" outlineLevel="0" collapsed="false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 customFormat="false" ht="15.75" hidden="false" customHeight="true" outlineLevel="0" collapsed="false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 customFormat="false" ht="15.75" hidden="false" customHeight="true" outlineLevel="0" collapsed="false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 customFormat="false" ht="15.75" hidden="false" customHeight="true" outlineLevel="0" collapsed="false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customFormat="false" ht="15.75" hidden="false" customHeight="true" outlineLevel="0" collapsed="false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 customFormat="false" ht="15.75" hidden="false" customHeight="true" outlineLevel="0" collapsed="false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 customFormat="false" ht="15.75" hidden="false" customHeight="true" outlineLevel="0" collapsed="false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 customFormat="false" ht="15.75" hidden="false" customHeight="true" outlineLevel="0" collapsed="false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 customFormat="false" ht="15.75" hidden="false" customHeight="true" outlineLevel="0" collapsed="false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 customFormat="false" ht="15.75" hidden="false" customHeight="true" outlineLevel="0" collapsed="false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 customFormat="false" ht="15.75" hidden="false" customHeight="true" outlineLevel="0" collapsed="false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 customFormat="false" ht="15.75" hidden="false" customHeight="true" outlineLevel="0" collapsed="false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 customFormat="false" ht="15.75" hidden="false" customHeight="true" outlineLevel="0" collapsed="false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 customFormat="false" ht="15.75" hidden="false" customHeight="true" outlineLevel="0" collapsed="false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 customFormat="false" ht="15.75" hidden="false" customHeight="true" outlineLevel="0" collapsed="false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 customFormat="false" ht="15.75" hidden="false" customHeight="true" outlineLevel="0" collapsed="false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 customFormat="false" ht="15.75" hidden="false" customHeight="true" outlineLevel="0" collapsed="false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 customFormat="false" ht="15.75" hidden="false" customHeight="true" outlineLevel="0" collapsed="false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 customFormat="false" ht="15.75" hidden="false" customHeight="true" outlineLevel="0" collapsed="false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 customFormat="false" ht="15.75" hidden="false" customHeight="true" outlineLevel="0" collapsed="false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 customFormat="false" ht="15.75" hidden="false" customHeight="true" outlineLevel="0" collapsed="false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 customFormat="false" ht="15.75" hidden="false" customHeight="true" outlineLevel="0" collapsed="false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 customFormat="false" ht="15.75" hidden="false" customHeight="true" outlineLevel="0" collapsed="false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 customFormat="false" ht="15.75" hidden="false" customHeight="true" outlineLevel="0" collapsed="false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 customFormat="false" ht="15.75" hidden="false" customHeight="true" outlineLevel="0" collapsed="false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 customFormat="false" ht="15.75" hidden="false" customHeight="true" outlineLevel="0" collapsed="false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 customFormat="false" ht="15.75" hidden="false" customHeight="true" outlineLevel="0" collapsed="false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 customFormat="false" ht="15.75" hidden="false" customHeight="true" outlineLevel="0" collapsed="false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 customFormat="false" ht="15.75" hidden="false" customHeight="true" outlineLevel="0" collapsed="false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 customFormat="false" ht="15.75" hidden="false" customHeight="true" outlineLevel="0" collapsed="false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 customFormat="false" ht="15.75" hidden="false" customHeight="true" outlineLevel="0" collapsed="false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 customFormat="false" ht="15.75" hidden="false" customHeight="true" outlineLevel="0" collapsed="false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 customFormat="false" ht="15.75" hidden="false" customHeight="true" outlineLevel="0" collapsed="false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customFormat="false" ht="15.75" hidden="false" customHeight="true" outlineLevel="0" collapsed="false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 customFormat="false" ht="15.75" hidden="false" customHeight="true" outlineLevel="0" collapsed="false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 customFormat="false" ht="15.75" hidden="false" customHeight="true" outlineLevel="0" collapsed="false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 customFormat="false" ht="15.75" hidden="false" customHeight="true" outlineLevel="0" collapsed="false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 customFormat="false" ht="15.75" hidden="false" customHeight="true" outlineLevel="0" collapsed="false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 customFormat="false" ht="15.75" hidden="false" customHeight="true" outlineLevel="0" collapsed="false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 customFormat="false" ht="15.75" hidden="false" customHeight="true" outlineLevel="0" collapsed="false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 customFormat="false" ht="15.75" hidden="false" customHeight="true" outlineLevel="0" collapsed="false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 customFormat="false" ht="15.75" hidden="false" customHeight="true" outlineLevel="0" collapsed="false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 customFormat="false" ht="15.75" hidden="false" customHeight="true" outlineLevel="0" collapsed="false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 customFormat="false" ht="15.75" hidden="false" customHeight="true" outlineLevel="0" collapsed="false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 customFormat="false" ht="15.75" hidden="false" customHeight="true" outlineLevel="0" collapsed="false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 customFormat="false" ht="15.75" hidden="false" customHeight="true" outlineLevel="0" collapsed="false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 customFormat="false" ht="15.75" hidden="false" customHeight="true" outlineLevel="0" collapsed="false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 customFormat="false" ht="15.75" hidden="false" customHeight="true" outlineLevel="0" collapsed="false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 customFormat="false" ht="15.75" hidden="false" customHeight="true" outlineLevel="0" collapsed="false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 customFormat="false" ht="15.75" hidden="false" customHeight="true" outlineLevel="0" collapsed="false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 customFormat="false" ht="15.75" hidden="false" customHeight="true" outlineLevel="0" collapsed="false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 customFormat="false" ht="15.75" hidden="false" customHeight="true" outlineLevel="0" collapsed="false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 customFormat="false" ht="15.75" hidden="false" customHeight="true" outlineLevel="0" collapsed="false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 customFormat="false" ht="15.75" hidden="false" customHeight="true" outlineLevel="0" collapsed="false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 customFormat="false" ht="15.75" hidden="false" customHeight="true" outlineLevel="0" collapsed="false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 customFormat="false" ht="15.75" hidden="false" customHeight="true" outlineLevel="0" collapsed="false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 customFormat="false" ht="15.75" hidden="false" customHeight="true" outlineLevel="0" collapsed="false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 customFormat="false" ht="15.75" hidden="false" customHeight="true" outlineLevel="0" collapsed="false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 customFormat="false" ht="15.75" hidden="false" customHeight="true" outlineLevel="0" collapsed="false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 customFormat="false" ht="15.75" hidden="false" customHeight="true" outlineLevel="0" collapsed="false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 customFormat="false" ht="15.75" hidden="false" customHeight="true" outlineLevel="0" collapsed="false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 customFormat="false" ht="15.75" hidden="false" customHeight="true" outlineLevel="0" collapsed="false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customFormat="false" ht="15.75" hidden="false" customHeight="true" outlineLevel="0" collapsed="false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 customFormat="false" ht="15.75" hidden="false" customHeight="true" outlineLevel="0" collapsed="false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 customFormat="false" ht="15.75" hidden="false" customHeight="true" outlineLevel="0" collapsed="false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 customFormat="false" ht="15.75" hidden="false" customHeight="true" outlineLevel="0" collapsed="false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 customFormat="false" ht="15.75" hidden="false" customHeight="true" outlineLevel="0" collapsed="false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 customFormat="false" ht="15.75" hidden="false" customHeight="true" outlineLevel="0" collapsed="false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 customFormat="false" ht="15.75" hidden="false" customHeight="true" outlineLevel="0" collapsed="false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 customFormat="false" ht="15.75" hidden="false" customHeight="true" outlineLevel="0" collapsed="false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 customFormat="false" ht="15.75" hidden="false" customHeight="true" outlineLevel="0" collapsed="false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 customFormat="false" ht="15.75" hidden="false" customHeight="true" outlineLevel="0" collapsed="false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 customFormat="false" ht="15.75" hidden="false" customHeight="true" outlineLevel="0" collapsed="false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 customFormat="false" ht="15.75" hidden="false" customHeight="true" outlineLevel="0" collapsed="false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 customFormat="false" ht="15.75" hidden="false" customHeight="true" outlineLevel="0" collapsed="false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 customFormat="false" ht="15.75" hidden="false" customHeight="true" outlineLevel="0" collapsed="false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 customFormat="false" ht="15.75" hidden="false" customHeight="true" outlineLevel="0" collapsed="false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 customFormat="false" ht="15.75" hidden="false" customHeight="true" outlineLevel="0" collapsed="false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 customFormat="false" ht="15.75" hidden="false" customHeight="true" outlineLevel="0" collapsed="false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 customFormat="false" ht="15.75" hidden="false" customHeight="true" outlineLevel="0" collapsed="false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 customFormat="false" ht="15.75" hidden="false" customHeight="true" outlineLevel="0" collapsed="false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 customFormat="false" ht="15.75" hidden="false" customHeight="true" outlineLevel="0" collapsed="false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 customFormat="false" ht="15.75" hidden="false" customHeight="true" outlineLevel="0" collapsed="false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 customFormat="false" ht="15.75" hidden="false" customHeight="true" outlineLevel="0" collapsed="false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 customFormat="false" ht="15.75" hidden="false" customHeight="true" outlineLevel="0" collapsed="false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 customFormat="false" ht="15.75" hidden="false" customHeight="true" outlineLevel="0" collapsed="false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 customFormat="false" ht="15.75" hidden="false" customHeight="true" outlineLevel="0" collapsed="false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 customFormat="false" ht="15.75" hidden="false" customHeight="true" outlineLevel="0" collapsed="false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 customFormat="false" ht="15.75" hidden="false" customHeight="true" outlineLevel="0" collapsed="false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 customFormat="false" ht="15.75" hidden="false" customHeight="true" outlineLevel="0" collapsed="false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 customFormat="false" ht="15.75" hidden="false" customHeight="true" outlineLevel="0" collapsed="false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customFormat="false" ht="15.75" hidden="false" customHeight="true" outlineLevel="0" collapsed="false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 customFormat="false" ht="15.75" hidden="false" customHeight="true" outlineLevel="0" collapsed="false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 customFormat="false" ht="15.75" hidden="false" customHeight="true" outlineLevel="0" collapsed="false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 customFormat="false" ht="15.75" hidden="false" customHeight="true" outlineLevel="0" collapsed="false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 customFormat="false" ht="15.75" hidden="false" customHeight="true" outlineLevel="0" collapsed="false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 customFormat="false" ht="15.75" hidden="false" customHeight="true" outlineLevel="0" collapsed="false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 customFormat="false" ht="15.75" hidden="false" customHeight="true" outlineLevel="0" collapsed="false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 customFormat="false" ht="15.75" hidden="false" customHeight="true" outlineLevel="0" collapsed="false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 customFormat="false" ht="15.75" hidden="false" customHeight="true" outlineLevel="0" collapsed="false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 customFormat="false" ht="15.75" hidden="false" customHeight="true" outlineLevel="0" collapsed="false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 customFormat="false" ht="15.75" hidden="false" customHeight="true" outlineLevel="0" collapsed="false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 customFormat="false" ht="15.75" hidden="false" customHeight="true" outlineLevel="0" collapsed="false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 customFormat="false" ht="15.75" hidden="false" customHeight="true" outlineLevel="0" collapsed="false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 customFormat="false" ht="15.75" hidden="false" customHeight="true" outlineLevel="0" collapsed="false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 customFormat="false" ht="15.75" hidden="false" customHeight="true" outlineLevel="0" collapsed="false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 customFormat="false" ht="15.75" hidden="false" customHeight="true" outlineLevel="0" collapsed="false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 customFormat="false" ht="15.75" hidden="false" customHeight="true" outlineLevel="0" collapsed="false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 customFormat="false" ht="15.75" hidden="false" customHeight="true" outlineLevel="0" collapsed="false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 customFormat="false" ht="15.75" hidden="false" customHeight="true" outlineLevel="0" collapsed="false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 customFormat="false" ht="15.75" hidden="false" customHeight="true" outlineLevel="0" collapsed="false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 customFormat="false" ht="15.75" hidden="false" customHeight="true" outlineLevel="0" collapsed="false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 customFormat="false" ht="15.75" hidden="false" customHeight="true" outlineLevel="0" collapsed="false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 customFormat="false" ht="15.75" hidden="false" customHeight="true" outlineLevel="0" collapsed="false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 customFormat="false" ht="15.75" hidden="false" customHeight="true" outlineLevel="0" collapsed="false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 customFormat="false" ht="15.75" hidden="false" customHeight="true" outlineLevel="0" collapsed="false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 customFormat="false" ht="15.75" hidden="false" customHeight="true" outlineLevel="0" collapsed="false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 customFormat="false" ht="15.75" hidden="false" customHeight="true" outlineLevel="0" collapsed="false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 customFormat="false" ht="15.75" hidden="false" customHeight="true" outlineLevel="0" collapsed="false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 customFormat="false" ht="15.75" hidden="false" customHeight="true" outlineLevel="0" collapsed="false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customFormat="false" ht="15.75" hidden="false" customHeight="true" outlineLevel="0" collapsed="false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 customFormat="false" ht="15.75" hidden="false" customHeight="true" outlineLevel="0" collapsed="false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 customFormat="false" ht="15.75" hidden="false" customHeight="true" outlineLevel="0" collapsed="false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 customFormat="false" ht="15.75" hidden="false" customHeight="true" outlineLevel="0" collapsed="false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 customFormat="false" ht="15.75" hidden="false" customHeight="true" outlineLevel="0" collapsed="false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 customFormat="false" ht="15.75" hidden="false" customHeight="true" outlineLevel="0" collapsed="false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 customFormat="false" ht="15.75" hidden="false" customHeight="true" outlineLevel="0" collapsed="false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 customFormat="false" ht="15.75" hidden="false" customHeight="true" outlineLevel="0" collapsed="false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 customFormat="false" ht="15.75" hidden="false" customHeight="true" outlineLevel="0" collapsed="false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 customFormat="false" ht="15.75" hidden="false" customHeight="true" outlineLevel="0" collapsed="false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 customFormat="false" ht="15.75" hidden="false" customHeight="true" outlineLevel="0" collapsed="false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 customFormat="false" ht="15.75" hidden="false" customHeight="true" outlineLevel="0" collapsed="false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 customFormat="false" ht="15.75" hidden="false" customHeight="true" outlineLevel="0" collapsed="false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 customFormat="false" ht="15.75" hidden="false" customHeight="true" outlineLevel="0" collapsed="false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 customFormat="false" ht="15.75" hidden="false" customHeight="true" outlineLevel="0" collapsed="false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 customFormat="false" ht="15.75" hidden="false" customHeight="true" outlineLevel="0" collapsed="false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 customFormat="false" ht="15.75" hidden="false" customHeight="true" outlineLevel="0" collapsed="false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 customFormat="false" ht="15.75" hidden="false" customHeight="true" outlineLevel="0" collapsed="false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 customFormat="false" ht="15.75" hidden="false" customHeight="true" outlineLevel="0" collapsed="false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  <row r="913" customFormat="false" ht="15.75" hidden="false" customHeight="true" outlineLevel="0" collapsed="false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</row>
    <row r="914" customFormat="false" ht="15.75" hidden="false" customHeight="true" outlineLevel="0" collapsed="false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</row>
    <row r="915" customFormat="false" ht="15.75" hidden="false" customHeight="true" outlineLevel="0" collapsed="false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</row>
    <row r="916" customFormat="false" ht="15.75" hidden="false" customHeight="true" outlineLevel="0" collapsed="false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</row>
    <row r="917" customFormat="false" ht="15.75" hidden="false" customHeight="true" outlineLevel="0" collapsed="false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</row>
    <row r="918" customFormat="false" ht="15.75" hidden="false" customHeight="true" outlineLevel="0" collapsed="false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</row>
    <row r="919" customFormat="false" ht="15.75" hidden="false" customHeight="true" outlineLevel="0" collapsed="false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</row>
    <row r="920" customFormat="false" ht="15.75" hidden="false" customHeight="true" outlineLevel="0" collapsed="false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</row>
    <row r="921" customFormat="false" ht="15.75" hidden="false" customHeight="true" outlineLevel="0" collapsed="false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</row>
    <row r="922" customFormat="false" ht="15.75" hidden="false" customHeight="true" outlineLevel="0" collapsed="false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</row>
    <row r="923" customFormat="false" ht="15.75" hidden="false" customHeight="true" outlineLevel="0" collapsed="false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</row>
    <row r="924" customFormat="false" ht="15.75" hidden="false" customHeight="true" outlineLevel="0" collapsed="false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</row>
    <row r="925" customFormat="false" ht="15.75" hidden="false" customHeight="true" outlineLevel="0" collapsed="false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</row>
    <row r="926" customFormat="false" ht="15.75" hidden="false" customHeight="true" outlineLevel="0" collapsed="false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</row>
    <row r="927" customFormat="false" ht="15.75" hidden="false" customHeight="true" outlineLevel="0" collapsed="false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</row>
    <row r="928" customFormat="false" ht="15.75" hidden="false" customHeight="true" outlineLevel="0" collapsed="false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</row>
    <row r="929" customFormat="false" ht="15.75" hidden="false" customHeight="true" outlineLevel="0" collapsed="false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</row>
    <row r="930" customFormat="false" ht="15.75" hidden="false" customHeight="true" outlineLevel="0" collapsed="false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</row>
    <row r="931" customFormat="false" ht="15.75" hidden="false" customHeight="true" outlineLevel="0" collapsed="false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</row>
    <row r="932" customFormat="false" ht="15.75" hidden="false" customHeight="true" outlineLevel="0" collapsed="false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</row>
    <row r="933" customFormat="false" ht="15.75" hidden="false" customHeight="true" outlineLevel="0" collapsed="false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</row>
    <row r="934" customFormat="false" ht="15.75" hidden="false" customHeight="true" outlineLevel="0" collapsed="false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</row>
    <row r="935" customFormat="false" ht="15.75" hidden="false" customHeight="true" outlineLevel="0" collapsed="false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</row>
    <row r="936" customFormat="false" ht="15.75" hidden="false" customHeight="true" outlineLevel="0" collapsed="false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</row>
    <row r="937" customFormat="false" ht="15.75" hidden="false" customHeight="true" outlineLevel="0" collapsed="false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</row>
    <row r="938" customFormat="false" ht="15.75" hidden="false" customHeight="true" outlineLevel="0" collapsed="false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</row>
    <row r="939" customFormat="false" ht="15.75" hidden="false" customHeight="true" outlineLevel="0" collapsed="false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</row>
    <row r="940" customFormat="false" ht="15.75" hidden="false" customHeight="true" outlineLevel="0" collapsed="false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</row>
    <row r="941" customFormat="false" ht="15.75" hidden="false" customHeight="true" outlineLevel="0" collapsed="false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</row>
    <row r="942" customFormat="false" ht="15.75" hidden="false" customHeight="true" outlineLevel="0" collapsed="false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</row>
    <row r="943" customFormat="false" ht="15.75" hidden="false" customHeight="true" outlineLevel="0" collapsed="false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</row>
    <row r="944" customFormat="false" ht="15.75" hidden="false" customHeight="true" outlineLevel="0" collapsed="false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</row>
    <row r="945" customFormat="false" ht="15.75" hidden="false" customHeight="true" outlineLevel="0" collapsed="false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</row>
    <row r="946" customFormat="false" ht="15.75" hidden="false" customHeight="true" outlineLevel="0" collapsed="false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</row>
    <row r="947" customFormat="false" ht="15.75" hidden="false" customHeight="true" outlineLevel="0" collapsed="false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</row>
    <row r="948" customFormat="false" ht="15.75" hidden="false" customHeight="true" outlineLevel="0" collapsed="false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</row>
    <row r="949" customFormat="false" ht="15.75" hidden="false" customHeight="true" outlineLevel="0" collapsed="false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</row>
    <row r="950" customFormat="false" ht="15.75" hidden="false" customHeight="true" outlineLevel="0" collapsed="false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</row>
    <row r="951" customFormat="false" ht="15.75" hidden="false" customHeight="true" outlineLevel="0" collapsed="false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</row>
    <row r="952" customFormat="false" ht="15.75" hidden="false" customHeight="true" outlineLevel="0" collapsed="false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</row>
    <row r="953" customFormat="false" ht="15.75" hidden="false" customHeight="true" outlineLevel="0" collapsed="false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</row>
    <row r="954" customFormat="false" ht="15.75" hidden="false" customHeight="true" outlineLevel="0" collapsed="false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</row>
    <row r="955" customFormat="false" ht="15.75" hidden="false" customHeight="true" outlineLevel="0" collapsed="false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</row>
    <row r="956" customFormat="false" ht="15.75" hidden="false" customHeight="true" outlineLevel="0" collapsed="false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</row>
    <row r="957" customFormat="false" ht="15.75" hidden="false" customHeight="true" outlineLevel="0" collapsed="false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</row>
    <row r="958" customFormat="false" ht="15.75" hidden="false" customHeight="true" outlineLevel="0" collapsed="false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</row>
    <row r="959" customFormat="false" ht="15.75" hidden="false" customHeight="true" outlineLevel="0" collapsed="false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</row>
    <row r="960" customFormat="false" ht="15.75" hidden="false" customHeight="true" outlineLevel="0" collapsed="false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</row>
    <row r="961" customFormat="false" ht="15.75" hidden="false" customHeight="true" outlineLevel="0" collapsed="false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</row>
    <row r="962" customFormat="false" ht="15.75" hidden="false" customHeight="true" outlineLevel="0" collapsed="false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</row>
    <row r="963" customFormat="false" ht="15.75" hidden="false" customHeight="true" outlineLevel="0" collapsed="false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</row>
    <row r="964" customFormat="false" ht="15.75" hidden="false" customHeight="true" outlineLevel="0" collapsed="false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</row>
    <row r="965" customFormat="false" ht="15.75" hidden="false" customHeight="true" outlineLevel="0" collapsed="false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</row>
    <row r="966" customFormat="false" ht="15.75" hidden="false" customHeight="true" outlineLevel="0" collapsed="false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</row>
    <row r="967" customFormat="false" ht="15.75" hidden="false" customHeight="true" outlineLevel="0" collapsed="false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</row>
    <row r="968" customFormat="false" ht="15.75" hidden="false" customHeight="true" outlineLevel="0" collapsed="false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</row>
    <row r="969" customFormat="false" ht="15.75" hidden="false" customHeight="true" outlineLevel="0" collapsed="false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</row>
    <row r="970" customFormat="false" ht="15.75" hidden="false" customHeight="true" outlineLevel="0" collapsed="false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</row>
    <row r="971" customFormat="false" ht="15.75" hidden="false" customHeight="true" outlineLevel="0" collapsed="false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</row>
    <row r="972" customFormat="false" ht="15.75" hidden="false" customHeight="true" outlineLevel="0" collapsed="false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</row>
    <row r="973" customFormat="false" ht="15.75" hidden="false" customHeight="true" outlineLevel="0" collapsed="false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</row>
    <row r="974" customFormat="false" ht="15.75" hidden="false" customHeight="true" outlineLevel="0" collapsed="false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</row>
    <row r="975" customFormat="false" ht="15.75" hidden="false" customHeight="true" outlineLevel="0" collapsed="false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</row>
    <row r="976" customFormat="false" ht="15.75" hidden="false" customHeight="true" outlineLevel="0" collapsed="false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</row>
    <row r="977" customFormat="false" ht="15.75" hidden="false" customHeight="true" outlineLevel="0" collapsed="false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</row>
    <row r="978" customFormat="false" ht="15.75" hidden="false" customHeight="true" outlineLevel="0" collapsed="false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</row>
    <row r="979" customFormat="false" ht="15.75" hidden="false" customHeight="true" outlineLevel="0" collapsed="false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</row>
    <row r="980" customFormat="false" ht="15.75" hidden="false" customHeight="true" outlineLevel="0" collapsed="false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</row>
    <row r="981" customFormat="false" ht="15.75" hidden="false" customHeight="true" outlineLevel="0" collapsed="false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</row>
    <row r="982" customFormat="false" ht="15.75" hidden="false" customHeight="true" outlineLevel="0" collapsed="false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</row>
    <row r="983" customFormat="false" ht="15.75" hidden="false" customHeight="true" outlineLevel="0" collapsed="false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</row>
    <row r="984" customFormat="false" ht="15.75" hidden="false" customHeight="true" outlineLevel="0" collapsed="false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</row>
    <row r="985" customFormat="false" ht="15.75" hidden="false" customHeight="true" outlineLevel="0" collapsed="false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</row>
    <row r="986" customFormat="false" ht="15.75" hidden="false" customHeight="true" outlineLevel="0" collapsed="false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</row>
    <row r="987" customFormat="false" ht="15.75" hidden="false" customHeight="true" outlineLevel="0" collapsed="false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</row>
    <row r="988" customFormat="false" ht="15.75" hidden="false" customHeight="true" outlineLevel="0" collapsed="false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</row>
    <row r="989" customFormat="false" ht="15.75" hidden="false" customHeight="true" outlineLevel="0" collapsed="false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</row>
    <row r="990" customFormat="false" ht="15.75" hidden="false" customHeight="true" outlineLevel="0" collapsed="false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</row>
    <row r="991" customFormat="false" ht="15.75" hidden="false" customHeight="true" outlineLevel="0" collapsed="false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</row>
    <row r="992" customFormat="false" ht="15.75" hidden="false" customHeight="true" outlineLevel="0" collapsed="false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</row>
    <row r="993" customFormat="false" ht="15.75" hidden="false" customHeight="true" outlineLevel="0" collapsed="false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</row>
    <row r="994" customFormat="false" ht="15.75" hidden="false" customHeight="true" outlineLevel="0" collapsed="false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</row>
    <row r="995" customFormat="false" ht="15.75" hidden="false" customHeight="true" outlineLevel="0" collapsed="false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</row>
    <row r="996" customFormat="false" ht="15.75" hidden="false" customHeight="true" outlineLevel="0" collapsed="false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</row>
    <row r="997" customFormat="false" ht="15.75" hidden="false" customHeight="true" outlineLevel="0" collapsed="false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</row>
    <row r="998" customFormat="false" ht="15.75" hidden="false" customHeight="true" outlineLevel="0" collapsed="false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</row>
    <row r="999" customFormat="false" ht="15.75" hidden="false" customHeight="true" outlineLevel="0" collapsed="false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</row>
    <row r="1000" customFormat="false" ht="15.75" hidden="false" customHeight="true" outlineLevel="0" collapsed="false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</row>
  </sheetData>
  <mergeCells count="16">
    <mergeCell ref="A1:O1"/>
    <mergeCell ref="A2:A3"/>
    <mergeCell ref="B2:B3"/>
    <mergeCell ref="C2:C3"/>
    <mergeCell ref="D2:D3"/>
    <mergeCell ref="E2:E3"/>
    <mergeCell ref="F2:F3"/>
    <mergeCell ref="G2:G3"/>
    <mergeCell ref="H2:J2"/>
    <mergeCell ref="K2:K3"/>
    <mergeCell ref="L2:M2"/>
    <mergeCell ref="N2:O2"/>
    <mergeCell ref="A4:O4"/>
    <mergeCell ref="A18:O18"/>
    <mergeCell ref="A36:O36"/>
    <mergeCell ref="A48:O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4.43"/>
    <col collapsed="false" customWidth="true" hidden="false" outlineLevel="0" max="2" min="2" style="0" width="9.43"/>
    <col collapsed="false" customWidth="true" hidden="false" outlineLevel="0" max="3" min="3" style="0" width="40.14"/>
    <col collapsed="false" customWidth="true" hidden="false" outlineLevel="0" max="4" min="4" style="0" width="10.85"/>
    <col collapsed="false" customWidth="true" hidden="false" outlineLevel="0" max="7" min="5" style="0" width="9.43"/>
    <col collapsed="false" customWidth="true" hidden="false" outlineLevel="0" max="8" min="8" style="0" width="10.85"/>
    <col collapsed="false" customWidth="true" hidden="false" outlineLevel="0" max="9" min="9" style="0" width="10.14"/>
    <col collapsed="false" customWidth="true" hidden="false" outlineLevel="0" max="10" min="10" style="0" width="11.57"/>
    <col collapsed="false" customWidth="true" hidden="false" outlineLevel="0" max="11" min="11" style="0" width="10.85"/>
    <col collapsed="false" customWidth="true" hidden="false" outlineLevel="0" max="12" min="12" style="0" width="13"/>
    <col collapsed="false" customWidth="true" hidden="false" outlineLevel="0" max="26" min="13" style="0" width="8.71"/>
  </cols>
  <sheetData>
    <row r="1" customFormat="false" ht="15" hidden="false" customHeight="true" outlineLevel="0" collapsed="false">
      <c r="A1" s="71" t="s">
        <v>208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customFormat="false" ht="15" hidden="false" customHeight="true" outlineLevel="0" collapsed="false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customFormat="false" ht="23.25" hidden="false" customHeight="true" outlineLevel="0" collapsed="false">
      <c r="A3" s="73" t="s">
        <v>100</v>
      </c>
      <c r="B3" s="74" t="s">
        <v>102</v>
      </c>
      <c r="C3" s="74" t="s">
        <v>103</v>
      </c>
      <c r="D3" s="73" t="s">
        <v>209</v>
      </c>
      <c r="E3" s="73" t="s">
        <v>210</v>
      </c>
      <c r="F3" s="73" t="s">
        <v>211</v>
      </c>
      <c r="G3" s="73" t="s">
        <v>212</v>
      </c>
      <c r="H3" s="73" t="s">
        <v>213</v>
      </c>
      <c r="I3" s="73" t="s">
        <v>214</v>
      </c>
      <c r="J3" s="73" t="s">
        <v>215</v>
      </c>
      <c r="K3" s="73" t="s">
        <v>216</v>
      </c>
      <c r="L3" s="73" t="s">
        <v>217</v>
      </c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customFormat="false" ht="27.75" hidden="false" customHeight="true" outlineLevel="0" collapsed="false">
      <c r="A4" s="75" t="s">
        <v>117</v>
      </c>
      <c r="B4" s="76"/>
      <c r="C4" s="76"/>
      <c r="D4" s="77"/>
      <c r="E4" s="77"/>
      <c r="F4" s="77"/>
      <c r="G4" s="77"/>
      <c r="H4" s="77"/>
      <c r="I4" s="78"/>
      <c r="J4" s="78"/>
      <c r="K4" s="78"/>
      <c r="L4" s="78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customFormat="false" ht="15" hidden="false" customHeight="true" outlineLevel="0" collapsed="false">
      <c r="A5" s="79" t="s">
        <v>118</v>
      </c>
      <c r="B5" s="79" t="s">
        <v>119</v>
      </c>
      <c r="C5" s="79" t="s">
        <v>120</v>
      </c>
      <c r="D5" s="80" t="n">
        <f aca="false">'Divisão dos Circuitos'!K5</f>
        <v>10.8402203856749</v>
      </c>
      <c r="E5" s="51" t="n">
        <v>1</v>
      </c>
      <c r="F5" s="51" t="n">
        <v>1</v>
      </c>
      <c r="G5" s="51" t="n">
        <v>1</v>
      </c>
      <c r="H5" s="51" t="n">
        <f aca="false">D5/(E5*G5)</f>
        <v>10.8402203856749</v>
      </c>
      <c r="I5" s="50" t="s">
        <v>218</v>
      </c>
      <c r="J5" s="50" t="s">
        <v>219</v>
      </c>
      <c r="K5" s="50" t="n">
        <v>2</v>
      </c>
      <c r="L5" s="50" t="n">
        <v>1.5</v>
      </c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customFormat="false" ht="15" hidden="false" customHeight="true" outlineLevel="0" collapsed="false">
      <c r="A6" s="79" t="s">
        <v>121</v>
      </c>
      <c r="B6" s="79" t="s">
        <v>119</v>
      </c>
      <c r="C6" s="79" t="s">
        <v>122</v>
      </c>
      <c r="D6" s="80" t="n">
        <f aca="false">'Divisão dos Circuitos'!K6</f>
        <v>10.9090909090909</v>
      </c>
      <c r="E6" s="51" t="n">
        <v>1</v>
      </c>
      <c r="F6" s="51" t="n">
        <v>1</v>
      </c>
      <c r="G6" s="51" t="n">
        <v>1</v>
      </c>
      <c r="H6" s="51" t="n">
        <f aca="false">D6/(E6*G6)</f>
        <v>10.9090909090909</v>
      </c>
      <c r="I6" s="50" t="s">
        <v>218</v>
      </c>
      <c r="J6" s="50" t="s">
        <v>219</v>
      </c>
      <c r="K6" s="50" t="n">
        <v>2</v>
      </c>
      <c r="L6" s="50" t="n">
        <v>2.5</v>
      </c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customFormat="false" ht="15" hidden="false" customHeight="true" outlineLevel="0" collapsed="false">
      <c r="A7" s="79" t="s">
        <v>123</v>
      </c>
      <c r="B7" s="79" t="s">
        <v>119</v>
      </c>
      <c r="C7" s="79" t="s">
        <v>124</v>
      </c>
      <c r="D7" s="80" t="n">
        <f aca="false">'Divisão dos Circuitos'!K7</f>
        <v>8.18181818181818</v>
      </c>
      <c r="E7" s="51" t="n">
        <v>1</v>
      </c>
      <c r="F7" s="51" t="n">
        <v>1</v>
      </c>
      <c r="G7" s="51" t="n">
        <v>1</v>
      </c>
      <c r="H7" s="51" t="n">
        <f aca="false">D7/(E7*G7)</f>
        <v>8.18181818181818</v>
      </c>
      <c r="I7" s="50" t="s">
        <v>218</v>
      </c>
      <c r="J7" s="50" t="s">
        <v>219</v>
      </c>
      <c r="K7" s="50" t="n">
        <v>2</v>
      </c>
      <c r="L7" s="50" t="n">
        <v>2.5</v>
      </c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customFormat="false" ht="15" hidden="false" customHeight="true" outlineLevel="0" collapsed="false">
      <c r="A8" s="79" t="s">
        <v>125</v>
      </c>
      <c r="B8" s="79" t="s">
        <v>119</v>
      </c>
      <c r="C8" s="79" t="s">
        <v>126</v>
      </c>
      <c r="D8" s="80" t="n">
        <f aca="false">'Divisão dos Circuitos'!K8</f>
        <v>10.9090909090909</v>
      </c>
      <c r="E8" s="51" t="n">
        <v>1</v>
      </c>
      <c r="F8" s="51" t="n">
        <v>1</v>
      </c>
      <c r="G8" s="51" t="n">
        <v>1</v>
      </c>
      <c r="H8" s="51" t="n">
        <f aca="false">D8/(E8*G8)</f>
        <v>10.9090909090909</v>
      </c>
      <c r="I8" s="50" t="s">
        <v>218</v>
      </c>
      <c r="J8" s="50" t="s">
        <v>219</v>
      </c>
      <c r="K8" s="50" t="n">
        <v>2</v>
      </c>
      <c r="L8" s="50" t="n">
        <v>2.5</v>
      </c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customFormat="false" ht="15" hidden="false" customHeight="true" outlineLevel="0" collapsed="false">
      <c r="A9" s="79" t="s">
        <v>127</v>
      </c>
      <c r="B9" s="79" t="s">
        <v>119</v>
      </c>
      <c r="C9" s="79" t="s">
        <v>128</v>
      </c>
      <c r="D9" s="80" t="n">
        <f aca="false">'Divisão dos Circuitos'!K9</f>
        <v>8.18181818181818</v>
      </c>
      <c r="E9" s="51" t="n">
        <v>1</v>
      </c>
      <c r="F9" s="51" t="n">
        <v>1</v>
      </c>
      <c r="G9" s="51" t="n">
        <v>1</v>
      </c>
      <c r="H9" s="51" t="n">
        <f aca="false">D9/(E9*G9)</f>
        <v>8.18181818181818</v>
      </c>
      <c r="I9" s="50" t="s">
        <v>218</v>
      </c>
      <c r="J9" s="50" t="s">
        <v>219</v>
      </c>
      <c r="K9" s="50" t="n">
        <v>2</v>
      </c>
      <c r="L9" s="50" t="n">
        <v>2.5</v>
      </c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customFormat="false" ht="15" hidden="false" customHeight="true" outlineLevel="0" collapsed="false">
      <c r="A10" s="79" t="s">
        <v>129</v>
      </c>
      <c r="B10" s="79" t="s">
        <v>119</v>
      </c>
      <c r="C10" s="79" t="s">
        <v>122</v>
      </c>
      <c r="D10" s="80" t="n">
        <f aca="false">'Divisão dos Circuitos'!K10</f>
        <v>18.2321137638829</v>
      </c>
      <c r="E10" s="51" t="n">
        <v>1</v>
      </c>
      <c r="F10" s="51" t="n">
        <v>1</v>
      </c>
      <c r="G10" s="51" t="n">
        <v>1</v>
      </c>
      <c r="H10" s="51" t="n">
        <f aca="false">D10/(E10*G10)</f>
        <v>18.2321137638829</v>
      </c>
      <c r="I10" s="50" t="s">
        <v>218</v>
      </c>
      <c r="J10" s="50" t="s">
        <v>219</v>
      </c>
      <c r="K10" s="50" t="n">
        <v>3</v>
      </c>
      <c r="L10" s="50" t="n">
        <v>2.5</v>
      </c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customFormat="false" ht="15" hidden="false" customHeight="true" outlineLevel="0" collapsed="false">
      <c r="A11" s="79" t="s">
        <v>130</v>
      </c>
      <c r="B11" s="79" t="s">
        <v>119</v>
      </c>
      <c r="C11" s="79" t="s">
        <v>126</v>
      </c>
      <c r="D11" s="80" t="n">
        <f aca="false">'Divisão dos Circuitos'!K11</f>
        <v>18.2321137638829</v>
      </c>
      <c r="E11" s="51" t="n">
        <v>1</v>
      </c>
      <c r="F11" s="51" t="n">
        <v>1</v>
      </c>
      <c r="G11" s="51" t="n">
        <v>1</v>
      </c>
      <c r="H11" s="51" t="n">
        <f aca="false">D11/(E11*G11)</f>
        <v>18.2321137638829</v>
      </c>
      <c r="I11" s="50" t="s">
        <v>218</v>
      </c>
      <c r="J11" s="50" t="s">
        <v>219</v>
      </c>
      <c r="K11" s="50" t="n">
        <v>3</v>
      </c>
      <c r="L11" s="50" t="n">
        <v>2.5</v>
      </c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customFormat="false" ht="15" hidden="false" customHeight="true" outlineLevel="0" collapsed="false">
      <c r="A12" s="79" t="s">
        <v>131</v>
      </c>
      <c r="B12" s="79" t="s">
        <v>119</v>
      </c>
      <c r="C12" s="79" t="s">
        <v>124</v>
      </c>
      <c r="D12" s="80" t="n">
        <f aca="false">'Divisão dos Circuitos'!K12</f>
        <v>18.2321137638829</v>
      </c>
      <c r="E12" s="51" t="n">
        <v>1</v>
      </c>
      <c r="F12" s="51" t="n">
        <v>1</v>
      </c>
      <c r="G12" s="51" t="n">
        <v>1</v>
      </c>
      <c r="H12" s="51" t="n">
        <f aca="false">D12/(E12*G12)</f>
        <v>18.2321137638829</v>
      </c>
      <c r="I12" s="50" t="s">
        <v>218</v>
      </c>
      <c r="J12" s="50" t="s">
        <v>219</v>
      </c>
      <c r="K12" s="50" t="n">
        <v>3</v>
      </c>
      <c r="L12" s="50" t="n">
        <v>2.5</v>
      </c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customFormat="false" ht="15" hidden="false" customHeight="true" outlineLevel="0" collapsed="false">
      <c r="A13" s="79" t="s">
        <v>132</v>
      </c>
      <c r="B13" s="79" t="s">
        <v>119</v>
      </c>
      <c r="C13" s="79" t="s">
        <v>128</v>
      </c>
      <c r="D13" s="80" t="n">
        <f aca="false">'Divisão dos Circuitos'!K13</f>
        <v>18.2321137638829</v>
      </c>
      <c r="E13" s="51" t="n">
        <v>1</v>
      </c>
      <c r="F13" s="51" t="n">
        <v>1</v>
      </c>
      <c r="G13" s="51" t="n">
        <v>1</v>
      </c>
      <c r="H13" s="51" t="n">
        <f aca="false">D13/(E13*G13)</f>
        <v>18.2321137638829</v>
      </c>
      <c r="I13" s="50" t="s">
        <v>218</v>
      </c>
      <c r="J13" s="50" t="s">
        <v>219</v>
      </c>
      <c r="K13" s="50" t="n">
        <v>3</v>
      </c>
      <c r="L13" s="50" t="n">
        <v>2.5</v>
      </c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customFormat="false" ht="15" hidden="false" customHeight="true" outlineLevel="0" collapsed="false">
      <c r="A14" s="79" t="s">
        <v>133</v>
      </c>
      <c r="B14" s="79" t="s">
        <v>119</v>
      </c>
      <c r="C14" s="79" t="s">
        <v>134</v>
      </c>
      <c r="D14" s="80" t="n">
        <f aca="false">'Divisão dos Circuitos'!K14</f>
        <v>13.6363636363636</v>
      </c>
      <c r="E14" s="51" t="n">
        <v>1</v>
      </c>
      <c r="F14" s="51" t="n">
        <v>1</v>
      </c>
      <c r="G14" s="51" t="n">
        <v>1</v>
      </c>
      <c r="H14" s="51" t="n">
        <f aca="false">D14/(E14*G14)</f>
        <v>13.6363636363636</v>
      </c>
      <c r="I14" s="50" t="s">
        <v>218</v>
      </c>
      <c r="J14" s="50" t="s">
        <v>219</v>
      </c>
      <c r="K14" s="50" t="n">
        <v>2</v>
      </c>
      <c r="L14" s="50" t="n">
        <v>2.5</v>
      </c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customFormat="false" ht="15" hidden="false" customHeight="true" outlineLevel="0" collapsed="false">
      <c r="A15" s="79" t="s">
        <v>135</v>
      </c>
      <c r="B15" s="79" t="s">
        <v>119</v>
      </c>
      <c r="C15" s="79" t="s">
        <v>136</v>
      </c>
      <c r="D15" s="80" t="n">
        <f aca="false">'Divisão dos Circuitos'!K15</f>
        <v>10</v>
      </c>
      <c r="E15" s="51" t="n">
        <v>1</v>
      </c>
      <c r="F15" s="51" t="n">
        <v>1</v>
      </c>
      <c r="G15" s="51" t="n">
        <v>1</v>
      </c>
      <c r="H15" s="51" t="n">
        <f aca="false">D15/(E15*G15)</f>
        <v>10</v>
      </c>
      <c r="I15" s="50" t="s">
        <v>218</v>
      </c>
      <c r="J15" s="50" t="s">
        <v>219</v>
      </c>
      <c r="K15" s="50" t="n">
        <v>2</v>
      </c>
      <c r="L15" s="50" t="n">
        <v>2.5</v>
      </c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customFormat="false" ht="15" hidden="false" customHeight="true" outlineLevel="0" collapsed="false">
      <c r="A16" s="79" t="s">
        <v>137</v>
      </c>
      <c r="B16" s="79" t="s">
        <v>119</v>
      </c>
      <c r="C16" s="79" t="s">
        <v>138</v>
      </c>
      <c r="D16" s="80" t="n">
        <f aca="false">'Divisão dos Circuitos'!K16</f>
        <v>9.09090909090909</v>
      </c>
      <c r="E16" s="51" t="n">
        <v>1</v>
      </c>
      <c r="F16" s="51" t="n">
        <v>1</v>
      </c>
      <c r="G16" s="51" t="n">
        <v>1</v>
      </c>
      <c r="H16" s="51" t="n">
        <f aca="false">D16/(E16*G16)</f>
        <v>9.09090909090909</v>
      </c>
      <c r="I16" s="50" t="s">
        <v>218</v>
      </c>
      <c r="J16" s="50" t="s">
        <v>219</v>
      </c>
      <c r="K16" s="50" t="n">
        <v>2</v>
      </c>
      <c r="L16" s="50" t="n">
        <v>2.5</v>
      </c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customFormat="false" ht="15" hidden="false" customHeight="true" outlineLevel="0" collapsed="false">
      <c r="A17" s="79" t="s">
        <v>139</v>
      </c>
      <c r="B17" s="79" t="s">
        <v>119</v>
      </c>
      <c r="C17" s="79" t="s">
        <v>140</v>
      </c>
      <c r="D17" s="80" t="n">
        <f aca="false">'Divisão dos Circuitos'!K17</f>
        <v>15.4545454545455</v>
      </c>
      <c r="E17" s="51" t="n">
        <v>1</v>
      </c>
      <c r="F17" s="51" t="n">
        <v>1</v>
      </c>
      <c r="G17" s="51" t="n">
        <v>1</v>
      </c>
      <c r="H17" s="51" t="n">
        <f aca="false">D17/(E17*G17)</f>
        <v>15.4545454545455</v>
      </c>
      <c r="I17" s="50" t="s">
        <v>218</v>
      </c>
      <c r="J17" s="50" t="s">
        <v>219</v>
      </c>
      <c r="K17" s="50" t="n">
        <v>2</v>
      </c>
      <c r="L17" s="50" t="n">
        <v>2.5</v>
      </c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customFormat="false" ht="15" hidden="false" customHeight="true" outlineLevel="0" collapsed="false">
      <c r="A18" s="78" t="s">
        <v>141</v>
      </c>
      <c r="B18" s="78"/>
      <c r="C18" s="78"/>
      <c r="D18" s="77"/>
      <c r="E18" s="77"/>
      <c r="F18" s="77"/>
      <c r="G18" s="77"/>
      <c r="H18" s="77"/>
      <c r="I18" s="78"/>
      <c r="J18" s="78"/>
      <c r="K18" s="78"/>
      <c r="L18" s="78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customFormat="false" ht="15" hidden="false" customHeight="true" outlineLevel="0" collapsed="false">
      <c r="A19" s="79" t="s">
        <v>142</v>
      </c>
      <c r="B19" s="79" t="s">
        <v>143</v>
      </c>
      <c r="C19" s="79" t="s">
        <v>144</v>
      </c>
      <c r="D19" s="80" t="n">
        <f aca="false">'Divisão dos Circuitos'!K19</f>
        <v>8.87235996326905</v>
      </c>
      <c r="E19" s="51" t="n">
        <v>1</v>
      </c>
      <c r="F19" s="51" t="n">
        <v>3</v>
      </c>
      <c r="G19" s="51" t="n">
        <v>0.7</v>
      </c>
      <c r="H19" s="51" t="n">
        <f aca="false">D19/(E19*G19)</f>
        <v>12.6747999475272</v>
      </c>
      <c r="I19" s="50" t="s">
        <v>218</v>
      </c>
      <c r="J19" s="50" t="s">
        <v>219</v>
      </c>
      <c r="K19" s="50" t="n">
        <v>2</v>
      </c>
      <c r="L19" s="50" t="n">
        <v>1.5</v>
      </c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customFormat="false" ht="15.75" hidden="false" customHeight="true" outlineLevel="0" collapsed="false">
      <c r="A20" s="79" t="s">
        <v>145</v>
      </c>
      <c r="B20" s="79" t="s">
        <v>143</v>
      </c>
      <c r="C20" s="79" t="s">
        <v>53</v>
      </c>
      <c r="D20" s="80" t="n">
        <f aca="false">'Divisão dos Circuitos'!K20</f>
        <v>7.58815426997245</v>
      </c>
      <c r="E20" s="51" t="n">
        <v>1</v>
      </c>
      <c r="F20" s="51" t="n">
        <v>1</v>
      </c>
      <c r="G20" s="51" t="n">
        <v>1</v>
      </c>
      <c r="H20" s="51" t="n">
        <f aca="false">D20/(E20*G20)</f>
        <v>7.58815426997245</v>
      </c>
      <c r="I20" s="50" t="s">
        <v>218</v>
      </c>
      <c r="J20" s="50" t="s">
        <v>219</v>
      </c>
      <c r="K20" s="50" t="n">
        <v>2</v>
      </c>
      <c r="L20" s="50" t="n">
        <v>1.5</v>
      </c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customFormat="false" ht="15" hidden="false" customHeight="true" outlineLevel="0" collapsed="false">
      <c r="A21" s="79" t="s">
        <v>146</v>
      </c>
      <c r="B21" s="79" t="s">
        <v>143</v>
      </c>
      <c r="C21" s="79" t="s">
        <v>147</v>
      </c>
      <c r="D21" s="80" t="n">
        <f aca="false">'Divisão dos Circuitos'!K21</f>
        <v>5.45454545454545</v>
      </c>
      <c r="E21" s="51" t="n">
        <v>1</v>
      </c>
      <c r="F21" s="51" t="n">
        <v>3</v>
      </c>
      <c r="G21" s="51" t="n">
        <v>0.7</v>
      </c>
      <c r="H21" s="51" t="n">
        <f aca="false">D21/(E21*G21)</f>
        <v>7.79220779220779</v>
      </c>
      <c r="I21" s="50" t="s">
        <v>220</v>
      </c>
      <c r="J21" s="50" t="s">
        <v>219</v>
      </c>
      <c r="K21" s="50" t="n">
        <v>2</v>
      </c>
      <c r="L21" s="50" t="n">
        <v>2.5</v>
      </c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customFormat="false" ht="15" hidden="false" customHeight="true" outlineLevel="0" collapsed="false">
      <c r="A22" s="79" t="s">
        <v>148</v>
      </c>
      <c r="B22" s="79" t="s">
        <v>143</v>
      </c>
      <c r="C22" s="79" t="s">
        <v>149</v>
      </c>
      <c r="D22" s="80" t="n">
        <f aca="false">'Divisão dos Circuitos'!K22</f>
        <v>10.9090909090909</v>
      </c>
      <c r="E22" s="51" t="n">
        <v>1</v>
      </c>
      <c r="F22" s="51" t="n">
        <v>1</v>
      </c>
      <c r="G22" s="51" t="n">
        <v>1</v>
      </c>
      <c r="H22" s="51" t="n">
        <f aca="false">D22/(E22*G22)</f>
        <v>10.9090909090909</v>
      </c>
      <c r="I22" s="50" t="s">
        <v>218</v>
      </c>
      <c r="J22" s="50" t="s">
        <v>219</v>
      </c>
      <c r="K22" s="50" t="n">
        <v>2</v>
      </c>
      <c r="L22" s="50" t="n">
        <v>2.5</v>
      </c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customFormat="false" ht="15" hidden="false" customHeight="true" outlineLevel="0" collapsed="false">
      <c r="A23" s="79" t="s">
        <v>150</v>
      </c>
      <c r="B23" s="79" t="s">
        <v>143</v>
      </c>
      <c r="C23" s="79" t="s">
        <v>151</v>
      </c>
      <c r="D23" s="80" t="n">
        <f aca="false">'Divisão dos Circuitos'!K23</f>
        <v>8.18181818181818</v>
      </c>
      <c r="E23" s="51" t="n">
        <v>1</v>
      </c>
      <c r="F23" s="51" t="n">
        <v>1</v>
      </c>
      <c r="G23" s="51" t="n">
        <v>1</v>
      </c>
      <c r="H23" s="51" t="n">
        <f aca="false">D23/(E23*G23)</f>
        <v>8.18181818181818</v>
      </c>
      <c r="I23" s="50" t="s">
        <v>218</v>
      </c>
      <c r="J23" s="50" t="s">
        <v>219</v>
      </c>
      <c r="K23" s="50" t="n">
        <v>2</v>
      </c>
      <c r="L23" s="50" t="n">
        <v>2.5</v>
      </c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customFormat="false" ht="15" hidden="false" customHeight="true" outlineLevel="0" collapsed="false">
      <c r="A24" s="79" t="s">
        <v>152</v>
      </c>
      <c r="B24" s="79" t="s">
        <v>143</v>
      </c>
      <c r="C24" s="79" t="s">
        <v>153</v>
      </c>
      <c r="D24" s="80" t="n">
        <f aca="false">'Divisão dos Circuitos'!K24</f>
        <v>10.9090909090909</v>
      </c>
      <c r="E24" s="51" t="n">
        <v>1</v>
      </c>
      <c r="F24" s="51" t="n">
        <v>1</v>
      </c>
      <c r="G24" s="51" t="n">
        <v>1</v>
      </c>
      <c r="H24" s="51" t="n">
        <f aca="false">D24/(E24*G24)</f>
        <v>10.9090909090909</v>
      </c>
      <c r="I24" s="50" t="s">
        <v>218</v>
      </c>
      <c r="J24" s="50" t="s">
        <v>219</v>
      </c>
      <c r="K24" s="50" t="n">
        <v>2</v>
      </c>
      <c r="L24" s="50" t="n">
        <v>2.5</v>
      </c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customFormat="false" ht="15" hidden="false" customHeight="true" outlineLevel="0" collapsed="false">
      <c r="A25" s="79" t="s">
        <v>154</v>
      </c>
      <c r="B25" s="79" t="s">
        <v>143</v>
      </c>
      <c r="C25" s="79" t="s">
        <v>155</v>
      </c>
      <c r="D25" s="80" t="n">
        <f aca="false">'Divisão dos Circuitos'!K25</f>
        <v>8.18181818181818</v>
      </c>
      <c r="E25" s="51" t="n">
        <v>1</v>
      </c>
      <c r="F25" s="51" t="n">
        <v>1</v>
      </c>
      <c r="G25" s="51" t="n">
        <v>1</v>
      </c>
      <c r="H25" s="51" t="n">
        <f aca="false">D25/(E25*G25)</f>
        <v>8.18181818181818</v>
      </c>
      <c r="I25" s="50" t="s">
        <v>218</v>
      </c>
      <c r="J25" s="50" t="s">
        <v>219</v>
      </c>
      <c r="K25" s="50" t="n">
        <v>2</v>
      </c>
      <c r="L25" s="50" t="n">
        <v>2.5</v>
      </c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customFormat="false" ht="15.75" hidden="false" customHeight="true" outlineLevel="0" collapsed="false">
      <c r="A26" s="79" t="s">
        <v>156</v>
      </c>
      <c r="B26" s="79" t="s">
        <v>143</v>
      </c>
      <c r="C26" s="79" t="s">
        <v>157</v>
      </c>
      <c r="D26" s="80" t="n">
        <f aca="false">'Divisão dos Circuitos'!K26</f>
        <v>8.18181818181818</v>
      </c>
      <c r="E26" s="51" t="n">
        <v>1</v>
      </c>
      <c r="F26" s="51" t="n">
        <v>1</v>
      </c>
      <c r="G26" s="51" t="n">
        <v>1</v>
      </c>
      <c r="H26" s="51" t="n">
        <f aca="false">D26/(E26*G26)</f>
        <v>8.18181818181818</v>
      </c>
      <c r="I26" s="50" t="s">
        <v>218</v>
      </c>
      <c r="J26" s="50" t="s">
        <v>219</v>
      </c>
      <c r="K26" s="50" t="n">
        <v>2</v>
      </c>
      <c r="L26" s="50" t="n">
        <v>2.5</v>
      </c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customFormat="false" ht="15.75" hidden="false" customHeight="true" outlineLevel="0" collapsed="false">
      <c r="A27" s="79" t="s">
        <v>158</v>
      </c>
      <c r="B27" s="79" t="s">
        <v>143</v>
      </c>
      <c r="C27" s="79" t="s">
        <v>159</v>
      </c>
      <c r="D27" s="80" t="n">
        <f aca="false">'Divisão dos Circuitos'!K27</f>
        <v>8.18181818181818</v>
      </c>
      <c r="E27" s="51" t="n">
        <v>1</v>
      </c>
      <c r="F27" s="51" t="n">
        <v>1</v>
      </c>
      <c r="G27" s="51" t="n">
        <v>1</v>
      </c>
      <c r="H27" s="51" t="n">
        <f aca="false">D27/(E27*G27)</f>
        <v>8.18181818181818</v>
      </c>
      <c r="I27" s="50" t="s">
        <v>218</v>
      </c>
      <c r="J27" s="50" t="s">
        <v>219</v>
      </c>
      <c r="K27" s="50" t="n">
        <v>2</v>
      </c>
      <c r="L27" s="50" t="n">
        <v>2.5</v>
      </c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customFormat="false" ht="15" hidden="false" customHeight="true" outlineLevel="0" collapsed="false">
      <c r="A28" s="79" t="s">
        <v>160</v>
      </c>
      <c r="B28" s="79" t="s">
        <v>143</v>
      </c>
      <c r="C28" s="79" t="s">
        <v>149</v>
      </c>
      <c r="D28" s="80" t="n">
        <f aca="false">'Divisão dos Circuitos'!K28</f>
        <v>18.2321137638829</v>
      </c>
      <c r="E28" s="51" t="n">
        <v>1</v>
      </c>
      <c r="F28" s="51" t="n">
        <v>1</v>
      </c>
      <c r="G28" s="51" t="n">
        <v>1</v>
      </c>
      <c r="H28" s="51" t="n">
        <f aca="false">D28/(E28*G28)</f>
        <v>18.2321137638829</v>
      </c>
      <c r="I28" s="50" t="s">
        <v>218</v>
      </c>
      <c r="J28" s="50" t="s">
        <v>219</v>
      </c>
      <c r="K28" s="50" t="n">
        <v>3</v>
      </c>
      <c r="L28" s="50" t="n">
        <v>2.5</v>
      </c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customFormat="false" ht="15" hidden="false" customHeight="true" outlineLevel="0" collapsed="false">
      <c r="A29" s="79" t="s">
        <v>161</v>
      </c>
      <c r="B29" s="79" t="s">
        <v>143</v>
      </c>
      <c r="C29" s="79" t="s">
        <v>151</v>
      </c>
      <c r="D29" s="80" t="n">
        <f aca="false">'Divisão dos Circuitos'!K29</f>
        <v>18.2321137638829</v>
      </c>
      <c r="E29" s="51" t="n">
        <v>1</v>
      </c>
      <c r="F29" s="51" t="n">
        <v>1</v>
      </c>
      <c r="G29" s="51" t="n">
        <v>1</v>
      </c>
      <c r="H29" s="51" t="n">
        <f aca="false">D29/(E29*G29)</f>
        <v>18.2321137638829</v>
      </c>
      <c r="I29" s="50" t="s">
        <v>218</v>
      </c>
      <c r="J29" s="50" t="s">
        <v>219</v>
      </c>
      <c r="K29" s="50" t="n">
        <v>3</v>
      </c>
      <c r="L29" s="50" t="n">
        <v>2.5</v>
      </c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customFormat="false" ht="15.75" hidden="false" customHeight="true" outlineLevel="0" collapsed="false">
      <c r="A30" s="79" t="s">
        <v>162</v>
      </c>
      <c r="B30" s="79" t="s">
        <v>143</v>
      </c>
      <c r="C30" s="79" t="s">
        <v>153</v>
      </c>
      <c r="D30" s="80" t="n">
        <f aca="false">'Divisão dos Circuitos'!K30</f>
        <v>18.2321137638829</v>
      </c>
      <c r="E30" s="51" t="n">
        <v>1</v>
      </c>
      <c r="F30" s="51" t="n">
        <v>1</v>
      </c>
      <c r="G30" s="51" t="n">
        <v>1</v>
      </c>
      <c r="H30" s="51" t="n">
        <f aca="false">D30/(E30*G30)</f>
        <v>18.2321137638829</v>
      </c>
      <c r="I30" s="50" t="s">
        <v>218</v>
      </c>
      <c r="J30" s="50" t="s">
        <v>219</v>
      </c>
      <c r="K30" s="50" t="n">
        <v>3</v>
      </c>
      <c r="L30" s="50" t="n">
        <v>2.5</v>
      </c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customFormat="false" ht="15.75" hidden="false" customHeight="true" outlineLevel="0" collapsed="false">
      <c r="A31" s="79" t="s">
        <v>163</v>
      </c>
      <c r="B31" s="79" t="s">
        <v>143</v>
      </c>
      <c r="C31" s="79" t="s">
        <v>53</v>
      </c>
      <c r="D31" s="80" t="n">
        <f aca="false">'Divisão dos Circuitos'!K31</f>
        <v>27.3481706458244</v>
      </c>
      <c r="E31" s="51" t="n">
        <v>1</v>
      </c>
      <c r="F31" s="51" t="n">
        <v>1</v>
      </c>
      <c r="G31" s="51" t="n">
        <v>1</v>
      </c>
      <c r="H31" s="51" t="n">
        <f aca="false">D31/(E31*G31)</f>
        <v>27.3481706458244</v>
      </c>
      <c r="I31" s="50" t="s">
        <v>218</v>
      </c>
      <c r="J31" s="50" t="s">
        <v>219</v>
      </c>
      <c r="K31" s="50" t="n">
        <v>3</v>
      </c>
      <c r="L31" s="50" t="n">
        <v>6</v>
      </c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customFormat="false" ht="15.75" hidden="false" customHeight="true" outlineLevel="0" collapsed="false">
      <c r="A32" s="79" t="s">
        <v>164</v>
      </c>
      <c r="B32" s="79" t="s">
        <v>143</v>
      </c>
      <c r="C32" s="79" t="s">
        <v>165</v>
      </c>
      <c r="D32" s="80" t="n">
        <f aca="false">'Divisão dos Circuitos'!K32</f>
        <v>13.9146567717996</v>
      </c>
      <c r="E32" s="51" t="n">
        <v>1</v>
      </c>
      <c r="F32" s="51" t="n">
        <v>3</v>
      </c>
      <c r="G32" s="51" t="n">
        <v>0.7</v>
      </c>
      <c r="H32" s="51" t="n">
        <f aca="false">D32/(E32*G32)</f>
        <v>19.8780811025709</v>
      </c>
      <c r="I32" s="50" t="s">
        <v>220</v>
      </c>
      <c r="J32" s="50" t="s">
        <v>219</v>
      </c>
      <c r="K32" s="50" t="n">
        <v>2</v>
      </c>
      <c r="L32" s="50" t="n">
        <v>2.5</v>
      </c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customFormat="false" ht="15.75" hidden="false" customHeight="true" outlineLevel="0" collapsed="false">
      <c r="A33" s="79" t="s">
        <v>166</v>
      </c>
      <c r="B33" s="79" t="s">
        <v>143</v>
      </c>
      <c r="C33" s="79" t="s">
        <v>155</v>
      </c>
      <c r="D33" s="80" t="n">
        <f aca="false">'Divisão dos Circuitos'!K33</f>
        <v>18.2321137638829</v>
      </c>
      <c r="E33" s="51" t="n">
        <v>1</v>
      </c>
      <c r="F33" s="51" t="n">
        <v>1</v>
      </c>
      <c r="G33" s="51" t="n">
        <v>1</v>
      </c>
      <c r="H33" s="51" t="n">
        <f aca="false">D33/(E33*G33)</f>
        <v>18.2321137638829</v>
      </c>
      <c r="I33" s="50" t="s">
        <v>218</v>
      </c>
      <c r="J33" s="50" t="s">
        <v>219</v>
      </c>
      <c r="K33" s="50" t="n">
        <v>3</v>
      </c>
      <c r="L33" s="50" t="n">
        <v>2.5</v>
      </c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customFormat="false" ht="15.75" hidden="false" customHeight="true" outlineLevel="0" collapsed="false">
      <c r="A34" s="79" t="s">
        <v>167</v>
      </c>
      <c r="B34" s="79" t="s">
        <v>143</v>
      </c>
      <c r="C34" s="79" t="s">
        <v>90</v>
      </c>
      <c r="D34" s="80" t="n">
        <f aca="false">'Divisão dos Circuitos'!K34</f>
        <v>12.7272727272727</v>
      </c>
      <c r="E34" s="51" t="n">
        <v>1</v>
      </c>
      <c r="F34" s="51" t="n">
        <v>1</v>
      </c>
      <c r="G34" s="51" t="n">
        <v>1</v>
      </c>
      <c r="H34" s="51" t="n">
        <f aca="false">D34/(E34*G34)</f>
        <v>12.7272727272727</v>
      </c>
      <c r="I34" s="50" t="s">
        <v>218</v>
      </c>
      <c r="J34" s="50" t="s">
        <v>219</v>
      </c>
      <c r="K34" s="50" t="n">
        <v>2</v>
      </c>
      <c r="L34" s="50" t="n">
        <v>2.5</v>
      </c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customFormat="false" ht="15.75" hidden="false" customHeight="true" outlineLevel="0" collapsed="false">
      <c r="A35" s="79" t="s">
        <v>168</v>
      </c>
      <c r="B35" s="79" t="s">
        <v>143</v>
      </c>
      <c r="C35" s="79" t="s">
        <v>91</v>
      </c>
      <c r="D35" s="80" t="n">
        <f aca="false">'Divisão dos Circuitos'!K35</f>
        <v>17.8947368421053</v>
      </c>
      <c r="E35" s="51" t="n">
        <v>1</v>
      </c>
      <c r="F35" s="51" t="n">
        <v>1</v>
      </c>
      <c r="G35" s="51" t="n">
        <v>1</v>
      </c>
      <c r="H35" s="51" t="n">
        <f aca="false">D35/(E35*G35)</f>
        <v>17.8947368421053</v>
      </c>
      <c r="I35" s="50" t="s">
        <v>218</v>
      </c>
      <c r="J35" s="50" t="s">
        <v>219</v>
      </c>
      <c r="K35" s="50" t="n">
        <v>2</v>
      </c>
      <c r="L35" s="50" t="n">
        <v>2.5</v>
      </c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customFormat="false" ht="15.75" hidden="false" customHeight="true" outlineLevel="0" collapsed="false">
      <c r="A36" s="78" t="s">
        <v>169</v>
      </c>
      <c r="B36" s="78"/>
      <c r="C36" s="78"/>
      <c r="D36" s="77"/>
      <c r="E36" s="77"/>
      <c r="F36" s="77"/>
      <c r="G36" s="77"/>
      <c r="H36" s="77"/>
      <c r="I36" s="78"/>
      <c r="J36" s="78"/>
      <c r="K36" s="78"/>
      <c r="L36" s="78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customFormat="false" ht="15.75" hidden="false" customHeight="true" outlineLevel="0" collapsed="false">
      <c r="A37" s="79" t="s">
        <v>170</v>
      </c>
      <c r="B37" s="79" t="s">
        <v>171</v>
      </c>
      <c r="C37" s="79" t="s">
        <v>172</v>
      </c>
      <c r="D37" s="80" t="n">
        <f aca="false">'Divisão dos Circuitos'!K37</f>
        <v>8.90909090909091</v>
      </c>
      <c r="E37" s="51" t="n">
        <v>1</v>
      </c>
      <c r="F37" s="51" t="n">
        <v>3</v>
      </c>
      <c r="G37" s="51" t="n">
        <v>0.7</v>
      </c>
      <c r="H37" s="51" t="n">
        <f aca="false">D37/(E37*G37)</f>
        <v>12.7272727272727</v>
      </c>
      <c r="I37" s="50" t="s">
        <v>220</v>
      </c>
      <c r="J37" s="50" t="s">
        <v>219</v>
      </c>
      <c r="K37" s="50" t="n">
        <v>2</v>
      </c>
      <c r="L37" s="50" t="n">
        <v>1.5</v>
      </c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customFormat="false" ht="15.75" hidden="false" customHeight="true" outlineLevel="0" collapsed="false">
      <c r="A38" s="79" t="s">
        <v>173</v>
      </c>
      <c r="B38" s="79" t="s">
        <v>171</v>
      </c>
      <c r="C38" s="79" t="s">
        <v>61</v>
      </c>
      <c r="D38" s="80" t="n">
        <f aca="false">'Divisão dos Circuitos'!K38</f>
        <v>9.09090909090909</v>
      </c>
      <c r="E38" s="51" t="n">
        <v>1</v>
      </c>
      <c r="F38" s="51" t="n">
        <v>2</v>
      </c>
      <c r="G38" s="51" t="n">
        <v>0.8</v>
      </c>
      <c r="H38" s="51" t="n">
        <f aca="false">D38/(E38*G38)</f>
        <v>11.3636363636364</v>
      </c>
      <c r="I38" s="50" t="s">
        <v>220</v>
      </c>
      <c r="J38" s="50" t="s">
        <v>219</v>
      </c>
      <c r="K38" s="50" t="n">
        <v>2</v>
      </c>
      <c r="L38" s="50" t="n">
        <v>2.5</v>
      </c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customFormat="false" ht="15.75" hidden="false" customHeight="true" outlineLevel="0" collapsed="false">
      <c r="A39" s="79" t="s">
        <v>174</v>
      </c>
      <c r="B39" s="79" t="s">
        <v>171</v>
      </c>
      <c r="C39" s="79" t="s">
        <v>175</v>
      </c>
      <c r="D39" s="80" t="n">
        <f aca="false">'Divisão dos Circuitos'!K39</f>
        <v>5.45454545454545</v>
      </c>
      <c r="E39" s="51" t="n">
        <v>1</v>
      </c>
      <c r="F39" s="51" t="n">
        <v>3</v>
      </c>
      <c r="G39" s="51" t="n">
        <v>0.7</v>
      </c>
      <c r="H39" s="51" t="n">
        <f aca="false">D39/(E39*G39)</f>
        <v>7.79220779220779</v>
      </c>
      <c r="I39" s="50" t="s">
        <v>220</v>
      </c>
      <c r="J39" s="50" t="s">
        <v>219</v>
      </c>
      <c r="K39" s="50" t="n">
        <v>2</v>
      </c>
      <c r="L39" s="50" t="n">
        <v>2.5</v>
      </c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customFormat="false" ht="15.75" hidden="false" customHeight="true" outlineLevel="0" collapsed="false">
      <c r="A40" s="79" t="s">
        <v>176</v>
      </c>
      <c r="B40" s="79" t="s">
        <v>171</v>
      </c>
      <c r="C40" s="79" t="s">
        <v>177</v>
      </c>
      <c r="D40" s="80" t="n">
        <f aca="false">'Divisão dos Circuitos'!K40</f>
        <v>13.1818181818182</v>
      </c>
      <c r="E40" s="51" t="n">
        <v>1</v>
      </c>
      <c r="F40" s="51" t="n">
        <v>3</v>
      </c>
      <c r="G40" s="51" t="n">
        <v>0.7</v>
      </c>
      <c r="H40" s="51" t="n">
        <f aca="false">D40/(E40*G40)</f>
        <v>18.8311688311688</v>
      </c>
      <c r="I40" s="50" t="s">
        <v>220</v>
      </c>
      <c r="J40" s="50" t="s">
        <v>219</v>
      </c>
      <c r="K40" s="50" t="n">
        <v>2</v>
      </c>
      <c r="L40" s="50" t="n">
        <v>2.5</v>
      </c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customFormat="false" ht="15.75" hidden="false" customHeight="true" outlineLevel="0" collapsed="false">
      <c r="A41" s="79" t="s">
        <v>178</v>
      </c>
      <c r="B41" s="79" t="s">
        <v>171</v>
      </c>
      <c r="C41" s="79" t="s">
        <v>179</v>
      </c>
      <c r="D41" s="80" t="n">
        <f aca="false">'Divisão dos Circuitos'!K41</f>
        <v>6.36363636363636</v>
      </c>
      <c r="E41" s="51" t="n">
        <v>1</v>
      </c>
      <c r="F41" s="51" t="n">
        <v>3</v>
      </c>
      <c r="G41" s="51" t="n">
        <v>0.7</v>
      </c>
      <c r="H41" s="51" t="n">
        <f aca="false">D41/(E41*G41)</f>
        <v>9.09090909090909</v>
      </c>
      <c r="I41" s="50" t="s">
        <v>220</v>
      </c>
      <c r="J41" s="50" t="s">
        <v>219</v>
      </c>
      <c r="K41" s="50" t="n">
        <v>2</v>
      </c>
      <c r="L41" s="50" t="n">
        <v>2.5</v>
      </c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customFormat="false" ht="15.75" hidden="false" customHeight="true" outlineLevel="0" collapsed="false">
      <c r="A42" s="79" t="s">
        <v>180</v>
      </c>
      <c r="B42" s="79" t="s">
        <v>171</v>
      </c>
      <c r="C42" s="79" t="s">
        <v>181</v>
      </c>
      <c r="D42" s="80" t="n">
        <f aca="false">'Divisão dos Circuitos'!K42</f>
        <v>13.9146567717996</v>
      </c>
      <c r="E42" s="51" t="n">
        <v>1</v>
      </c>
      <c r="F42" s="51" t="n">
        <v>3</v>
      </c>
      <c r="G42" s="51" t="n">
        <v>0.7</v>
      </c>
      <c r="H42" s="51" t="n">
        <f aca="false">D42/(E42*G42)</f>
        <v>19.8780811025709</v>
      </c>
      <c r="I42" s="50" t="s">
        <v>220</v>
      </c>
      <c r="J42" s="50" t="s">
        <v>219</v>
      </c>
      <c r="K42" s="50" t="n">
        <v>2</v>
      </c>
      <c r="L42" s="50" t="n">
        <v>2.5</v>
      </c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customFormat="false" ht="15.75" hidden="false" customHeight="true" outlineLevel="0" collapsed="false">
      <c r="A43" s="79" t="s">
        <v>182</v>
      </c>
      <c r="B43" s="79" t="s">
        <v>171</v>
      </c>
      <c r="C43" s="79" t="s">
        <v>183</v>
      </c>
      <c r="D43" s="80" t="n">
        <f aca="false">'Divisão dos Circuitos'!K43</f>
        <v>9.38735177865613</v>
      </c>
      <c r="E43" s="51" t="n">
        <v>1</v>
      </c>
      <c r="F43" s="51" t="n">
        <v>3</v>
      </c>
      <c r="G43" s="51" t="n">
        <v>0.7</v>
      </c>
      <c r="H43" s="51" t="n">
        <f aca="false">D43/(E43*G43)</f>
        <v>13.4105025409373</v>
      </c>
      <c r="I43" s="50" t="s">
        <v>220</v>
      </c>
      <c r="J43" s="50" t="s">
        <v>219</v>
      </c>
      <c r="K43" s="50" t="n">
        <v>2</v>
      </c>
      <c r="L43" s="50" t="n">
        <v>2.5</v>
      </c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customFormat="false" ht="15.75" hidden="false" customHeight="true" outlineLevel="0" collapsed="false">
      <c r="A44" s="79" t="s">
        <v>184</v>
      </c>
      <c r="B44" s="79" t="s">
        <v>171</v>
      </c>
      <c r="C44" s="79" t="s">
        <v>185</v>
      </c>
      <c r="D44" s="80" t="n">
        <f aca="false">'Divisão dos Circuitos'!K44</f>
        <v>12.3517786561265</v>
      </c>
      <c r="E44" s="51" t="n">
        <v>1</v>
      </c>
      <c r="F44" s="51" t="n">
        <v>3</v>
      </c>
      <c r="G44" s="51" t="n">
        <v>0.7</v>
      </c>
      <c r="H44" s="51" t="n">
        <f aca="false">D44/(E44*G44)</f>
        <v>17.6453980801807</v>
      </c>
      <c r="I44" s="50" t="s">
        <v>220</v>
      </c>
      <c r="J44" s="50" t="s">
        <v>219</v>
      </c>
      <c r="K44" s="50" t="n">
        <v>2</v>
      </c>
      <c r="L44" s="50" t="n">
        <v>2.5</v>
      </c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customFormat="false" ht="15.75" hidden="false" customHeight="true" outlineLevel="0" collapsed="false">
      <c r="A45" s="79" t="s">
        <v>186</v>
      </c>
      <c r="B45" s="79" t="s">
        <v>171</v>
      </c>
      <c r="C45" s="79" t="s">
        <v>187</v>
      </c>
      <c r="D45" s="80" t="n">
        <f aca="false">'Divisão dos Circuitos'!K45</f>
        <v>6.91699604743083</v>
      </c>
      <c r="E45" s="51" t="n">
        <v>1</v>
      </c>
      <c r="F45" s="51" t="n">
        <v>3</v>
      </c>
      <c r="G45" s="51" t="n">
        <v>0.7</v>
      </c>
      <c r="H45" s="51" t="n">
        <f aca="false">D45/(E45*G45)</f>
        <v>9.88142292490119</v>
      </c>
      <c r="I45" s="50" t="s">
        <v>220</v>
      </c>
      <c r="J45" s="50" t="s">
        <v>219</v>
      </c>
      <c r="K45" s="50" t="n">
        <v>2</v>
      </c>
      <c r="L45" s="50" t="n">
        <v>2.5</v>
      </c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customFormat="false" ht="15.75" hidden="false" customHeight="true" outlineLevel="0" collapsed="false">
      <c r="A46" s="79" t="s">
        <v>188</v>
      </c>
      <c r="B46" s="79" t="s">
        <v>171</v>
      </c>
      <c r="C46" s="79" t="s">
        <v>189</v>
      </c>
      <c r="D46" s="80" t="n">
        <f aca="false">'Divisão dos Circuitos'!K46</f>
        <v>7.72727272727273</v>
      </c>
      <c r="E46" s="51" t="n">
        <v>1</v>
      </c>
      <c r="F46" s="51" t="n">
        <v>3</v>
      </c>
      <c r="G46" s="51" t="n">
        <v>0.7</v>
      </c>
      <c r="H46" s="51" t="n">
        <f aca="false">D46/(E46*G46)</f>
        <v>11.038961038961</v>
      </c>
      <c r="I46" s="50" t="s">
        <v>220</v>
      </c>
      <c r="J46" s="50" t="s">
        <v>219</v>
      </c>
      <c r="K46" s="50" t="n">
        <v>2</v>
      </c>
      <c r="L46" s="50" t="n">
        <v>2.5</v>
      </c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customFormat="false" ht="15.75" hidden="false" customHeight="true" outlineLevel="0" collapsed="false">
      <c r="A47" s="79" t="s">
        <v>190</v>
      </c>
      <c r="B47" s="79" t="s">
        <v>171</v>
      </c>
      <c r="C47" s="79" t="s">
        <v>191</v>
      </c>
      <c r="D47" s="80" t="n">
        <f aca="false">'Divisão dos Circuitos'!K47</f>
        <v>6.63636363636364</v>
      </c>
      <c r="E47" s="51" t="n">
        <v>1</v>
      </c>
      <c r="F47" s="51" t="n">
        <v>3</v>
      </c>
      <c r="G47" s="51" t="n">
        <v>0.7</v>
      </c>
      <c r="H47" s="51" t="n">
        <f aca="false">D47/(E47*G47)</f>
        <v>9.48051948051948</v>
      </c>
      <c r="I47" s="50" t="s">
        <v>220</v>
      </c>
      <c r="J47" s="50" t="s">
        <v>219</v>
      </c>
      <c r="K47" s="50" t="n">
        <v>2</v>
      </c>
      <c r="L47" s="50" t="n">
        <v>1.5</v>
      </c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customFormat="false" ht="15.75" hidden="false" customHeight="true" outlineLevel="0" collapsed="false">
      <c r="A48" s="78" t="s">
        <v>192</v>
      </c>
      <c r="B48" s="78"/>
      <c r="C48" s="78"/>
      <c r="D48" s="77"/>
      <c r="E48" s="77"/>
      <c r="F48" s="77"/>
      <c r="G48" s="77"/>
      <c r="H48" s="77"/>
      <c r="I48" s="78"/>
      <c r="J48" s="78"/>
      <c r="K48" s="78"/>
      <c r="L48" s="78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customFormat="false" ht="15.75" hidden="false" customHeight="true" outlineLevel="0" collapsed="false">
      <c r="A49" s="79" t="s">
        <v>193</v>
      </c>
      <c r="B49" s="79" t="s">
        <v>194</v>
      </c>
      <c r="C49" s="79" t="s">
        <v>195</v>
      </c>
      <c r="D49" s="80" t="n">
        <f aca="false">'Divisão dos Circuitos'!K49</f>
        <v>10.9090909090909</v>
      </c>
      <c r="E49" s="51" t="n">
        <v>1</v>
      </c>
      <c r="F49" s="51" t="n">
        <v>3</v>
      </c>
      <c r="G49" s="51" t="n">
        <v>0.7</v>
      </c>
      <c r="H49" s="51" t="n">
        <f aca="false">D49/(E49*G49)</f>
        <v>15.5844155844156</v>
      </c>
      <c r="I49" s="50" t="s">
        <v>220</v>
      </c>
      <c r="J49" s="50" t="s">
        <v>219</v>
      </c>
      <c r="K49" s="50" t="n">
        <v>2</v>
      </c>
      <c r="L49" s="50" t="n">
        <v>2.5</v>
      </c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customFormat="false" ht="15.75" hidden="false" customHeight="true" outlineLevel="0" collapsed="false">
      <c r="A50" s="79" t="s">
        <v>196</v>
      </c>
      <c r="B50" s="79" t="s">
        <v>194</v>
      </c>
      <c r="C50" s="79" t="s">
        <v>197</v>
      </c>
      <c r="D50" s="80" t="n">
        <f aca="false">'Divisão dos Circuitos'!K50</f>
        <v>11.8181818181818</v>
      </c>
      <c r="E50" s="51" t="n">
        <v>1</v>
      </c>
      <c r="F50" s="51" t="n">
        <v>3</v>
      </c>
      <c r="G50" s="51" t="n">
        <v>0.7</v>
      </c>
      <c r="H50" s="51" t="n">
        <f aca="false">D50/(E50*G50)</f>
        <v>16.8831168831169</v>
      </c>
      <c r="I50" s="50" t="s">
        <v>220</v>
      </c>
      <c r="J50" s="50" t="s">
        <v>219</v>
      </c>
      <c r="K50" s="50" t="n">
        <v>2</v>
      </c>
      <c r="L50" s="50" t="n">
        <v>2.5</v>
      </c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customFormat="false" ht="15.75" hidden="false" customHeight="true" outlineLevel="0" collapsed="false">
      <c r="A51" s="79" t="s">
        <v>198</v>
      </c>
      <c r="B51" s="79" t="s">
        <v>194</v>
      </c>
      <c r="C51" s="79" t="s">
        <v>70</v>
      </c>
      <c r="D51" s="80" t="n">
        <f aca="false">'Divisão dos Circuitos'!K51</f>
        <v>27.2727272727273</v>
      </c>
      <c r="E51" s="51" t="n">
        <v>1</v>
      </c>
      <c r="F51" s="51" t="n">
        <v>3</v>
      </c>
      <c r="G51" s="51" t="n">
        <v>0.7</v>
      </c>
      <c r="H51" s="51" t="n">
        <f aca="false">D51/(E51*G51)</f>
        <v>38.961038961039</v>
      </c>
      <c r="I51" s="50" t="s">
        <v>220</v>
      </c>
      <c r="J51" s="50" t="s">
        <v>219</v>
      </c>
      <c r="K51" s="50" t="n">
        <v>2</v>
      </c>
      <c r="L51" s="50" t="n">
        <v>10</v>
      </c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customFormat="false" ht="15.75" hidden="false" customHeight="true" outlineLevel="0" collapsed="false">
      <c r="A52" s="79" t="s">
        <v>199</v>
      </c>
      <c r="B52" s="79" t="s">
        <v>194</v>
      </c>
      <c r="C52" s="79" t="s">
        <v>74</v>
      </c>
      <c r="D52" s="80" t="n">
        <f aca="false">'Divisão dos Circuitos'!K52</f>
        <v>27.2727272727273</v>
      </c>
      <c r="E52" s="51" t="n">
        <v>1</v>
      </c>
      <c r="F52" s="51" t="n">
        <v>3</v>
      </c>
      <c r="G52" s="51" t="n">
        <v>0.7</v>
      </c>
      <c r="H52" s="51" t="n">
        <f aca="false">D52/(E52*G52)</f>
        <v>38.961038961039</v>
      </c>
      <c r="I52" s="50" t="s">
        <v>220</v>
      </c>
      <c r="J52" s="50" t="s">
        <v>219</v>
      </c>
      <c r="K52" s="50" t="n">
        <v>2</v>
      </c>
      <c r="L52" s="50" t="n">
        <v>10</v>
      </c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customFormat="false" ht="15.75" hidden="false" customHeight="true" outlineLevel="0" collapsed="false">
      <c r="A53" s="79" t="s">
        <v>200</v>
      </c>
      <c r="B53" s="79" t="s">
        <v>194</v>
      </c>
      <c r="C53" s="79" t="s">
        <v>201</v>
      </c>
      <c r="D53" s="80" t="n">
        <f aca="false">'Divisão dos Circuitos'!K53</f>
        <v>9.38735177865613</v>
      </c>
      <c r="E53" s="51" t="n">
        <v>1</v>
      </c>
      <c r="F53" s="51" t="n">
        <v>3</v>
      </c>
      <c r="G53" s="51" t="n">
        <v>0.7</v>
      </c>
      <c r="H53" s="51" t="n">
        <f aca="false">D53/(E53*G53)</f>
        <v>13.4105025409373</v>
      </c>
      <c r="I53" s="50" t="s">
        <v>220</v>
      </c>
      <c r="J53" s="50" t="s">
        <v>219</v>
      </c>
      <c r="K53" s="50" t="n">
        <v>2</v>
      </c>
      <c r="L53" s="50" t="n">
        <v>2.5</v>
      </c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customFormat="false" ht="15.75" hidden="false" customHeight="true" outlineLevel="0" collapsed="false">
      <c r="A54" s="79" t="s">
        <v>202</v>
      </c>
      <c r="B54" s="79" t="s">
        <v>194</v>
      </c>
      <c r="C54" s="79" t="s">
        <v>203</v>
      </c>
      <c r="D54" s="80" t="n">
        <f aca="false">'Divisão dos Circuitos'!K54</f>
        <v>6.91699604743083</v>
      </c>
      <c r="E54" s="51" t="n">
        <v>1</v>
      </c>
      <c r="F54" s="51" t="n">
        <v>2</v>
      </c>
      <c r="G54" s="51" t="n">
        <v>0.8</v>
      </c>
      <c r="H54" s="51" t="n">
        <f aca="false">D54/(E54*G54)</f>
        <v>8.64624505928854</v>
      </c>
      <c r="I54" s="50" t="s">
        <v>220</v>
      </c>
      <c r="J54" s="50" t="s">
        <v>219</v>
      </c>
      <c r="K54" s="50" t="n">
        <v>2</v>
      </c>
      <c r="L54" s="50" t="n">
        <v>2.5</v>
      </c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customFormat="false" ht="15.75" hidden="false" customHeight="true" outlineLevel="0" collapsed="false">
      <c r="A55" s="79" t="s">
        <v>204</v>
      </c>
      <c r="B55" s="79" t="s">
        <v>194</v>
      </c>
      <c r="C55" s="79" t="s">
        <v>205</v>
      </c>
      <c r="D55" s="80" t="n">
        <f aca="false">'Divisão dos Circuitos'!K55</f>
        <v>6.91699604743083</v>
      </c>
      <c r="E55" s="51" t="n">
        <v>1</v>
      </c>
      <c r="F55" s="51" t="n">
        <v>3</v>
      </c>
      <c r="G55" s="51" t="n">
        <v>0.7</v>
      </c>
      <c r="H55" s="51" t="n">
        <f aca="false">D55/(E55*G55)</f>
        <v>9.88142292490119</v>
      </c>
      <c r="I55" s="50" t="s">
        <v>220</v>
      </c>
      <c r="J55" s="50" t="s">
        <v>219</v>
      </c>
      <c r="K55" s="50" t="n">
        <v>2</v>
      </c>
      <c r="L55" s="50" t="n">
        <v>2.5</v>
      </c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customFormat="false" ht="15.75" hidden="false" customHeight="true" outlineLevel="0" collapsed="false">
      <c r="A56" s="79" t="s">
        <v>206</v>
      </c>
      <c r="B56" s="79" t="s">
        <v>194</v>
      </c>
      <c r="C56" s="79" t="s">
        <v>207</v>
      </c>
      <c r="D56" s="80" t="n">
        <f aca="false">'Divisão dos Circuitos'!K56</f>
        <v>15</v>
      </c>
      <c r="E56" s="51" t="n">
        <v>1</v>
      </c>
      <c r="F56" s="51" t="n">
        <v>3</v>
      </c>
      <c r="G56" s="51" t="n">
        <v>0.7</v>
      </c>
      <c r="H56" s="51" t="n">
        <f aca="false">D56/(E56*G56)</f>
        <v>21.4285714285714</v>
      </c>
      <c r="I56" s="50" t="s">
        <v>220</v>
      </c>
      <c r="J56" s="50" t="s">
        <v>219</v>
      </c>
      <c r="K56" s="50" t="n">
        <v>2</v>
      </c>
      <c r="L56" s="50" t="n">
        <v>2.5</v>
      </c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customFormat="false" ht="15.75" hidden="false" customHeight="true" outlineLevel="0" collapsed="false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customFormat="false" ht="15.75" hidden="false" customHeight="true" outlineLevel="0" collapsed="false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customFormat="false" ht="15.75" hidden="false" customHeight="true" outlineLevel="0" collapsed="false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customFormat="false" ht="15.75" hidden="false" customHeight="true" outlineLevel="0" collapsed="false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customFormat="false" ht="15.75" hidden="false" customHeight="true" outlineLevel="0" collapsed="false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customFormat="false" ht="15.75" hidden="false" customHeight="true" outlineLevel="0" collapsed="false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customFormat="false" ht="15.75" hidden="false" customHeight="true" outlineLevel="0" collapsed="false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customFormat="false" ht="15.75" hidden="false" customHeight="true" outlineLevel="0" collapsed="false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customFormat="false" ht="15.75" hidden="false" customHeight="true" outlineLevel="0" collapsed="false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customFormat="false" ht="15.75" hidden="false" customHeight="true" outlineLevel="0" collapsed="false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customFormat="false" ht="15.75" hidden="false" customHeight="true" outlineLevel="0" collapsed="false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customFormat="false" ht="15.75" hidden="false" customHeight="true" outlineLevel="0" collapsed="false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customFormat="false" ht="15.75" hidden="false" customHeight="true" outlineLevel="0" collapsed="false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customFormat="false" ht="15.75" hidden="false" customHeight="true" outlineLevel="0" collapsed="false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customFormat="false" ht="15.75" hidden="false" customHeight="true" outlineLevel="0" collapsed="false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customFormat="false" ht="15.75" hidden="false" customHeight="true" outlineLevel="0" collapsed="false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customFormat="false" ht="15.75" hidden="false" customHeight="true" outlineLevel="0" collapsed="false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customFormat="false" ht="15.75" hidden="false" customHeight="true" outlineLevel="0" collapsed="false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customFormat="false" ht="15.75" hidden="false" customHeight="true" outlineLevel="0" collapsed="false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customFormat="false" ht="15.75" hidden="false" customHeight="true" outlineLevel="0" collapsed="false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customFormat="false" ht="15.75" hidden="false" customHeight="true" outlineLevel="0" collapsed="false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customFormat="false" ht="15.75" hidden="false" customHeight="true" outlineLevel="0" collapsed="false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customFormat="false" ht="15.75" hidden="false" customHeight="true" outlineLevel="0" collapsed="false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customFormat="false" ht="15.75" hidden="false" customHeight="true" outlineLevel="0" collapsed="false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customFormat="false" ht="15.75" hidden="false" customHeight="true" outlineLevel="0" collapsed="false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customFormat="false" ht="15.75" hidden="false" customHeight="true" outlineLevel="0" collapsed="false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customFormat="false" ht="15.75" hidden="false" customHeight="true" outlineLevel="0" collapsed="false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customFormat="false" ht="15.75" hidden="false" customHeight="true" outlineLevel="0" collapsed="false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customFormat="false" ht="15.75" hidden="false" customHeight="true" outlineLevel="0" collapsed="false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customFormat="false" ht="15.75" hidden="false" customHeight="true" outlineLevel="0" collapsed="false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customFormat="false" ht="15.75" hidden="false" customHeight="true" outlineLevel="0" collapsed="false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customFormat="false" ht="15.75" hidden="false" customHeight="true" outlineLevel="0" collapsed="false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customFormat="false" ht="15.75" hidden="false" customHeight="true" outlineLevel="0" collapsed="false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customFormat="false" ht="15.75" hidden="false" customHeight="true" outlineLevel="0" collapsed="false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customFormat="false" ht="15.75" hidden="false" customHeight="true" outlineLevel="0" collapsed="false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customFormat="false" ht="15.75" hidden="false" customHeight="true" outlineLevel="0" collapsed="false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customFormat="false" ht="15.75" hidden="false" customHeight="true" outlineLevel="0" collapsed="false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customFormat="false" ht="15.75" hidden="false" customHeight="true" outlineLevel="0" collapsed="false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customFormat="false" ht="15.75" hidden="false" customHeight="true" outlineLevel="0" collapsed="false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customFormat="false" ht="15.75" hidden="false" customHeight="true" outlineLevel="0" collapsed="false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customFormat="false" ht="15.75" hidden="false" customHeight="true" outlineLevel="0" collapsed="false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customFormat="false" ht="15.75" hidden="false" customHeight="true" outlineLevel="0" collapsed="false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customFormat="false" ht="15.75" hidden="false" customHeight="true" outlineLevel="0" collapsed="false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customFormat="false" ht="15.75" hidden="false" customHeight="true" outlineLevel="0" collapsed="false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customFormat="false" ht="15.75" hidden="false" customHeight="true" outlineLevel="0" collapsed="false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customFormat="false" ht="15.75" hidden="false" customHeight="true" outlineLevel="0" collapsed="false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customFormat="false" ht="15.75" hidden="false" customHeight="true" outlineLevel="0" collapsed="false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customFormat="false" ht="15.75" hidden="false" customHeight="true" outlineLevel="0" collapsed="false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customFormat="false" ht="15.75" hidden="false" customHeight="true" outlineLevel="0" collapsed="false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customFormat="false" ht="15.75" hidden="false" customHeight="true" outlineLevel="0" collapsed="false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customFormat="false" ht="15.75" hidden="false" customHeight="true" outlineLevel="0" collapsed="false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customFormat="false" ht="15.75" hidden="false" customHeight="true" outlineLevel="0" collapsed="false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customFormat="false" ht="15.75" hidden="false" customHeight="true" outlineLevel="0" collapsed="false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customFormat="false" ht="15.75" hidden="false" customHeight="true" outlineLevel="0" collapsed="false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customFormat="false" ht="15.75" hidden="false" customHeight="true" outlineLevel="0" collapsed="false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customFormat="false" ht="15.75" hidden="false" customHeight="true" outlineLevel="0" collapsed="false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customFormat="false" ht="15.75" hidden="false" customHeight="true" outlineLevel="0" collapsed="false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customFormat="false" ht="15.75" hidden="false" customHeight="true" outlineLevel="0" collapsed="false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customFormat="false" ht="15.75" hidden="false" customHeight="true" outlineLevel="0" collapsed="false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customFormat="false" ht="15.75" hidden="false" customHeight="true" outlineLevel="0" collapsed="false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customFormat="false" ht="15.75" hidden="false" customHeight="true" outlineLevel="0" collapsed="false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customFormat="false" ht="15.75" hidden="false" customHeight="true" outlineLevel="0" collapsed="false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customFormat="false" ht="15.75" hidden="false" customHeight="true" outlineLevel="0" collapsed="false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customFormat="false" ht="15.75" hidden="false" customHeight="true" outlineLevel="0" collapsed="false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customFormat="false" ht="15.75" hidden="false" customHeight="true" outlineLevel="0" collapsed="false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customFormat="false" ht="15.75" hidden="false" customHeight="true" outlineLevel="0" collapsed="false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customFormat="false" ht="15.75" hidden="false" customHeight="true" outlineLevel="0" collapsed="false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customFormat="false" ht="15.75" hidden="false" customHeight="true" outlineLevel="0" collapsed="false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customFormat="false" ht="15.75" hidden="false" customHeight="true" outlineLevel="0" collapsed="false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customFormat="false" ht="15.75" hidden="false" customHeight="true" outlineLevel="0" collapsed="false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customFormat="false" ht="15.75" hidden="false" customHeight="true" outlineLevel="0" collapsed="false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customFormat="false" ht="15.75" hidden="false" customHeight="true" outlineLevel="0" collapsed="false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customFormat="false" ht="15.75" hidden="false" customHeight="true" outlineLevel="0" collapsed="false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customFormat="false" ht="15.75" hidden="false" customHeight="true" outlineLevel="0" collapsed="false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customFormat="false" ht="15.75" hidden="false" customHeight="true" outlineLevel="0" collapsed="false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customFormat="false" ht="15.75" hidden="false" customHeight="true" outlineLevel="0" collapsed="false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customFormat="false" ht="15.75" hidden="false" customHeight="true" outlineLevel="0" collapsed="false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customFormat="false" ht="15.75" hidden="false" customHeight="true" outlineLevel="0" collapsed="false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customFormat="false" ht="15.75" hidden="false" customHeight="true" outlineLevel="0" collapsed="false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customFormat="false" ht="15.75" hidden="false" customHeight="true" outlineLevel="0" collapsed="false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customFormat="false" ht="15.75" hidden="false" customHeight="true" outlineLevel="0" collapsed="false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customFormat="false" ht="15.75" hidden="false" customHeight="true" outlineLevel="0" collapsed="false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customFormat="false" ht="15.75" hidden="false" customHeight="true" outlineLevel="0" collapsed="false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customFormat="false" ht="15.75" hidden="false" customHeight="true" outlineLevel="0" collapsed="false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customFormat="false" ht="15.75" hidden="false" customHeight="true" outlineLevel="0" collapsed="false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customFormat="false" ht="15.75" hidden="false" customHeight="true" outlineLevel="0" collapsed="false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customFormat="false" ht="15.75" hidden="false" customHeight="true" outlineLevel="0" collapsed="false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customFormat="false" ht="15.75" hidden="false" customHeight="true" outlineLevel="0" collapsed="false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customFormat="false" ht="15.75" hidden="false" customHeight="true" outlineLevel="0" collapsed="false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customFormat="false" ht="15.75" hidden="false" customHeight="true" outlineLevel="0" collapsed="false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customFormat="false" ht="15.75" hidden="false" customHeight="true" outlineLevel="0" collapsed="false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customFormat="false" ht="15.75" hidden="false" customHeight="true" outlineLevel="0" collapsed="false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customFormat="false" ht="15.75" hidden="false" customHeight="true" outlineLevel="0" collapsed="false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customFormat="false" ht="15.75" hidden="false" customHeight="true" outlineLevel="0" collapsed="false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customFormat="false" ht="15.75" hidden="false" customHeight="true" outlineLevel="0" collapsed="false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customFormat="false" ht="15.75" hidden="false" customHeight="true" outlineLevel="0" collapsed="false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customFormat="false" ht="15.75" hidden="false" customHeight="true" outlineLevel="0" collapsed="false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customFormat="false" ht="15.75" hidden="false" customHeight="true" outlineLevel="0" collapsed="false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customFormat="false" ht="15.75" hidden="false" customHeight="true" outlineLevel="0" collapsed="false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customFormat="false" ht="15.75" hidden="false" customHeight="true" outlineLevel="0" collapsed="false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customFormat="false" ht="15.75" hidden="false" customHeight="true" outlineLevel="0" collapsed="false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customFormat="false" ht="15.75" hidden="false" customHeight="true" outlineLevel="0" collapsed="false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customFormat="false" ht="15.75" hidden="false" customHeight="true" outlineLevel="0" collapsed="false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customFormat="false" ht="15.75" hidden="false" customHeight="true" outlineLevel="0" collapsed="false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customFormat="false" ht="15.75" hidden="false" customHeight="true" outlineLevel="0" collapsed="false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customFormat="false" ht="15.75" hidden="false" customHeight="true" outlineLevel="0" collapsed="false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customFormat="false" ht="15.75" hidden="false" customHeight="true" outlineLevel="0" collapsed="false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customFormat="false" ht="15.75" hidden="false" customHeight="true" outlineLevel="0" collapsed="false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customFormat="false" ht="15.75" hidden="false" customHeight="true" outlineLevel="0" collapsed="false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customFormat="false" ht="15.75" hidden="false" customHeight="true" outlineLevel="0" collapsed="false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customFormat="false" ht="15.75" hidden="false" customHeight="true" outlineLevel="0" collapsed="false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customFormat="false" ht="15.75" hidden="false" customHeight="true" outlineLevel="0" collapsed="false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customFormat="false" ht="15.75" hidden="false" customHeight="true" outlineLevel="0" collapsed="false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customFormat="false" ht="15.75" hidden="false" customHeight="true" outlineLevel="0" collapsed="false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customFormat="false" ht="15.75" hidden="false" customHeight="true" outlineLevel="0" collapsed="false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customFormat="false" ht="15.75" hidden="false" customHeight="true" outlineLevel="0" collapsed="false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customFormat="false" ht="15.75" hidden="false" customHeight="true" outlineLevel="0" collapsed="false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customFormat="false" ht="15.75" hidden="false" customHeight="true" outlineLevel="0" collapsed="false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customFormat="false" ht="15.75" hidden="false" customHeight="true" outlineLevel="0" collapsed="false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customFormat="false" ht="15.75" hidden="false" customHeight="true" outlineLevel="0" collapsed="false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customFormat="false" ht="15.75" hidden="false" customHeight="true" outlineLevel="0" collapsed="false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customFormat="false" ht="15.75" hidden="false" customHeight="true" outlineLevel="0" collapsed="false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customFormat="false" ht="15.75" hidden="false" customHeight="true" outlineLevel="0" collapsed="false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customFormat="false" ht="15.75" hidden="false" customHeight="true" outlineLevel="0" collapsed="false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customFormat="false" ht="15.75" hidden="false" customHeight="true" outlineLevel="0" collapsed="false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customFormat="false" ht="15.75" hidden="false" customHeight="true" outlineLevel="0" collapsed="false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customFormat="false" ht="15.75" hidden="false" customHeight="true" outlineLevel="0" collapsed="false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customFormat="false" ht="15.75" hidden="false" customHeight="true" outlineLevel="0" collapsed="false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customFormat="false" ht="15.75" hidden="false" customHeight="true" outlineLevel="0" collapsed="false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customFormat="false" ht="15.75" hidden="false" customHeight="true" outlineLevel="0" collapsed="false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customFormat="false" ht="15.75" hidden="false" customHeight="true" outlineLevel="0" collapsed="false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customFormat="false" ht="15.75" hidden="false" customHeight="true" outlineLevel="0" collapsed="false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customFormat="false" ht="15.75" hidden="false" customHeight="true" outlineLevel="0" collapsed="false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customFormat="false" ht="15.75" hidden="false" customHeight="true" outlineLevel="0" collapsed="false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customFormat="false" ht="15.75" hidden="false" customHeight="true" outlineLevel="0" collapsed="false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customFormat="false" ht="15.75" hidden="false" customHeight="true" outlineLevel="0" collapsed="false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customFormat="false" ht="15.75" hidden="false" customHeight="true" outlineLevel="0" collapsed="false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customFormat="false" ht="15.75" hidden="false" customHeight="true" outlineLevel="0" collapsed="false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customFormat="false" ht="15.75" hidden="false" customHeight="true" outlineLevel="0" collapsed="false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customFormat="false" ht="15.75" hidden="false" customHeight="true" outlineLevel="0" collapsed="false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customFormat="false" ht="15.75" hidden="false" customHeight="true" outlineLevel="0" collapsed="false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customFormat="false" ht="15.75" hidden="false" customHeight="true" outlineLevel="0" collapsed="false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customFormat="false" ht="15.75" hidden="false" customHeight="true" outlineLevel="0" collapsed="false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customFormat="false" ht="15.75" hidden="false" customHeight="true" outlineLevel="0" collapsed="false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customFormat="false" ht="15.75" hidden="false" customHeight="true" outlineLevel="0" collapsed="false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customFormat="false" ht="15.75" hidden="false" customHeight="true" outlineLevel="0" collapsed="false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customFormat="false" ht="15.75" hidden="false" customHeight="true" outlineLevel="0" collapsed="false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customFormat="false" ht="15.75" hidden="false" customHeight="true" outlineLevel="0" collapsed="false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customFormat="false" ht="15.75" hidden="false" customHeight="true" outlineLevel="0" collapsed="false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customFormat="false" ht="15.75" hidden="false" customHeight="true" outlineLevel="0" collapsed="false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customFormat="false" ht="15.75" hidden="false" customHeight="true" outlineLevel="0" collapsed="false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customFormat="false" ht="15.75" hidden="false" customHeight="true" outlineLevel="0" collapsed="false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customFormat="false" ht="15.75" hidden="false" customHeight="true" outlineLevel="0" collapsed="false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customFormat="false" ht="15.75" hidden="false" customHeight="true" outlineLevel="0" collapsed="false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customFormat="false" ht="15.75" hidden="false" customHeight="true" outlineLevel="0" collapsed="false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customFormat="false" ht="15.75" hidden="false" customHeight="true" outlineLevel="0" collapsed="false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customFormat="false" ht="15.75" hidden="false" customHeight="true" outlineLevel="0" collapsed="false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customFormat="false" ht="15.75" hidden="false" customHeight="true" outlineLevel="0" collapsed="false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customFormat="false" ht="15.75" hidden="false" customHeight="true" outlineLevel="0" collapsed="false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customFormat="false" ht="15.75" hidden="false" customHeight="true" outlineLevel="0" collapsed="false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customFormat="false" ht="15.75" hidden="false" customHeight="true" outlineLevel="0" collapsed="false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customFormat="false" ht="15.75" hidden="false" customHeight="true" outlineLevel="0" collapsed="false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customFormat="false" ht="15.75" hidden="false" customHeight="true" outlineLevel="0" collapsed="false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customFormat="false" ht="15.75" hidden="false" customHeight="true" outlineLevel="0" collapsed="false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customFormat="false" ht="15.75" hidden="false" customHeight="true" outlineLevel="0" collapsed="false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customFormat="false" ht="15.75" hidden="false" customHeight="true" outlineLevel="0" collapsed="false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customFormat="false" ht="15.75" hidden="false" customHeight="true" outlineLevel="0" collapsed="false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customFormat="false" ht="15.75" hidden="false" customHeight="true" outlineLevel="0" collapsed="false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customFormat="false" ht="15.75" hidden="false" customHeight="true" outlineLevel="0" collapsed="false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customFormat="false" ht="15.75" hidden="false" customHeight="true" outlineLevel="0" collapsed="false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customFormat="false" ht="15.75" hidden="false" customHeight="true" outlineLevel="0" collapsed="false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customFormat="false" ht="15.75" hidden="false" customHeight="true" outlineLevel="0" collapsed="false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customFormat="false" ht="15.75" hidden="false" customHeight="true" outlineLevel="0" collapsed="false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customFormat="false" ht="15.75" hidden="false" customHeight="true" outlineLevel="0" collapsed="false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customFormat="false" ht="15.75" hidden="false" customHeight="true" outlineLevel="0" collapsed="false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customFormat="false" ht="15.75" hidden="false" customHeight="true" outlineLevel="0" collapsed="false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customFormat="false" ht="15.75" hidden="false" customHeight="true" outlineLevel="0" collapsed="false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customFormat="false" ht="15.75" hidden="false" customHeight="true" outlineLevel="0" collapsed="false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customFormat="false" ht="15.75" hidden="false" customHeight="true" outlineLevel="0" collapsed="false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customFormat="false" ht="15.75" hidden="false" customHeight="true" outlineLevel="0" collapsed="false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customFormat="false" ht="15.75" hidden="false" customHeight="true" outlineLevel="0" collapsed="false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customFormat="false" ht="15.75" hidden="false" customHeight="true" outlineLevel="0" collapsed="false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customFormat="false" ht="15.75" hidden="false" customHeight="true" outlineLevel="0" collapsed="false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customFormat="false" ht="15.75" hidden="false" customHeight="true" outlineLevel="0" collapsed="false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customFormat="false" ht="15.75" hidden="false" customHeight="true" outlineLevel="0" collapsed="false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customFormat="false" ht="15.75" hidden="false" customHeight="true" outlineLevel="0" collapsed="false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customFormat="false" ht="15.75" hidden="false" customHeight="true" outlineLevel="0" collapsed="false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customFormat="false" ht="15.75" hidden="false" customHeight="true" outlineLevel="0" collapsed="false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customFormat="false" ht="15.75" hidden="false" customHeight="true" outlineLevel="0" collapsed="false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customFormat="false" ht="15.75" hidden="false" customHeight="true" outlineLevel="0" collapsed="false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customFormat="false" ht="15.75" hidden="false" customHeight="true" outlineLevel="0" collapsed="false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customFormat="false" ht="15.75" hidden="false" customHeight="true" outlineLevel="0" collapsed="false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customFormat="false" ht="15.75" hidden="false" customHeight="true" outlineLevel="0" collapsed="false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customFormat="false" ht="15.75" hidden="false" customHeight="true" outlineLevel="0" collapsed="false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customFormat="false" ht="15.75" hidden="false" customHeight="true" outlineLevel="0" collapsed="false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customFormat="false" ht="15.75" hidden="false" customHeight="true" outlineLevel="0" collapsed="false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customFormat="false" ht="15.75" hidden="false" customHeight="true" outlineLevel="0" collapsed="false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customFormat="false" ht="15.75" hidden="false" customHeight="true" outlineLevel="0" collapsed="false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customFormat="false" ht="15.75" hidden="false" customHeight="true" outlineLevel="0" collapsed="false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customFormat="false" ht="15.75" hidden="false" customHeight="true" outlineLevel="0" collapsed="false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customFormat="false" ht="15.75" hidden="false" customHeight="true" outlineLevel="0" collapsed="false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customFormat="false" ht="15.75" hidden="false" customHeight="true" outlineLevel="0" collapsed="false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customFormat="false" ht="15.75" hidden="false" customHeight="true" outlineLevel="0" collapsed="false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customFormat="false" ht="15.75" hidden="false" customHeight="true" outlineLevel="0" collapsed="false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customFormat="false" ht="15.75" hidden="false" customHeight="true" outlineLevel="0" collapsed="false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customFormat="false" ht="15.75" hidden="false" customHeight="true" outlineLevel="0" collapsed="false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customFormat="false" ht="15.75" hidden="false" customHeight="true" outlineLevel="0" collapsed="false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customFormat="false" ht="15.75" hidden="false" customHeight="true" outlineLevel="0" collapsed="false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customFormat="false" ht="15.75" hidden="false" customHeight="true" outlineLevel="0" collapsed="false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customFormat="false" ht="15.75" hidden="false" customHeight="true" outlineLevel="0" collapsed="false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customFormat="false" ht="15.75" hidden="false" customHeight="true" outlineLevel="0" collapsed="false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customFormat="false" ht="15.75" hidden="false" customHeight="true" outlineLevel="0" collapsed="false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customFormat="false" ht="15.75" hidden="false" customHeight="true" outlineLevel="0" collapsed="false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customFormat="false" ht="15.75" hidden="false" customHeight="true" outlineLevel="0" collapsed="false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customFormat="false" ht="15.75" hidden="false" customHeight="true" outlineLevel="0" collapsed="false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customFormat="false" ht="15.75" hidden="false" customHeight="true" outlineLevel="0" collapsed="false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customFormat="false" ht="15.75" hidden="false" customHeight="true" outlineLevel="0" collapsed="false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customFormat="false" ht="15.75" hidden="false" customHeight="true" outlineLevel="0" collapsed="false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customFormat="false" ht="15.75" hidden="false" customHeight="true" outlineLevel="0" collapsed="false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customFormat="false" ht="15.75" hidden="false" customHeight="true" outlineLevel="0" collapsed="false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customFormat="false" ht="15.75" hidden="false" customHeight="true" outlineLevel="0" collapsed="false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customFormat="false" ht="15.75" hidden="false" customHeight="true" outlineLevel="0" collapsed="false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customFormat="false" ht="15.75" hidden="false" customHeight="true" outlineLevel="0" collapsed="false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customFormat="false" ht="15.75" hidden="false" customHeight="true" outlineLevel="0" collapsed="false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customFormat="false" ht="15.75" hidden="false" customHeight="true" outlineLevel="0" collapsed="false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customFormat="false" ht="15.75" hidden="false" customHeight="true" outlineLevel="0" collapsed="false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customFormat="false" ht="15.75" hidden="false" customHeight="true" outlineLevel="0" collapsed="false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customFormat="false" ht="15.75" hidden="false" customHeight="true" outlineLevel="0" collapsed="false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customFormat="false" ht="15.75" hidden="false" customHeight="true" outlineLevel="0" collapsed="false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customFormat="false" ht="15.75" hidden="false" customHeight="true" outlineLevel="0" collapsed="false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customFormat="false" ht="15.75" hidden="false" customHeight="true" outlineLevel="0" collapsed="false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customFormat="false" ht="15.75" hidden="false" customHeight="true" outlineLevel="0" collapsed="false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customFormat="false" ht="15.75" hidden="false" customHeight="true" outlineLevel="0" collapsed="false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customFormat="false" ht="15.75" hidden="false" customHeight="true" outlineLevel="0" collapsed="false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customFormat="false" ht="15.75" hidden="false" customHeight="true" outlineLevel="0" collapsed="false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customFormat="false" ht="15.75" hidden="false" customHeight="true" outlineLevel="0" collapsed="false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customFormat="false" ht="15.75" hidden="false" customHeight="true" outlineLevel="0" collapsed="false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customFormat="false" ht="15.75" hidden="false" customHeight="true" outlineLevel="0" collapsed="false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customFormat="false" ht="15.75" hidden="false" customHeight="true" outlineLevel="0" collapsed="false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customFormat="false" ht="15.75" hidden="false" customHeight="true" outlineLevel="0" collapsed="false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customFormat="false" ht="15.75" hidden="false" customHeight="true" outlineLevel="0" collapsed="false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customFormat="false" ht="15.75" hidden="false" customHeight="true" outlineLevel="0" collapsed="false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customFormat="false" ht="15.75" hidden="false" customHeight="true" outlineLevel="0" collapsed="false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customFormat="false" ht="15.75" hidden="false" customHeight="true" outlineLevel="0" collapsed="false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customFormat="false" ht="15.75" hidden="false" customHeight="true" outlineLevel="0" collapsed="false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customFormat="false" ht="15.75" hidden="false" customHeight="true" outlineLevel="0" collapsed="false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customFormat="false" ht="15.75" hidden="false" customHeight="true" outlineLevel="0" collapsed="false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customFormat="false" ht="15.75" hidden="false" customHeight="true" outlineLevel="0" collapsed="false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customFormat="false" ht="15.75" hidden="false" customHeight="true" outlineLevel="0" collapsed="false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customFormat="false" ht="15.75" hidden="false" customHeight="true" outlineLevel="0" collapsed="false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customFormat="false" ht="15.75" hidden="false" customHeight="true" outlineLevel="0" collapsed="false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customFormat="false" ht="15.75" hidden="false" customHeight="true" outlineLevel="0" collapsed="false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customFormat="false" ht="15.75" hidden="false" customHeight="true" outlineLevel="0" collapsed="false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customFormat="false" ht="15.75" hidden="false" customHeight="true" outlineLevel="0" collapsed="false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customFormat="false" ht="15.75" hidden="false" customHeight="true" outlineLevel="0" collapsed="false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customFormat="false" ht="15.75" hidden="false" customHeight="true" outlineLevel="0" collapsed="false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customFormat="false" ht="15.75" hidden="false" customHeight="true" outlineLevel="0" collapsed="false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customFormat="false" ht="15.75" hidden="false" customHeight="true" outlineLevel="0" collapsed="false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customFormat="false" ht="15.75" hidden="false" customHeight="true" outlineLevel="0" collapsed="false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customFormat="false" ht="15.75" hidden="false" customHeight="true" outlineLevel="0" collapsed="false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customFormat="false" ht="15.75" hidden="false" customHeight="true" outlineLevel="0" collapsed="false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customFormat="false" ht="15.75" hidden="false" customHeight="true" outlineLevel="0" collapsed="false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customFormat="false" ht="15.75" hidden="false" customHeight="true" outlineLevel="0" collapsed="false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customFormat="false" ht="15.75" hidden="false" customHeight="true" outlineLevel="0" collapsed="false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customFormat="false" ht="15.75" hidden="false" customHeight="true" outlineLevel="0" collapsed="false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customFormat="false" ht="15.75" hidden="false" customHeight="true" outlineLevel="0" collapsed="false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customFormat="false" ht="15.75" hidden="false" customHeight="true" outlineLevel="0" collapsed="false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customFormat="false" ht="15.75" hidden="false" customHeight="true" outlineLevel="0" collapsed="false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customFormat="false" ht="15.75" hidden="false" customHeight="true" outlineLevel="0" collapsed="false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customFormat="false" ht="15.75" hidden="false" customHeight="true" outlineLevel="0" collapsed="false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customFormat="false" ht="15.75" hidden="false" customHeight="true" outlineLevel="0" collapsed="false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customFormat="false" ht="15.75" hidden="false" customHeight="true" outlineLevel="0" collapsed="false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customFormat="false" ht="15.75" hidden="false" customHeight="true" outlineLevel="0" collapsed="false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customFormat="false" ht="15.75" hidden="false" customHeight="true" outlineLevel="0" collapsed="false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customFormat="false" ht="15.75" hidden="false" customHeight="true" outlineLevel="0" collapsed="false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customFormat="false" ht="15.75" hidden="false" customHeight="true" outlineLevel="0" collapsed="false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customFormat="false" ht="15.75" hidden="false" customHeight="true" outlineLevel="0" collapsed="false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customFormat="false" ht="15.75" hidden="false" customHeight="true" outlineLevel="0" collapsed="false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customFormat="false" ht="15.75" hidden="false" customHeight="true" outlineLevel="0" collapsed="false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customFormat="false" ht="15.75" hidden="false" customHeight="true" outlineLevel="0" collapsed="false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customFormat="false" ht="15.75" hidden="false" customHeight="true" outlineLevel="0" collapsed="false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customFormat="false" ht="15.75" hidden="false" customHeight="true" outlineLevel="0" collapsed="false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customFormat="false" ht="15.75" hidden="false" customHeight="true" outlineLevel="0" collapsed="false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customFormat="false" ht="15.75" hidden="false" customHeight="true" outlineLevel="0" collapsed="false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customFormat="false" ht="15.75" hidden="false" customHeight="true" outlineLevel="0" collapsed="false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customFormat="false" ht="15.75" hidden="false" customHeight="true" outlineLevel="0" collapsed="false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customFormat="false" ht="15.75" hidden="false" customHeight="true" outlineLevel="0" collapsed="false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customFormat="false" ht="15.75" hidden="false" customHeight="true" outlineLevel="0" collapsed="false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customFormat="false" ht="15.75" hidden="false" customHeight="true" outlineLevel="0" collapsed="false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customFormat="false" ht="15.75" hidden="false" customHeight="true" outlineLevel="0" collapsed="false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customFormat="false" ht="15.75" hidden="false" customHeight="true" outlineLevel="0" collapsed="false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customFormat="false" ht="15.75" hidden="false" customHeight="true" outlineLevel="0" collapsed="false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customFormat="false" ht="15.75" hidden="false" customHeight="true" outlineLevel="0" collapsed="false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customFormat="false" ht="15.75" hidden="false" customHeight="true" outlineLevel="0" collapsed="false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customFormat="false" ht="15.75" hidden="false" customHeight="true" outlineLevel="0" collapsed="false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customFormat="false" ht="15.75" hidden="false" customHeight="true" outlineLevel="0" collapsed="false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customFormat="false" ht="15.75" hidden="false" customHeight="true" outlineLevel="0" collapsed="false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customFormat="false" ht="15.75" hidden="false" customHeight="true" outlineLevel="0" collapsed="false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customFormat="false" ht="15.75" hidden="false" customHeight="true" outlineLevel="0" collapsed="false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customFormat="false" ht="15.75" hidden="false" customHeight="true" outlineLevel="0" collapsed="false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customFormat="false" ht="15.75" hidden="false" customHeight="true" outlineLevel="0" collapsed="false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customFormat="false" ht="15.75" hidden="false" customHeight="true" outlineLevel="0" collapsed="false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customFormat="false" ht="15.75" hidden="false" customHeight="true" outlineLevel="0" collapsed="false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customFormat="false" ht="15.75" hidden="false" customHeight="true" outlineLevel="0" collapsed="false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customFormat="false" ht="15.75" hidden="false" customHeight="true" outlineLevel="0" collapsed="false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customFormat="false" ht="15.75" hidden="false" customHeight="true" outlineLevel="0" collapsed="false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customFormat="false" ht="15.75" hidden="false" customHeight="true" outlineLevel="0" collapsed="false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customFormat="false" ht="15.75" hidden="false" customHeight="true" outlineLevel="0" collapsed="false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customFormat="false" ht="15.75" hidden="false" customHeight="true" outlineLevel="0" collapsed="false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customFormat="false" ht="15.75" hidden="false" customHeight="true" outlineLevel="0" collapsed="false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customFormat="false" ht="15.75" hidden="false" customHeight="true" outlineLevel="0" collapsed="false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customFormat="false" ht="15.75" hidden="false" customHeight="true" outlineLevel="0" collapsed="false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customFormat="false" ht="15.75" hidden="false" customHeight="true" outlineLevel="0" collapsed="false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customFormat="false" ht="15.75" hidden="false" customHeight="true" outlineLevel="0" collapsed="false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customFormat="false" ht="15.75" hidden="false" customHeight="true" outlineLevel="0" collapsed="false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customFormat="false" ht="15.75" hidden="false" customHeight="true" outlineLevel="0" collapsed="false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customFormat="false" ht="15.75" hidden="false" customHeight="true" outlineLevel="0" collapsed="false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customFormat="false" ht="15.75" hidden="false" customHeight="true" outlineLevel="0" collapsed="false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customFormat="false" ht="15.75" hidden="false" customHeight="true" outlineLevel="0" collapsed="false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customFormat="false" ht="15.75" hidden="false" customHeight="true" outlineLevel="0" collapsed="false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customFormat="false" ht="15.75" hidden="false" customHeight="true" outlineLevel="0" collapsed="false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customFormat="false" ht="15.75" hidden="false" customHeight="true" outlineLevel="0" collapsed="false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customFormat="false" ht="15.75" hidden="false" customHeight="true" outlineLevel="0" collapsed="false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customFormat="false" ht="15.75" hidden="false" customHeight="true" outlineLevel="0" collapsed="false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customFormat="false" ht="15.75" hidden="false" customHeight="true" outlineLevel="0" collapsed="false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customFormat="false" ht="15.75" hidden="false" customHeight="true" outlineLevel="0" collapsed="false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customFormat="false" ht="15.75" hidden="false" customHeight="true" outlineLevel="0" collapsed="false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customFormat="false" ht="15.75" hidden="false" customHeight="true" outlineLevel="0" collapsed="false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customFormat="false" ht="15.75" hidden="false" customHeight="true" outlineLevel="0" collapsed="false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customFormat="false" ht="15.75" hidden="false" customHeight="true" outlineLevel="0" collapsed="false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customFormat="false" ht="15.75" hidden="false" customHeight="true" outlineLevel="0" collapsed="false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customFormat="false" ht="15.75" hidden="false" customHeight="true" outlineLevel="0" collapsed="false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customFormat="false" ht="15.75" hidden="false" customHeight="true" outlineLevel="0" collapsed="false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customFormat="false" ht="15.75" hidden="false" customHeight="true" outlineLevel="0" collapsed="false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customFormat="false" ht="15.75" hidden="false" customHeight="true" outlineLevel="0" collapsed="false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customFormat="false" ht="15.75" hidden="false" customHeight="true" outlineLevel="0" collapsed="false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customFormat="false" ht="15.75" hidden="false" customHeight="true" outlineLevel="0" collapsed="false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customFormat="false" ht="15.75" hidden="false" customHeight="true" outlineLevel="0" collapsed="false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customFormat="false" ht="15.75" hidden="false" customHeight="true" outlineLevel="0" collapsed="false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customFormat="false" ht="15.75" hidden="false" customHeight="true" outlineLevel="0" collapsed="false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customFormat="false" ht="15.75" hidden="false" customHeight="true" outlineLevel="0" collapsed="false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customFormat="false" ht="15.75" hidden="false" customHeight="true" outlineLevel="0" collapsed="false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customFormat="false" ht="15.75" hidden="false" customHeight="true" outlineLevel="0" collapsed="false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customFormat="false" ht="15.75" hidden="false" customHeight="true" outlineLevel="0" collapsed="false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customFormat="false" ht="15.75" hidden="false" customHeight="true" outlineLevel="0" collapsed="false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customFormat="false" ht="15.75" hidden="false" customHeight="true" outlineLevel="0" collapsed="false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customFormat="false" ht="15.75" hidden="false" customHeight="true" outlineLevel="0" collapsed="false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customFormat="false" ht="15.75" hidden="false" customHeight="true" outlineLevel="0" collapsed="false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customFormat="false" ht="15.75" hidden="false" customHeight="true" outlineLevel="0" collapsed="false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customFormat="false" ht="15.75" hidden="false" customHeight="true" outlineLevel="0" collapsed="false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customFormat="false" ht="15.75" hidden="false" customHeight="true" outlineLevel="0" collapsed="false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customFormat="false" ht="15.75" hidden="false" customHeight="true" outlineLevel="0" collapsed="false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customFormat="false" ht="15.75" hidden="false" customHeight="true" outlineLevel="0" collapsed="false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customFormat="false" ht="15.75" hidden="false" customHeight="true" outlineLevel="0" collapsed="false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customFormat="false" ht="15.75" hidden="false" customHeight="true" outlineLevel="0" collapsed="false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customFormat="false" ht="15.75" hidden="false" customHeight="true" outlineLevel="0" collapsed="false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customFormat="false" ht="15.75" hidden="false" customHeight="true" outlineLevel="0" collapsed="false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customFormat="false" ht="15.75" hidden="false" customHeight="true" outlineLevel="0" collapsed="false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customFormat="false" ht="15.75" hidden="false" customHeight="true" outlineLevel="0" collapsed="false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customFormat="false" ht="15.75" hidden="false" customHeight="true" outlineLevel="0" collapsed="false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customFormat="false" ht="15.75" hidden="false" customHeight="true" outlineLevel="0" collapsed="false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customFormat="false" ht="15.75" hidden="false" customHeight="true" outlineLevel="0" collapsed="false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customFormat="false" ht="15.75" hidden="false" customHeight="true" outlineLevel="0" collapsed="false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customFormat="false" ht="15.75" hidden="false" customHeight="true" outlineLevel="0" collapsed="false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customFormat="false" ht="15.75" hidden="false" customHeight="true" outlineLevel="0" collapsed="false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customFormat="false" ht="15.75" hidden="false" customHeight="true" outlineLevel="0" collapsed="false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customFormat="false" ht="15.75" hidden="false" customHeight="true" outlineLevel="0" collapsed="false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customFormat="false" ht="15.75" hidden="false" customHeight="true" outlineLevel="0" collapsed="false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customFormat="false" ht="15.75" hidden="false" customHeight="true" outlineLevel="0" collapsed="false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customFormat="false" ht="15.75" hidden="false" customHeight="true" outlineLevel="0" collapsed="false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customFormat="false" ht="15.75" hidden="false" customHeight="true" outlineLevel="0" collapsed="false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customFormat="false" ht="15.75" hidden="false" customHeight="true" outlineLevel="0" collapsed="false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customFormat="false" ht="15.75" hidden="false" customHeight="true" outlineLevel="0" collapsed="false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customFormat="false" ht="15.75" hidden="false" customHeight="true" outlineLevel="0" collapsed="false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customFormat="false" ht="15.75" hidden="false" customHeight="true" outlineLevel="0" collapsed="false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customFormat="false" ht="15.75" hidden="false" customHeight="true" outlineLevel="0" collapsed="false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customFormat="false" ht="15.75" hidden="false" customHeight="true" outlineLevel="0" collapsed="false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customFormat="false" ht="15.75" hidden="false" customHeight="true" outlineLevel="0" collapsed="false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customFormat="false" ht="15.75" hidden="false" customHeight="true" outlineLevel="0" collapsed="false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customFormat="false" ht="15.75" hidden="false" customHeight="true" outlineLevel="0" collapsed="false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customFormat="false" ht="15.75" hidden="false" customHeight="true" outlineLevel="0" collapsed="false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customFormat="false" ht="15.75" hidden="false" customHeight="true" outlineLevel="0" collapsed="false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customFormat="false" ht="15.75" hidden="false" customHeight="true" outlineLevel="0" collapsed="false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customFormat="false" ht="15.75" hidden="false" customHeight="true" outlineLevel="0" collapsed="false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customFormat="false" ht="15.75" hidden="false" customHeight="true" outlineLevel="0" collapsed="false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customFormat="false" ht="15.75" hidden="false" customHeight="true" outlineLevel="0" collapsed="false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customFormat="false" ht="15.75" hidden="false" customHeight="true" outlineLevel="0" collapsed="false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customFormat="false" ht="15.75" hidden="false" customHeight="true" outlineLevel="0" collapsed="false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customFormat="false" ht="15.75" hidden="false" customHeight="true" outlineLevel="0" collapsed="false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customFormat="false" ht="15.75" hidden="false" customHeight="true" outlineLevel="0" collapsed="false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customFormat="false" ht="15.75" hidden="false" customHeight="true" outlineLevel="0" collapsed="false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customFormat="false" ht="15.75" hidden="false" customHeight="true" outlineLevel="0" collapsed="false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customFormat="false" ht="15.75" hidden="false" customHeight="true" outlineLevel="0" collapsed="false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customFormat="false" ht="15.75" hidden="false" customHeight="true" outlineLevel="0" collapsed="false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customFormat="false" ht="15.75" hidden="false" customHeight="true" outlineLevel="0" collapsed="false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customFormat="false" ht="15.75" hidden="false" customHeight="true" outlineLevel="0" collapsed="false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customFormat="false" ht="15.75" hidden="false" customHeight="true" outlineLevel="0" collapsed="false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customFormat="false" ht="15.75" hidden="false" customHeight="true" outlineLevel="0" collapsed="false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customFormat="false" ht="15.75" hidden="false" customHeight="true" outlineLevel="0" collapsed="false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customFormat="false" ht="15.75" hidden="false" customHeight="true" outlineLevel="0" collapsed="false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customFormat="false" ht="15.75" hidden="false" customHeight="true" outlineLevel="0" collapsed="false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customFormat="false" ht="15.75" hidden="false" customHeight="true" outlineLevel="0" collapsed="false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customFormat="false" ht="15.75" hidden="false" customHeight="true" outlineLevel="0" collapsed="false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customFormat="false" ht="15.75" hidden="false" customHeight="true" outlineLevel="0" collapsed="false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customFormat="false" ht="15.75" hidden="false" customHeight="true" outlineLevel="0" collapsed="false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customFormat="false" ht="15.75" hidden="false" customHeight="true" outlineLevel="0" collapsed="false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customFormat="false" ht="15.75" hidden="false" customHeight="true" outlineLevel="0" collapsed="false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customFormat="false" ht="15.75" hidden="false" customHeight="true" outlineLevel="0" collapsed="false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customFormat="false" ht="15.75" hidden="false" customHeight="true" outlineLevel="0" collapsed="false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customFormat="false" ht="15.75" hidden="false" customHeight="true" outlineLevel="0" collapsed="false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customFormat="false" ht="15.75" hidden="false" customHeight="true" outlineLevel="0" collapsed="false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customFormat="false" ht="15.75" hidden="false" customHeight="true" outlineLevel="0" collapsed="false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customFormat="false" ht="15.75" hidden="false" customHeight="true" outlineLevel="0" collapsed="false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customFormat="false" ht="15.75" hidden="false" customHeight="true" outlineLevel="0" collapsed="false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customFormat="false" ht="15.75" hidden="false" customHeight="true" outlineLevel="0" collapsed="false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customFormat="false" ht="15.75" hidden="false" customHeight="true" outlineLevel="0" collapsed="false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customFormat="false" ht="15.75" hidden="false" customHeight="true" outlineLevel="0" collapsed="false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customFormat="false" ht="15.75" hidden="false" customHeight="true" outlineLevel="0" collapsed="false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customFormat="false" ht="15.75" hidden="false" customHeight="true" outlineLevel="0" collapsed="false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customFormat="false" ht="15.75" hidden="false" customHeight="true" outlineLevel="0" collapsed="false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customFormat="false" ht="15.75" hidden="false" customHeight="true" outlineLevel="0" collapsed="false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customFormat="false" ht="15.75" hidden="false" customHeight="true" outlineLevel="0" collapsed="false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customFormat="false" ht="15.75" hidden="false" customHeight="true" outlineLevel="0" collapsed="false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customFormat="false" ht="15.75" hidden="false" customHeight="true" outlineLevel="0" collapsed="false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customFormat="false" ht="15.75" hidden="false" customHeight="true" outlineLevel="0" collapsed="false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customFormat="false" ht="15.75" hidden="false" customHeight="true" outlineLevel="0" collapsed="false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customFormat="false" ht="15.75" hidden="false" customHeight="true" outlineLevel="0" collapsed="false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customFormat="false" ht="15.75" hidden="false" customHeight="true" outlineLevel="0" collapsed="false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customFormat="false" ht="15.75" hidden="false" customHeight="true" outlineLevel="0" collapsed="false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customFormat="false" ht="15.75" hidden="false" customHeight="true" outlineLevel="0" collapsed="false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customFormat="false" ht="15.75" hidden="false" customHeight="true" outlineLevel="0" collapsed="false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customFormat="false" ht="15.75" hidden="false" customHeight="true" outlineLevel="0" collapsed="false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customFormat="false" ht="15.75" hidden="false" customHeight="true" outlineLevel="0" collapsed="false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customFormat="false" ht="15.75" hidden="false" customHeight="true" outlineLevel="0" collapsed="false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customFormat="false" ht="15.75" hidden="false" customHeight="true" outlineLevel="0" collapsed="false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customFormat="false" ht="15.75" hidden="false" customHeight="true" outlineLevel="0" collapsed="false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customFormat="false" ht="15.75" hidden="false" customHeight="true" outlineLevel="0" collapsed="false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customFormat="false" ht="15.75" hidden="false" customHeight="true" outlineLevel="0" collapsed="false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customFormat="false" ht="15.75" hidden="false" customHeight="true" outlineLevel="0" collapsed="false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customFormat="false" ht="15.75" hidden="false" customHeight="true" outlineLevel="0" collapsed="false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customFormat="false" ht="15.75" hidden="false" customHeight="true" outlineLevel="0" collapsed="false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customFormat="false" ht="15.75" hidden="false" customHeight="true" outlineLevel="0" collapsed="false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customFormat="false" ht="15.75" hidden="false" customHeight="true" outlineLevel="0" collapsed="false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customFormat="false" ht="15.75" hidden="false" customHeight="true" outlineLevel="0" collapsed="false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customFormat="false" ht="15.75" hidden="false" customHeight="true" outlineLevel="0" collapsed="false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customFormat="false" ht="15.75" hidden="false" customHeight="true" outlineLevel="0" collapsed="false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customFormat="false" ht="15.75" hidden="false" customHeight="true" outlineLevel="0" collapsed="false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customFormat="false" ht="15.75" hidden="false" customHeight="true" outlineLevel="0" collapsed="false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customFormat="false" ht="15.75" hidden="false" customHeight="true" outlineLevel="0" collapsed="false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customFormat="false" ht="15.75" hidden="false" customHeight="true" outlineLevel="0" collapsed="false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customFormat="false" ht="15.75" hidden="false" customHeight="true" outlineLevel="0" collapsed="false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customFormat="false" ht="15.75" hidden="false" customHeight="true" outlineLevel="0" collapsed="false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customFormat="false" ht="15.75" hidden="false" customHeight="true" outlineLevel="0" collapsed="false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customFormat="false" ht="15.75" hidden="false" customHeight="true" outlineLevel="0" collapsed="false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customFormat="false" ht="15.75" hidden="false" customHeight="true" outlineLevel="0" collapsed="false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customFormat="false" ht="15.75" hidden="false" customHeight="true" outlineLevel="0" collapsed="false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customFormat="false" ht="15.75" hidden="false" customHeight="true" outlineLevel="0" collapsed="false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customFormat="false" ht="15.75" hidden="false" customHeight="true" outlineLevel="0" collapsed="false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customFormat="false" ht="15.75" hidden="false" customHeight="true" outlineLevel="0" collapsed="false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customFormat="false" ht="15.75" hidden="false" customHeight="true" outlineLevel="0" collapsed="false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customFormat="false" ht="15.75" hidden="false" customHeight="true" outlineLevel="0" collapsed="false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customFormat="false" ht="15.75" hidden="false" customHeight="true" outlineLevel="0" collapsed="false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customFormat="false" ht="15.75" hidden="false" customHeight="true" outlineLevel="0" collapsed="false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customFormat="false" ht="15.75" hidden="false" customHeight="true" outlineLevel="0" collapsed="false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customFormat="false" ht="15.75" hidden="false" customHeight="true" outlineLevel="0" collapsed="false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customFormat="false" ht="15.75" hidden="false" customHeight="true" outlineLevel="0" collapsed="false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customFormat="false" ht="15.75" hidden="false" customHeight="true" outlineLevel="0" collapsed="false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customFormat="false" ht="15.75" hidden="false" customHeight="true" outlineLevel="0" collapsed="false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customFormat="false" ht="15.75" hidden="false" customHeight="true" outlineLevel="0" collapsed="false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customFormat="false" ht="15.75" hidden="false" customHeight="true" outlineLevel="0" collapsed="false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customFormat="false" ht="15.75" hidden="false" customHeight="true" outlineLevel="0" collapsed="false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customFormat="false" ht="15.75" hidden="false" customHeight="true" outlineLevel="0" collapsed="false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customFormat="false" ht="15.75" hidden="false" customHeight="true" outlineLevel="0" collapsed="false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customFormat="false" ht="15.75" hidden="false" customHeight="true" outlineLevel="0" collapsed="false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customFormat="false" ht="15.75" hidden="false" customHeight="true" outlineLevel="0" collapsed="false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customFormat="false" ht="15.75" hidden="false" customHeight="true" outlineLevel="0" collapsed="false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customFormat="false" ht="15.75" hidden="false" customHeight="true" outlineLevel="0" collapsed="false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customFormat="false" ht="15.75" hidden="false" customHeight="true" outlineLevel="0" collapsed="false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customFormat="false" ht="15.75" hidden="false" customHeight="true" outlineLevel="0" collapsed="false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customFormat="false" ht="15.75" hidden="false" customHeight="true" outlineLevel="0" collapsed="false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customFormat="false" ht="15.75" hidden="false" customHeight="true" outlineLevel="0" collapsed="false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customFormat="false" ht="15.75" hidden="false" customHeight="true" outlineLevel="0" collapsed="false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customFormat="false" ht="15.75" hidden="false" customHeight="true" outlineLevel="0" collapsed="false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customFormat="false" ht="15.75" hidden="false" customHeight="true" outlineLevel="0" collapsed="false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customFormat="false" ht="15.75" hidden="false" customHeight="true" outlineLevel="0" collapsed="false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customFormat="false" ht="15.75" hidden="false" customHeight="true" outlineLevel="0" collapsed="false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customFormat="false" ht="15.75" hidden="false" customHeight="true" outlineLevel="0" collapsed="false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customFormat="false" ht="15.75" hidden="false" customHeight="true" outlineLevel="0" collapsed="false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customFormat="false" ht="15.75" hidden="false" customHeight="true" outlineLevel="0" collapsed="false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customFormat="false" ht="15.75" hidden="false" customHeight="true" outlineLevel="0" collapsed="false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customFormat="false" ht="15.75" hidden="false" customHeight="true" outlineLevel="0" collapsed="false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customFormat="false" ht="15.75" hidden="false" customHeight="true" outlineLevel="0" collapsed="false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customFormat="false" ht="15.75" hidden="false" customHeight="true" outlineLevel="0" collapsed="false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customFormat="false" ht="15.75" hidden="false" customHeight="true" outlineLevel="0" collapsed="false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customFormat="false" ht="15.75" hidden="false" customHeight="true" outlineLevel="0" collapsed="false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customFormat="false" ht="15.75" hidden="false" customHeight="true" outlineLevel="0" collapsed="false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customFormat="false" ht="15.75" hidden="false" customHeight="true" outlineLevel="0" collapsed="false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customFormat="false" ht="15.75" hidden="false" customHeight="true" outlineLevel="0" collapsed="false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customFormat="false" ht="15.75" hidden="false" customHeight="true" outlineLevel="0" collapsed="false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customFormat="false" ht="15.75" hidden="false" customHeight="true" outlineLevel="0" collapsed="false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customFormat="false" ht="15.75" hidden="false" customHeight="true" outlineLevel="0" collapsed="false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customFormat="false" ht="15.75" hidden="false" customHeight="true" outlineLevel="0" collapsed="false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customFormat="false" ht="15.75" hidden="false" customHeight="true" outlineLevel="0" collapsed="false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customFormat="false" ht="15.75" hidden="false" customHeight="true" outlineLevel="0" collapsed="false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customFormat="false" ht="15.75" hidden="false" customHeight="true" outlineLevel="0" collapsed="false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customFormat="false" ht="15.75" hidden="false" customHeight="true" outlineLevel="0" collapsed="false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customFormat="false" ht="15.75" hidden="false" customHeight="true" outlineLevel="0" collapsed="false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customFormat="false" ht="15.75" hidden="false" customHeight="true" outlineLevel="0" collapsed="false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customFormat="false" ht="15.75" hidden="false" customHeight="true" outlineLevel="0" collapsed="false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customFormat="false" ht="15.75" hidden="false" customHeight="true" outlineLevel="0" collapsed="false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customFormat="false" ht="15.75" hidden="false" customHeight="true" outlineLevel="0" collapsed="false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customFormat="false" ht="15.75" hidden="false" customHeight="true" outlineLevel="0" collapsed="false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customFormat="false" ht="15.75" hidden="false" customHeight="true" outlineLevel="0" collapsed="false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customFormat="false" ht="15.75" hidden="false" customHeight="true" outlineLevel="0" collapsed="false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customFormat="false" ht="15.75" hidden="false" customHeight="true" outlineLevel="0" collapsed="false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customFormat="false" ht="15.75" hidden="false" customHeight="true" outlineLevel="0" collapsed="false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customFormat="false" ht="15.75" hidden="false" customHeight="true" outlineLevel="0" collapsed="false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customFormat="false" ht="15.75" hidden="false" customHeight="true" outlineLevel="0" collapsed="false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customFormat="false" ht="15.75" hidden="false" customHeight="true" outlineLevel="0" collapsed="false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customFormat="false" ht="15.75" hidden="false" customHeight="true" outlineLevel="0" collapsed="false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customFormat="false" ht="15.75" hidden="false" customHeight="true" outlineLevel="0" collapsed="false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customFormat="false" ht="15.75" hidden="false" customHeight="true" outlineLevel="0" collapsed="false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customFormat="false" ht="15.75" hidden="false" customHeight="true" outlineLevel="0" collapsed="false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customFormat="false" ht="15.75" hidden="false" customHeight="true" outlineLevel="0" collapsed="false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customFormat="false" ht="15.75" hidden="false" customHeight="true" outlineLevel="0" collapsed="false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customFormat="false" ht="15.75" hidden="false" customHeight="true" outlineLevel="0" collapsed="false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customFormat="false" ht="15.75" hidden="false" customHeight="true" outlineLevel="0" collapsed="false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customFormat="false" ht="15.75" hidden="false" customHeight="true" outlineLevel="0" collapsed="false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customFormat="false" ht="15.75" hidden="false" customHeight="true" outlineLevel="0" collapsed="false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customFormat="false" ht="15.75" hidden="false" customHeight="true" outlineLevel="0" collapsed="false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customFormat="false" ht="15.75" hidden="false" customHeight="true" outlineLevel="0" collapsed="false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customFormat="false" ht="15.75" hidden="false" customHeight="true" outlineLevel="0" collapsed="false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customFormat="false" ht="15.75" hidden="false" customHeight="true" outlineLevel="0" collapsed="false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customFormat="false" ht="15.75" hidden="false" customHeight="true" outlineLevel="0" collapsed="false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customFormat="false" ht="15.75" hidden="false" customHeight="true" outlineLevel="0" collapsed="false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customFormat="false" ht="15.75" hidden="false" customHeight="true" outlineLevel="0" collapsed="false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customFormat="false" ht="15.75" hidden="false" customHeight="true" outlineLevel="0" collapsed="false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customFormat="false" ht="15.75" hidden="false" customHeight="true" outlineLevel="0" collapsed="false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customFormat="false" ht="15.75" hidden="false" customHeight="true" outlineLevel="0" collapsed="false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customFormat="false" ht="15.75" hidden="false" customHeight="true" outlineLevel="0" collapsed="false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customFormat="false" ht="15.75" hidden="false" customHeight="true" outlineLevel="0" collapsed="false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customFormat="false" ht="15.75" hidden="false" customHeight="true" outlineLevel="0" collapsed="false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customFormat="false" ht="15.75" hidden="false" customHeight="true" outlineLevel="0" collapsed="false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customFormat="false" ht="15.75" hidden="false" customHeight="true" outlineLevel="0" collapsed="false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customFormat="false" ht="15.75" hidden="false" customHeight="true" outlineLevel="0" collapsed="false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customFormat="false" ht="15.75" hidden="false" customHeight="true" outlineLevel="0" collapsed="false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customFormat="false" ht="15.75" hidden="false" customHeight="true" outlineLevel="0" collapsed="false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customFormat="false" ht="15.75" hidden="false" customHeight="true" outlineLevel="0" collapsed="false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customFormat="false" ht="15.75" hidden="false" customHeight="true" outlineLevel="0" collapsed="false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customFormat="false" ht="15.75" hidden="false" customHeight="true" outlineLevel="0" collapsed="false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customFormat="false" ht="15.75" hidden="false" customHeight="true" outlineLevel="0" collapsed="false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customFormat="false" ht="15.75" hidden="false" customHeight="true" outlineLevel="0" collapsed="false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customFormat="false" ht="15.75" hidden="false" customHeight="true" outlineLevel="0" collapsed="false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customFormat="false" ht="15.75" hidden="false" customHeight="true" outlineLevel="0" collapsed="false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customFormat="false" ht="15.75" hidden="false" customHeight="true" outlineLevel="0" collapsed="false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customFormat="false" ht="15.75" hidden="false" customHeight="true" outlineLevel="0" collapsed="false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customFormat="false" ht="15.75" hidden="false" customHeight="true" outlineLevel="0" collapsed="false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customFormat="false" ht="15.75" hidden="false" customHeight="true" outlineLevel="0" collapsed="false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customFormat="false" ht="15.75" hidden="false" customHeight="true" outlineLevel="0" collapsed="false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customFormat="false" ht="15.75" hidden="false" customHeight="true" outlineLevel="0" collapsed="false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customFormat="false" ht="15.75" hidden="false" customHeight="true" outlineLevel="0" collapsed="false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customFormat="false" ht="15.75" hidden="false" customHeight="true" outlineLevel="0" collapsed="false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customFormat="false" ht="15.75" hidden="false" customHeight="true" outlineLevel="0" collapsed="false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customFormat="false" ht="15.75" hidden="false" customHeight="true" outlineLevel="0" collapsed="false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customFormat="false" ht="15.75" hidden="false" customHeight="true" outlineLevel="0" collapsed="false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customFormat="false" ht="15.75" hidden="false" customHeight="true" outlineLevel="0" collapsed="false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customFormat="false" ht="15.75" hidden="false" customHeight="true" outlineLevel="0" collapsed="false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customFormat="false" ht="15.75" hidden="false" customHeight="true" outlineLevel="0" collapsed="false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customFormat="false" ht="15.75" hidden="false" customHeight="true" outlineLevel="0" collapsed="false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customFormat="false" ht="15.75" hidden="false" customHeight="true" outlineLevel="0" collapsed="false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customFormat="false" ht="15.75" hidden="false" customHeight="true" outlineLevel="0" collapsed="false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customFormat="false" ht="15.75" hidden="false" customHeight="true" outlineLevel="0" collapsed="false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customFormat="false" ht="15.75" hidden="false" customHeight="true" outlineLevel="0" collapsed="false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customFormat="false" ht="15.75" hidden="false" customHeight="true" outlineLevel="0" collapsed="false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customFormat="false" ht="15.75" hidden="false" customHeight="true" outlineLevel="0" collapsed="false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customFormat="false" ht="15.75" hidden="false" customHeight="true" outlineLevel="0" collapsed="false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customFormat="false" ht="15.75" hidden="false" customHeight="true" outlineLevel="0" collapsed="false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customFormat="false" ht="15.75" hidden="false" customHeight="true" outlineLevel="0" collapsed="false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customFormat="false" ht="15.75" hidden="false" customHeight="true" outlineLevel="0" collapsed="false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customFormat="false" ht="15.75" hidden="false" customHeight="true" outlineLevel="0" collapsed="false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customFormat="false" ht="15.75" hidden="false" customHeight="true" outlineLevel="0" collapsed="false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customFormat="false" ht="15.75" hidden="false" customHeight="true" outlineLevel="0" collapsed="false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customFormat="false" ht="15.75" hidden="false" customHeight="true" outlineLevel="0" collapsed="false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customFormat="false" ht="15.75" hidden="false" customHeight="true" outlineLevel="0" collapsed="false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customFormat="false" ht="15.75" hidden="false" customHeight="true" outlineLevel="0" collapsed="false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customFormat="false" ht="15.75" hidden="false" customHeight="true" outlineLevel="0" collapsed="false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customFormat="false" ht="15.75" hidden="false" customHeight="true" outlineLevel="0" collapsed="false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customFormat="false" ht="15.75" hidden="false" customHeight="true" outlineLevel="0" collapsed="false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customFormat="false" ht="15.75" hidden="false" customHeight="true" outlineLevel="0" collapsed="false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customFormat="false" ht="15.75" hidden="false" customHeight="true" outlineLevel="0" collapsed="false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customFormat="false" ht="15.75" hidden="false" customHeight="true" outlineLevel="0" collapsed="false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customFormat="false" ht="15.75" hidden="false" customHeight="true" outlineLevel="0" collapsed="false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customFormat="false" ht="15.75" hidden="false" customHeight="true" outlineLevel="0" collapsed="false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customFormat="false" ht="15.75" hidden="false" customHeight="true" outlineLevel="0" collapsed="false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customFormat="false" ht="15.75" hidden="false" customHeight="true" outlineLevel="0" collapsed="false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customFormat="false" ht="15.75" hidden="false" customHeight="true" outlineLevel="0" collapsed="false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customFormat="false" ht="15.75" hidden="false" customHeight="true" outlineLevel="0" collapsed="false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customFormat="false" ht="15.75" hidden="false" customHeight="true" outlineLevel="0" collapsed="false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customFormat="false" ht="15.75" hidden="false" customHeight="true" outlineLevel="0" collapsed="false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customFormat="false" ht="15.75" hidden="false" customHeight="true" outlineLevel="0" collapsed="false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customFormat="false" ht="15.75" hidden="false" customHeight="true" outlineLevel="0" collapsed="false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customFormat="false" ht="15.75" hidden="false" customHeight="true" outlineLevel="0" collapsed="false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customFormat="false" ht="15.75" hidden="false" customHeight="true" outlineLevel="0" collapsed="false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customFormat="false" ht="15.75" hidden="false" customHeight="true" outlineLevel="0" collapsed="false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customFormat="false" ht="15.75" hidden="false" customHeight="true" outlineLevel="0" collapsed="false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customFormat="false" ht="15.75" hidden="false" customHeight="true" outlineLevel="0" collapsed="false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customFormat="false" ht="15.75" hidden="false" customHeight="true" outlineLevel="0" collapsed="false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customFormat="false" ht="15.75" hidden="false" customHeight="true" outlineLevel="0" collapsed="false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customFormat="false" ht="15.75" hidden="false" customHeight="true" outlineLevel="0" collapsed="false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customFormat="false" ht="15.75" hidden="false" customHeight="true" outlineLevel="0" collapsed="false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customFormat="false" ht="15.75" hidden="false" customHeight="true" outlineLevel="0" collapsed="false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customFormat="false" ht="15.75" hidden="false" customHeight="true" outlineLevel="0" collapsed="false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customFormat="false" ht="15.75" hidden="false" customHeight="true" outlineLevel="0" collapsed="false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customFormat="false" ht="15.75" hidden="false" customHeight="true" outlineLevel="0" collapsed="false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customFormat="false" ht="15.75" hidden="false" customHeight="true" outlineLevel="0" collapsed="false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customFormat="false" ht="15.75" hidden="false" customHeight="true" outlineLevel="0" collapsed="false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customFormat="false" ht="15.75" hidden="false" customHeight="true" outlineLevel="0" collapsed="false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customFormat="false" ht="15.75" hidden="false" customHeight="true" outlineLevel="0" collapsed="false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customFormat="false" ht="15.75" hidden="false" customHeight="true" outlineLevel="0" collapsed="false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customFormat="false" ht="15.75" hidden="false" customHeight="true" outlineLevel="0" collapsed="false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customFormat="false" ht="15.75" hidden="false" customHeight="true" outlineLevel="0" collapsed="false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customFormat="false" ht="15.75" hidden="false" customHeight="true" outlineLevel="0" collapsed="false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customFormat="false" ht="15.75" hidden="false" customHeight="true" outlineLevel="0" collapsed="false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customFormat="false" ht="15.75" hidden="false" customHeight="true" outlineLevel="0" collapsed="false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customFormat="false" ht="15.75" hidden="false" customHeight="true" outlineLevel="0" collapsed="false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customFormat="false" ht="15.75" hidden="false" customHeight="true" outlineLevel="0" collapsed="false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customFormat="false" ht="15.75" hidden="false" customHeight="true" outlineLevel="0" collapsed="false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customFormat="false" ht="15.75" hidden="false" customHeight="true" outlineLevel="0" collapsed="false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customFormat="false" ht="15.75" hidden="false" customHeight="true" outlineLevel="0" collapsed="false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customFormat="false" ht="15.75" hidden="false" customHeight="true" outlineLevel="0" collapsed="false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customFormat="false" ht="15.75" hidden="false" customHeight="true" outlineLevel="0" collapsed="false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customFormat="false" ht="15.75" hidden="false" customHeight="true" outlineLevel="0" collapsed="false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customFormat="false" ht="15.75" hidden="false" customHeight="true" outlineLevel="0" collapsed="false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customFormat="false" ht="15.75" hidden="false" customHeight="true" outlineLevel="0" collapsed="false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customFormat="false" ht="15.75" hidden="false" customHeight="true" outlineLevel="0" collapsed="false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customFormat="false" ht="15.75" hidden="false" customHeight="true" outlineLevel="0" collapsed="false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customFormat="false" ht="15.75" hidden="false" customHeight="true" outlineLevel="0" collapsed="false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customFormat="false" ht="15.75" hidden="false" customHeight="true" outlineLevel="0" collapsed="false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customFormat="false" ht="15.75" hidden="false" customHeight="true" outlineLevel="0" collapsed="false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customFormat="false" ht="15.75" hidden="false" customHeight="true" outlineLevel="0" collapsed="false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customFormat="false" ht="15.75" hidden="false" customHeight="true" outlineLevel="0" collapsed="false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customFormat="false" ht="15.75" hidden="false" customHeight="true" outlineLevel="0" collapsed="false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customFormat="false" ht="15.75" hidden="false" customHeight="true" outlineLevel="0" collapsed="false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customFormat="false" ht="15.75" hidden="false" customHeight="true" outlineLevel="0" collapsed="false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customFormat="false" ht="15.75" hidden="false" customHeight="true" outlineLevel="0" collapsed="false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customFormat="false" ht="15.75" hidden="false" customHeight="true" outlineLevel="0" collapsed="false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customFormat="false" ht="15.75" hidden="false" customHeight="true" outlineLevel="0" collapsed="false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customFormat="false" ht="15.75" hidden="false" customHeight="true" outlineLevel="0" collapsed="false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customFormat="false" ht="15.75" hidden="false" customHeight="true" outlineLevel="0" collapsed="false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customFormat="false" ht="15.75" hidden="false" customHeight="true" outlineLevel="0" collapsed="false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customFormat="false" ht="15.75" hidden="false" customHeight="true" outlineLevel="0" collapsed="false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customFormat="false" ht="15.75" hidden="false" customHeight="true" outlineLevel="0" collapsed="false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customFormat="false" ht="15.75" hidden="false" customHeight="true" outlineLevel="0" collapsed="false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customFormat="false" ht="15.75" hidden="false" customHeight="true" outlineLevel="0" collapsed="false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customFormat="false" ht="15.75" hidden="false" customHeight="true" outlineLevel="0" collapsed="false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customFormat="false" ht="15.75" hidden="false" customHeight="true" outlineLevel="0" collapsed="false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customFormat="false" ht="15.75" hidden="false" customHeight="true" outlineLevel="0" collapsed="false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customFormat="false" ht="15.75" hidden="false" customHeight="true" outlineLevel="0" collapsed="false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customFormat="false" ht="15.75" hidden="false" customHeight="true" outlineLevel="0" collapsed="false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customFormat="false" ht="15.75" hidden="false" customHeight="true" outlineLevel="0" collapsed="false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customFormat="false" ht="15.75" hidden="false" customHeight="true" outlineLevel="0" collapsed="false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customFormat="false" ht="15.75" hidden="false" customHeight="true" outlineLevel="0" collapsed="false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customFormat="false" ht="15.75" hidden="false" customHeight="true" outlineLevel="0" collapsed="false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customFormat="false" ht="15.75" hidden="false" customHeight="true" outlineLevel="0" collapsed="false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customFormat="false" ht="15.75" hidden="false" customHeight="true" outlineLevel="0" collapsed="false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customFormat="false" ht="15.75" hidden="false" customHeight="true" outlineLevel="0" collapsed="false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customFormat="false" ht="15.75" hidden="false" customHeight="true" outlineLevel="0" collapsed="false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customFormat="false" ht="15.75" hidden="false" customHeight="true" outlineLevel="0" collapsed="false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customFormat="false" ht="15.75" hidden="false" customHeight="true" outlineLevel="0" collapsed="false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customFormat="false" ht="15.75" hidden="false" customHeight="true" outlineLevel="0" collapsed="false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customFormat="false" ht="15.75" hidden="false" customHeight="true" outlineLevel="0" collapsed="false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customFormat="false" ht="15.75" hidden="false" customHeight="true" outlineLevel="0" collapsed="false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customFormat="false" ht="15.75" hidden="false" customHeight="true" outlineLevel="0" collapsed="false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customFormat="false" ht="15.75" hidden="false" customHeight="true" outlineLevel="0" collapsed="false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customFormat="false" ht="15.75" hidden="false" customHeight="true" outlineLevel="0" collapsed="false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customFormat="false" ht="15.75" hidden="false" customHeight="true" outlineLevel="0" collapsed="false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customFormat="false" ht="15.75" hidden="false" customHeight="true" outlineLevel="0" collapsed="false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customFormat="false" ht="15.75" hidden="false" customHeight="true" outlineLevel="0" collapsed="false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customFormat="false" ht="15.75" hidden="false" customHeight="true" outlineLevel="0" collapsed="false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customFormat="false" ht="15.75" hidden="false" customHeight="true" outlineLevel="0" collapsed="false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customFormat="false" ht="15.75" hidden="false" customHeight="true" outlineLevel="0" collapsed="false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customFormat="false" ht="15.75" hidden="false" customHeight="true" outlineLevel="0" collapsed="false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customFormat="false" ht="15.75" hidden="false" customHeight="true" outlineLevel="0" collapsed="false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customFormat="false" ht="15.75" hidden="false" customHeight="true" outlineLevel="0" collapsed="false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customFormat="false" ht="15.75" hidden="false" customHeight="true" outlineLevel="0" collapsed="false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customFormat="false" ht="15.75" hidden="false" customHeight="true" outlineLevel="0" collapsed="false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customFormat="false" ht="15.75" hidden="false" customHeight="true" outlineLevel="0" collapsed="false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customFormat="false" ht="15.75" hidden="false" customHeight="true" outlineLevel="0" collapsed="false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customFormat="false" ht="15.75" hidden="false" customHeight="true" outlineLevel="0" collapsed="false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customFormat="false" ht="15.75" hidden="false" customHeight="true" outlineLevel="0" collapsed="false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customFormat="false" ht="15.75" hidden="false" customHeight="true" outlineLevel="0" collapsed="false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customFormat="false" ht="15.75" hidden="false" customHeight="true" outlineLevel="0" collapsed="false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customFormat="false" ht="15.75" hidden="false" customHeight="true" outlineLevel="0" collapsed="false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customFormat="false" ht="15.75" hidden="false" customHeight="true" outlineLevel="0" collapsed="false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customFormat="false" ht="15.75" hidden="false" customHeight="true" outlineLevel="0" collapsed="false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customFormat="false" ht="15.75" hidden="false" customHeight="true" outlineLevel="0" collapsed="false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customFormat="false" ht="15.75" hidden="false" customHeight="true" outlineLevel="0" collapsed="false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customFormat="false" ht="15.75" hidden="false" customHeight="true" outlineLevel="0" collapsed="false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customFormat="false" ht="15.75" hidden="false" customHeight="true" outlineLevel="0" collapsed="false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customFormat="false" ht="15.75" hidden="false" customHeight="true" outlineLevel="0" collapsed="false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customFormat="false" ht="15.75" hidden="false" customHeight="true" outlineLevel="0" collapsed="false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customFormat="false" ht="15.75" hidden="false" customHeight="true" outlineLevel="0" collapsed="false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customFormat="false" ht="15.75" hidden="false" customHeight="true" outlineLevel="0" collapsed="false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customFormat="false" ht="15.75" hidden="false" customHeight="true" outlineLevel="0" collapsed="false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customFormat="false" ht="15.75" hidden="false" customHeight="true" outlineLevel="0" collapsed="false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customFormat="false" ht="15.75" hidden="false" customHeight="true" outlineLevel="0" collapsed="false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customFormat="false" ht="15.75" hidden="false" customHeight="true" outlineLevel="0" collapsed="false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customFormat="false" ht="15.75" hidden="false" customHeight="true" outlineLevel="0" collapsed="false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customFormat="false" ht="15.75" hidden="false" customHeight="true" outlineLevel="0" collapsed="false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customFormat="false" ht="15.75" hidden="false" customHeight="true" outlineLevel="0" collapsed="false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customFormat="false" ht="15.75" hidden="false" customHeight="true" outlineLevel="0" collapsed="false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customFormat="false" ht="15.75" hidden="false" customHeight="true" outlineLevel="0" collapsed="false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customFormat="false" ht="15.75" hidden="false" customHeight="true" outlineLevel="0" collapsed="false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customFormat="false" ht="15.75" hidden="false" customHeight="true" outlineLevel="0" collapsed="false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customFormat="false" ht="15.75" hidden="false" customHeight="true" outlineLevel="0" collapsed="false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customFormat="false" ht="15.75" hidden="false" customHeight="true" outlineLevel="0" collapsed="false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customFormat="false" ht="15.75" hidden="false" customHeight="true" outlineLevel="0" collapsed="false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customFormat="false" ht="15.75" hidden="false" customHeight="true" outlineLevel="0" collapsed="false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customFormat="false" ht="15.75" hidden="false" customHeight="true" outlineLevel="0" collapsed="false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customFormat="false" ht="15.75" hidden="false" customHeight="true" outlineLevel="0" collapsed="false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customFormat="false" ht="15.75" hidden="false" customHeight="true" outlineLevel="0" collapsed="false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customFormat="false" ht="15.75" hidden="false" customHeight="true" outlineLevel="0" collapsed="false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customFormat="false" ht="15.75" hidden="false" customHeight="true" outlineLevel="0" collapsed="false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customFormat="false" ht="15.75" hidden="false" customHeight="true" outlineLevel="0" collapsed="false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customFormat="false" ht="15.75" hidden="false" customHeight="true" outlineLevel="0" collapsed="false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customFormat="false" ht="15.75" hidden="false" customHeight="true" outlineLevel="0" collapsed="false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customFormat="false" ht="15.75" hidden="false" customHeight="true" outlineLevel="0" collapsed="false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customFormat="false" ht="15.75" hidden="false" customHeight="true" outlineLevel="0" collapsed="false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customFormat="false" ht="15.75" hidden="false" customHeight="true" outlineLevel="0" collapsed="false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customFormat="false" ht="15.75" hidden="false" customHeight="true" outlineLevel="0" collapsed="false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customFormat="false" ht="15.75" hidden="false" customHeight="true" outlineLevel="0" collapsed="false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customFormat="false" ht="15.75" hidden="false" customHeight="true" outlineLevel="0" collapsed="false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customFormat="false" ht="15.75" hidden="false" customHeight="true" outlineLevel="0" collapsed="false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customFormat="false" ht="15.75" hidden="false" customHeight="true" outlineLevel="0" collapsed="false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customFormat="false" ht="15.75" hidden="false" customHeight="true" outlineLevel="0" collapsed="false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customFormat="false" ht="15.75" hidden="false" customHeight="true" outlineLevel="0" collapsed="false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customFormat="false" ht="15.75" hidden="false" customHeight="true" outlineLevel="0" collapsed="false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customFormat="false" ht="15.75" hidden="false" customHeight="true" outlineLevel="0" collapsed="false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customFormat="false" ht="15.75" hidden="false" customHeight="true" outlineLevel="0" collapsed="false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customFormat="false" ht="15.75" hidden="false" customHeight="true" outlineLevel="0" collapsed="false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customFormat="false" ht="15.75" hidden="false" customHeight="true" outlineLevel="0" collapsed="false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customFormat="false" ht="15.75" hidden="false" customHeight="true" outlineLevel="0" collapsed="false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customFormat="false" ht="15.75" hidden="false" customHeight="true" outlineLevel="0" collapsed="false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customFormat="false" ht="15.75" hidden="false" customHeight="true" outlineLevel="0" collapsed="false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customFormat="false" ht="15.75" hidden="false" customHeight="true" outlineLevel="0" collapsed="false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customFormat="false" ht="15.75" hidden="false" customHeight="true" outlineLevel="0" collapsed="false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customFormat="false" ht="15.75" hidden="false" customHeight="true" outlineLevel="0" collapsed="false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customFormat="false" ht="15.75" hidden="false" customHeight="true" outlineLevel="0" collapsed="false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customFormat="false" ht="15.75" hidden="false" customHeight="true" outlineLevel="0" collapsed="false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customFormat="false" ht="15.75" hidden="false" customHeight="true" outlineLevel="0" collapsed="false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customFormat="false" ht="15.75" hidden="false" customHeight="true" outlineLevel="0" collapsed="false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customFormat="false" ht="15.75" hidden="false" customHeight="true" outlineLevel="0" collapsed="false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customFormat="false" ht="15.75" hidden="false" customHeight="true" outlineLevel="0" collapsed="false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customFormat="false" ht="15.75" hidden="false" customHeight="true" outlineLevel="0" collapsed="false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customFormat="false" ht="15.75" hidden="false" customHeight="true" outlineLevel="0" collapsed="false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customFormat="false" ht="15.75" hidden="false" customHeight="true" outlineLevel="0" collapsed="false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customFormat="false" ht="15.75" hidden="false" customHeight="true" outlineLevel="0" collapsed="false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customFormat="false" ht="15.75" hidden="false" customHeight="true" outlineLevel="0" collapsed="false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customFormat="false" ht="15.75" hidden="false" customHeight="true" outlineLevel="0" collapsed="false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customFormat="false" ht="15.75" hidden="false" customHeight="true" outlineLevel="0" collapsed="false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customFormat="false" ht="15.75" hidden="false" customHeight="true" outlineLevel="0" collapsed="false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customFormat="false" ht="15.75" hidden="false" customHeight="true" outlineLevel="0" collapsed="false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customFormat="false" ht="15.75" hidden="false" customHeight="true" outlineLevel="0" collapsed="false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customFormat="false" ht="15.75" hidden="false" customHeight="true" outlineLevel="0" collapsed="false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customFormat="false" ht="15.75" hidden="false" customHeight="true" outlineLevel="0" collapsed="false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customFormat="false" ht="15.75" hidden="false" customHeight="true" outlineLevel="0" collapsed="false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customFormat="false" ht="15.75" hidden="false" customHeight="true" outlineLevel="0" collapsed="false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customFormat="false" ht="15.75" hidden="false" customHeight="true" outlineLevel="0" collapsed="false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customFormat="false" ht="15.75" hidden="false" customHeight="true" outlineLevel="0" collapsed="false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customFormat="false" ht="15.75" hidden="false" customHeight="true" outlineLevel="0" collapsed="false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customFormat="false" ht="15.75" hidden="false" customHeight="true" outlineLevel="0" collapsed="false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customFormat="false" ht="15.75" hidden="false" customHeight="true" outlineLevel="0" collapsed="false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customFormat="false" ht="15.75" hidden="false" customHeight="true" outlineLevel="0" collapsed="false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customFormat="false" ht="15.75" hidden="false" customHeight="true" outlineLevel="0" collapsed="false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customFormat="false" ht="15.75" hidden="false" customHeight="true" outlineLevel="0" collapsed="false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customFormat="false" ht="15.75" hidden="false" customHeight="true" outlineLevel="0" collapsed="false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customFormat="false" ht="15.75" hidden="false" customHeight="true" outlineLevel="0" collapsed="false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customFormat="false" ht="15.75" hidden="false" customHeight="true" outlineLevel="0" collapsed="false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customFormat="false" ht="15.75" hidden="false" customHeight="true" outlineLevel="0" collapsed="false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customFormat="false" ht="15.75" hidden="false" customHeight="true" outlineLevel="0" collapsed="false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customFormat="false" ht="15.75" hidden="false" customHeight="true" outlineLevel="0" collapsed="false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customFormat="false" ht="15.75" hidden="false" customHeight="true" outlineLevel="0" collapsed="false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customFormat="false" ht="15.75" hidden="false" customHeight="true" outlineLevel="0" collapsed="false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customFormat="false" ht="15.75" hidden="false" customHeight="true" outlineLevel="0" collapsed="false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customFormat="false" ht="15.75" hidden="false" customHeight="true" outlineLevel="0" collapsed="false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customFormat="false" ht="15.75" hidden="false" customHeight="true" outlineLevel="0" collapsed="false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customFormat="false" ht="15.75" hidden="false" customHeight="true" outlineLevel="0" collapsed="false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customFormat="false" ht="15.75" hidden="false" customHeight="true" outlineLevel="0" collapsed="false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customFormat="false" ht="15.75" hidden="false" customHeight="true" outlineLevel="0" collapsed="false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customFormat="false" ht="15.75" hidden="false" customHeight="true" outlineLevel="0" collapsed="false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customFormat="false" ht="15.75" hidden="false" customHeight="true" outlineLevel="0" collapsed="false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customFormat="false" ht="15.75" hidden="false" customHeight="true" outlineLevel="0" collapsed="false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customFormat="false" ht="15.75" hidden="false" customHeight="true" outlineLevel="0" collapsed="false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customFormat="false" ht="15.75" hidden="false" customHeight="true" outlineLevel="0" collapsed="false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customFormat="false" ht="15.75" hidden="false" customHeight="true" outlineLevel="0" collapsed="false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customFormat="false" ht="15.75" hidden="false" customHeight="true" outlineLevel="0" collapsed="false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customFormat="false" ht="15.75" hidden="false" customHeight="true" outlineLevel="0" collapsed="false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customFormat="false" ht="15.75" hidden="false" customHeight="true" outlineLevel="0" collapsed="false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customFormat="false" ht="15.75" hidden="false" customHeight="true" outlineLevel="0" collapsed="false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customFormat="false" ht="15.75" hidden="false" customHeight="true" outlineLevel="0" collapsed="false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customFormat="false" ht="15.75" hidden="false" customHeight="true" outlineLevel="0" collapsed="false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customFormat="false" ht="15.75" hidden="false" customHeight="true" outlineLevel="0" collapsed="false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customFormat="false" ht="15.75" hidden="false" customHeight="true" outlineLevel="0" collapsed="false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customFormat="false" ht="15.75" hidden="false" customHeight="true" outlineLevel="0" collapsed="false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customFormat="false" ht="15.75" hidden="false" customHeight="true" outlineLevel="0" collapsed="false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customFormat="false" ht="15.75" hidden="false" customHeight="true" outlineLevel="0" collapsed="false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customFormat="false" ht="15.75" hidden="false" customHeight="true" outlineLevel="0" collapsed="false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customFormat="false" ht="15.75" hidden="false" customHeight="true" outlineLevel="0" collapsed="false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customFormat="false" ht="15.75" hidden="false" customHeight="true" outlineLevel="0" collapsed="false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customFormat="false" ht="15.75" hidden="false" customHeight="true" outlineLevel="0" collapsed="false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customFormat="false" ht="15.75" hidden="false" customHeight="true" outlineLevel="0" collapsed="false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customFormat="false" ht="15.75" hidden="false" customHeight="true" outlineLevel="0" collapsed="false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customFormat="false" ht="15.75" hidden="false" customHeight="true" outlineLevel="0" collapsed="false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customFormat="false" ht="15.75" hidden="false" customHeight="true" outlineLevel="0" collapsed="false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customFormat="false" ht="15.75" hidden="false" customHeight="true" outlineLevel="0" collapsed="false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customFormat="false" ht="15.75" hidden="false" customHeight="true" outlineLevel="0" collapsed="false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customFormat="false" ht="15.75" hidden="false" customHeight="true" outlineLevel="0" collapsed="false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customFormat="false" ht="15.75" hidden="false" customHeight="true" outlineLevel="0" collapsed="false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customFormat="false" ht="15.75" hidden="false" customHeight="true" outlineLevel="0" collapsed="false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customFormat="false" ht="15.75" hidden="false" customHeight="true" outlineLevel="0" collapsed="false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customFormat="false" ht="15.75" hidden="false" customHeight="true" outlineLevel="0" collapsed="false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customFormat="false" ht="15.75" hidden="false" customHeight="true" outlineLevel="0" collapsed="false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customFormat="false" ht="15.75" hidden="false" customHeight="true" outlineLevel="0" collapsed="false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customFormat="false" ht="15.75" hidden="false" customHeight="true" outlineLevel="0" collapsed="false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customFormat="false" ht="15.75" hidden="false" customHeight="true" outlineLevel="0" collapsed="false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customFormat="false" ht="15.75" hidden="false" customHeight="true" outlineLevel="0" collapsed="false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customFormat="false" ht="15.75" hidden="false" customHeight="true" outlineLevel="0" collapsed="false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customFormat="false" ht="15.75" hidden="false" customHeight="true" outlineLevel="0" collapsed="false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customFormat="false" ht="15.75" hidden="false" customHeight="true" outlineLevel="0" collapsed="false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customFormat="false" ht="15.75" hidden="false" customHeight="true" outlineLevel="0" collapsed="false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customFormat="false" ht="15.75" hidden="false" customHeight="true" outlineLevel="0" collapsed="false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customFormat="false" ht="15.75" hidden="false" customHeight="true" outlineLevel="0" collapsed="false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customFormat="false" ht="15.75" hidden="false" customHeight="true" outlineLevel="0" collapsed="false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customFormat="false" ht="15.75" hidden="false" customHeight="true" outlineLevel="0" collapsed="false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customFormat="false" ht="15.75" hidden="false" customHeight="true" outlineLevel="0" collapsed="false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customFormat="false" ht="15.75" hidden="false" customHeight="true" outlineLevel="0" collapsed="false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customFormat="false" ht="15.75" hidden="false" customHeight="true" outlineLevel="0" collapsed="false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customFormat="false" ht="15.75" hidden="false" customHeight="true" outlineLevel="0" collapsed="false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customFormat="false" ht="15.75" hidden="false" customHeight="true" outlineLevel="0" collapsed="false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customFormat="false" ht="15.75" hidden="false" customHeight="true" outlineLevel="0" collapsed="false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customFormat="false" ht="15.75" hidden="false" customHeight="true" outlineLevel="0" collapsed="false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customFormat="false" ht="15.75" hidden="false" customHeight="true" outlineLevel="0" collapsed="false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customFormat="false" ht="15.75" hidden="false" customHeight="true" outlineLevel="0" collapsed="false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customFormat="false" ht="15.75" hidden="false" customHeight="true" outlineLevel="0" collapsed="false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customFormat="false" ht="15.75" hidden="false" customHeight="true" outlineLevel="0" collapsed="false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customFormat="false" ht="15.75" hidden="false" customHeight="true" outlineLevel="0" collapsed="false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customFormat="false" ht="15.75" hidden="false" customHeight="true" outlineLevel="0" collapsed="false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customFormat="false" ht="15.75" hidden="false" customHeight="true" outlineLevel="0" collapsed="false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customFormat="false" ht="15.75" hidden="false" customHeight="true" outlineLevel="0" collapsed="false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customFormat="false" ht="15.75" hidden="false" customHeight="true" outlineLevel="0" collapsed="false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customFormat="false" ht="15.75" hidden="false" customHeight="true" outlineLevel="0" collapsed="false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customFormat="false" ht="15.75" hidden="false" customHeight="true" outlineLevel="0" collapsed="false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customFormat="false" ht="15.75" hidden="false" customHeight="true" outlineLevel="0" collapsed="false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customFormat="false" ht="15.75" hidden="false" customHeight="true" outlineLevel="0" collapsed="false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customFormat="false" ht="15.75" hidden="false" customHeight="true" outlineLevel="0" collapsed="false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customFormat="false" ht="15.75" hidden="false" customHeight="true" outlineLevel="0" collapsed="false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customFormat="false" ht="15.75" hidden="false" customHeight="true" outlineLevel="0" collapsed="false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customFormat="false" ht="15.75" hidden="false" customHeight="true" outlineLevel="0" collapsed="false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customFormat="false" ht="15.75" hidden="false" customHeight="true" outlineLevel="0" collapsed="false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customFormat="false" ht="15.75" hidden="false" customHeight="true" outlineLevel="0" collapsed="false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customFormat="false" ht="15.75" hidden="false" customHeight="true" outlineLevel="0" collapsed="false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customFormat="false" ht="15.75" hidden="false" customHeight="true" outlineLevel="0" collapsed="false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customFormat="false" ht="15.75" hidden="false" customHeight="true" outlineLevel="0" collapsed="false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customFormat="false" ht="15.75" hidden="false" customHeight="true" outlineLevel="0" collapsed="false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customFormat="false" ht="15.75" hidden="false" customHeight="true" outlineLevel="0" collapsed="false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customFormat="false" ht="15.75" hidden="false" customHeight="true" outlineLevel="0" collapsed="false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customFormat="false" ht="15.75" hidden="false" customHeight="true" outlineLevel="0" collapsed="false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customFormat="false" ht="15.75" hidden="false" customHeight="true" outlineLevel="0" collapsed="false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customFormat="false" ht="15.75" hidden="false" customHeight="true" outlineLevel="0" collapsed="false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customFormat="false" ht="15.75" hidden="false" customHeight="true" outlineLevel="0" collapsed="false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customFormat="false" ht="15.75" hidden="false" customHeight="true" outlineLevel="0" collapsed="false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customFormat="false" ht="15.75" hidden="false" customHeight="true" outlineLevel="0" collapsed="false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customFormat="false" ht="15.75" hidden="false" customHeight="true" outlineLevel="0" collapsed="false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customFormat="false" ht="15.75" hidden="false" customHeight="true" outlineLevel="0" collapsed="false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customFormat="false" ht="15.75" hidden="false" customHeight="true" outlineLevel="0" collapsed="false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customFormat="false" ht="15.75" hidden="false" customHeight="true" outlineLevel="0" collapsed="false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customFormat="false" ht="15.75" hidden="false" customHeight="true" outlineLevel="0" collapsed="false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customFormat="false" ht="15.75" hidden="false" customHeight="true" outlineLevel="0" collapsed="false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customFormat="false" ht="15.75" hidden="false" customHeight="true" outlineLevel="0" collapsed="false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customFormat="false" ht="15.75" hidden="false" customHeight="true" outlineLevel="0" collapsed="false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customFormat="false" ht="15.75" hidden="false" customHeight="true" outlineLevel="0" collapsed="false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customFormat="false" ht="15.75" hidden="false" customHeight="true" outlineLevel="0" collapsed="false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customFormat="false" ht="15.75" hidden="false" customHeight="true" outlineLevel="0" collapsed="false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customFormat="false" ht="15.75" hidden="false" customHeight="true" outlineLevel="0" collapsed="false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customFormat="false" ht="15.75" hidden="false" customHeight="true" outlineLevel="0" collapsed="false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customFormat="false" ht="15.75" hidden="false" customHeight="true" outlineLevel="0" collapsed="false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customFormat="false" ht="15.75" hidden="false" customHeight="true" outlineLevel="0" collapsed="false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customFormat="false" ht="15.75" hidden="false" customHeight="true" outlineLevel="0" collapsed="false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customFormat="false" ht="15.75" hidden="false" customHeight="true" outlineLevel="0" collapsed="false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customFormat="false" ht="15.75" hidden="false" customHeight="true" outlineLevel="0" collapsed="false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customFormat="false" ht="15.75" hidden="false" customHeight="true" outlineLevel="0" collapsed="false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customFormat="false" ht="15.75" hidden="false" customHeight="true" outlineLevel="0" collapsed="false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customFormat="false" ht="15.75" hidden="false" customHeight="true" outlineLevel="0" collapsed="false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customFormat="false" ht="15.75" hidden="false" customHeight="true" outlineLevel="0" collapsed="false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customFormat="false" ht="15.75" hidden="false" customHeight="true" outlineLevel="0" collapsed="false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customFormat="false" ht="15.75" hidden="false" customHeight="true" outlineLevel="0" collapsed="false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customFormat="false" ht="15.75" hidden="false" customHeight="true" outlineLevel="0" collapsed="false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customFormat="false" ht="15.75" hidden="false" customHeight="true" outlineLevel="0" collapsed="false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customFormat="false" ht="15.75" hidden="false" customHeight="true" outlineLevel="0" collapsed="false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customFormat="false" ht="15.75" hidden="false" customHeight="true" outlineLevel="0" collapsed="false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customFormat="false" ht="15.75" hidden="false" customHeight="true" outlineLevel="0" collapsed="false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customFormat="false" ht="15.75" hidden="false" customHeight="true" outlineLevel="0" collapsed="false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customFormat="false" ht="15.75" hidden="false" customHeight="true" outlineLevel="0" collapsed="false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customFormat="false" ht="15.75" hidden="false" customHeight="true" outlineLevel="0" collapsed="false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customFormat="false" ht="15.75" hidden="false" customHeight="true" outlineLevel="0" collapsed="false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customFormat="false" ht="15.75" hidden="false" customHeight="true" outlineLevel="0" collapsed="false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customFormat="false" ht="15.75" hidden="false" customHeight="true" outlineLevel="0" collapsed="false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customFormat="false" ht="15.75" hidden="false" customHeight="true" outlineLevel="0" collapsed="false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customFormat="false" ht="15.75" hidden="false" customHeight="true" outlineLevel="0" collapsed="false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customFormat="false" ht="15.75" hidden="false" customHeight="true" outlineLevel="0" collapsed="false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customFormat="false" ht="15.75" hidden="false" customHeight="true" outlineLevel="0" collapsed="false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customFormat="false" ht="15.75" hidden="false" customHeight="true" outlineLevel="0" collapsed="false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customFormat="false" ht="15.75" hidden="false" customHeight="true" outlineLevel="0" collapsed="false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customFormat="false" ht="15.75" hidden="false" customHeight="true" outlineLevel="0" collapsed="false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customFormat="false" ht="15.75" hidden="false" customHeight="true" outlineLevel="0" collapsed="false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customFormat="false" ht="15.75" hidden="false" customHeight="true" outlineLevel="0" collapsed="false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customFormat="false" ht="15.75" hidden="false" customHeight="true" outlineLevel="0" collapsed="false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customFormat="false" ht="15.75" hidden="false" customHeight="true" outlineLevel="0" collapsed="false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customFormat="false" ht="15.75" hidden="false" customHeight="true" outlineLevel="0" collapsed="false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customFormat="false" ht="15.75" hidden="false" customHeight="true" outlineLevel="0" collapsed="false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customFormat="false" ht="15.75" hidden="false" customHeight="true" outlineLevel="0" collapsed="false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customFormat="false" ht="15.75" hidden="false" customHeight="true" outlineLevel="0" collapsed="false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customFormat="false" ht="15.75" hidden="false" customHeight="true" outlineLevel="0" collapsed="false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customFormat="false" ht="15.75" hidden="false" customHeight="true" outlineLevel="0" collapsed="false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customFormat="false" ht="15.75" hidden="false" customHeight="true" outlineLevel="0" collapsed="false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customFormat="false" ht="15.75" hidden="false" customHeight="true" outlineLevel="0" collapsed="false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customFormat="false" ht="15.75" hidden="false" customHeight="true" outlineLevel="0" collapsed="false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customFormat="false" ht="15.75" hidden="false" customHeight="true" outlineLevel="0" collapsed="false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customFormat="false" ht="15.75" hidden="false" customHeight="true" outlineLevel="0" collapsed="false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customFormat="false" ht="15.75" hidden="false" customHeight="true" outlineLevel="0" collapsed="false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customFormat="false" ht="15.75" hidden="false" customHeight="true" outlineLevel="0" collapsed="false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customFormat="false" ht="15.75" hidden="false" customHeight="true" outlineLevel="0" collapsed="false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customFormat="false" ht="15.75" hidden="false" customHeight="true" outlineLevel="0" collapsed="false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customFormat="false" ht="15.75" hidden="false" customHeight="true" outlineLevel="0" collapsed="false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customFormat="false" ht="15.75" hidden="false" customHeight="true" outlineLevel="0" collapsed="false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customFormat="false" ht="15.75" hidden="false" customHeight="true" outlineLevel="0" collapsed="false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customFormat="false" ht="15.75" hidden="false" customHeight="true" outlineLevel="0" collapsed="false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customFormat="false" ht="15.75" hidden="false" customHeight="true" outlineLevel="0" collapsed="false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customFormat="false" ht="15.75" hidden="false" customHeight="true" outlineLevel="0" collapsed="false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customFormat="false" ht="15.75" hidden="false" customHeight="true" outlineLevel="0" collapsed="false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customFormat="false" ht="15.75" hidden="false" customHeight="true" outlineLevel="0" collapsed="false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customFormat="false" ht="15.75" hidden="false" customHeight="true" outlineLevel="0" collapsed="false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customFormat="false" ht="15.75" hidden="false" customHeight="true" outlineLevel="0" collapsed="false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customFormat="false" ht="15.75" hidden="false" customHeight="true" outlineLevel="0" collapsed="false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">
    <mergeCell ref="A1:L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3.71"/>
    <col collapsed="false" customWidth="true" hidden="false" outlineLevel="0" max="2" min="2" style="0" width="9.43"/>
    <col collapsed="false" customWidth="true" hidden="false" outlineLevel="0" max="3" min="3" style="0" width="40.14"/>
    <col collapsed="false" customWidth="true" hidden="false" outlineLevel="0" max="4" min="4" style="0" width="10.85"/>
    <col collapsed="false" customWidth="true" hidden="false" outlineLevel="0" max="5" min="5" style="0" width="9.43"/>
    <col collapsed="false" customWidth="true" hidden="false" outlineLevel="0" max="6" min="6" style="0" width="6.57"/>
    <col collapsed="false" customWidth="true" hidden="false" outlineLevel="0" max="7" min="7" style="0" width="12.29"/>
    <col collapsed="false" customWidth="true" hidden="false" outlineLevel="0" max="8" min="8" style="0" width="8.71"/>
    <col collapsed="false" customWidth="true" hidden="false" outlineLevel="0" max="9" min="9" style="0" width="13"/>
    <col collapsed="false" customWidth="true" hidden="false" outlineLevel="0" max="10" min="10" style="0" width="12.29"/>
    <col collapsed="false" customWidth="true" hidden="false" outlineLevel="0" max="11" min="11" style="0" width="13.71"/>
    <col collapsed="false" customWidth="true" hidden="false" outlineLevel="0" max="26" min="12" style="0" width="8.71"/>
  </cols>
  <sheetData>
    <row r="1" customFormat="false" ht="15" hidden="false" customHeight="true" outlineLevel="0" collapsed="false">
      <c r="A1" s="81" t="s">
        <v>221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customFormat="false" ht="15" hidden="false" customHeight="true" outlineLevel="0" collapsed="false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customFormat="false" ht="34.5" hidden="false" customHeight="true" outlineLevel="0" collapsed="false">
      <c r="A3" s="73" t="s">
        <v>100</v>
      </c>
      <c r="B3" s="74" t="s">
        <v>102</v>
      </c>
      <c r="C3" s="74" t="s">
        <v>103</v>
      </c>
      <c r="D3" s="73" t="s">
        <v>209</v>
      </c>
      <c r="E3" s="73" t="s">
        <v>222</v>
      </c>
      <c r="F3" s="73" t="s">
        <v>223</v>
      </c>
      <c r="G3" s="73" t="s">
        <v>224</v>
      </c>
      <c r="H3" s="73" t="s">
        <v>225</v>
      </c>
      <c r="I3" s="73" t="s">
        <v>226</v>
      </c>
      <c r="J3" s="73" t="s">
        <v>227</v>
      </c>
      <c r="K3" s="73" t="s">
        <v>228</v>
      </c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customFormat="false" ht="15" hidden="false" customHeight="true" outlineLevel="0" collapsed="false">
      <c r="A4" s="76" t="s">
        <v>117</v>
      </c>
      <c r="B4" s="78"/>
      <c r="C4" s="76"/>
      <c r="D4" s="77"/>
      <c r="E4" s="82"/>
      <c r="F4" s="78"/>
      <c r="G4" s="83"/>
      <c r="H4" s="82"/>
      <c r="I4" s="82"/>
      <c r="J4" s="77"/>
      <c r="K4" s="77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customFormat="false" ht="15" hidden="false" customHeight="true" outlineLevel="0" collapsed="false">
      <c r="A5" s="79" t="s">
        <v>118</v>
      </c>
      <c r="B5" s="79" t="s">
        <v>119</v>
      </c>
      <c r="C5" s="79" t="s">
        <v>120</v>
      </c>
      <c r="D5" s="80" t="n">
        <f aca="false">'Divisão dos Circuitos'!K5</f>
        <v>10.8402203856749</v>
      </c>
      <c r="E5" s="84" t="n">
        <v>220</v>
      </c>
      <c r="F5" s="79" t="n">
        <v>2</v>
      </c>
      <c r="G5" s="85" t="n">
        <v>0.0178</v>
      </c>
      <c r="H5" s="84" t="n">
        <v>56.1</v>
      </c>
      <c r="I5" s="84" t="n">
        <v>2.5</v>
      </c>
      <c r="J5" s="80" t="n">
        <f aca="false">(F5*G5*H5*D5*100)/(I5*E5)</f>
        <v>3.93630082644628</v>
      </c>
      <c r="K5" s="80" t="n">
        <f aca="false">IF(J5&lt;=1.5, 1.5, IF(J5&lt;=2.5, 2.5, IF(J5&lt;=4, 4, IF(J5&lt;=6, 6, IF(J5&lt;=10, 10, 16)))))</f>
        <v>4</v>
      </c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customFormat="false" ht="15" hidden="false" customHeight="true" outlineLevel="0" collapsed="false">
      <c r="A6" s="79" t="s">
        <v>121</v>
      </c>
      <c r="B6" s="79" t="s">
        <v>119</v>
      </c>
      <c r="C6" s="79" t="s">
        <v>122</v>
      </c>
      <c r="D6" s="80" t="n">
        <f aca="false">'Divisão dos Circuitos'!K6</f>
        <v>10.9090909090909</v>
      </c>
      <c r="E6" s="84" t="n">
        <v>220</v>
      </c>
      <c r="F6" s="79" t="n">
        <v>2</v>
      </c>
      <c r="G6" s="85" t="n">
        <v>0.0178</v>
      </c>
      <c r="H6" s="79" t="n">
        <v>27.8</v>
      </c>
      <c r="I6" s="84" t="n">
        <v>2.5</v>
      </c>
      <c r="J6" s="80" t="n">
        <f aca="false">(F6*G6*H6*D6*100)/(I6*E6)</f>
        <v>1.96300165289256</v>
      </c>
      <c r="K6" s="80" t="n">
        <f aca="false">IF(J6&lt;=1.5, 1.5, IF(J6&lt;=2.5, 2.5, IF(J6&lt;=4, 4, IF(J6&lt;=6, 6, IF(J6&lt;=10, 10, 16)))))</f>
        <v>2.5</v>
      </c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customFormat="false" ht="15" hidden="false" customHeight="true" outlineLevel="0" collapsed="false">
      <c r="A7" s="79" t="s">
        <v>123</v>
      </c>
      <c r="B7" s="79" t="s">
        <v>119</v>
      </c>
      <c r="C7" s="79" t="s">
        <v>124</v>
      </c>
      <c r="D7" s="80" t="n">
        <f aca="false">'Divisão dos Circuitos'!K7</f>
        <v>8.18181818181818</v>
      </c>
      <c r="E7" s="84" t="n">
        <v>220</v>
      </c>
      <c r="F7" s="79" t="n">
        <v>2</v>
      </c>
      <c r="G7" s="85" t="n">
        <v>0.0178</v>
      </c>
      <c r="H7" s="79" t="n">
        <v>15.4</v>
      </c>
      <c r="I7" s="84" t="n">
        <v>2.5</v>
      </c>
      <c r="J7" s="80" t="n">
        <f aca="false">(F7*G7*H7*D7*100)/(I7*E7)</f>
        <v>0.815563636363637</v>
      </c>
      <c r="K7" s="80" t="n">
        <f aca="false">IF(J7&lt;=1.5, 1.5, IF(J7&lt;=2.5, 2.5, IF(J7&lt;=4, 4, IF(J7&lt;=6, 6, IF(J7&lt;=10, 10, 16)))))</f>
        <v>1.5</v>
      </c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customFormat="false" ht="15" hidden="false" customHeight="true" outlineLevel="0" collapsed="false">
      <c r="A8" s="79" t="s">
        <v>125</v>
      </c>
      <c r="B8" s="79" t="s">
        <v>119</v>
      </c>
      <c r="C8" s="79" t="s">
        <v>126</v>
      </c>
      <c r="D8" s="80" t="n">
        <f aca="false">'Divisão dos Circuitos'!K8</f>
        <v>10.9090909090909</v>
      </c>
      <c r="E8" s="84" t="n">
        <v>220</v>
      </c>
      <c r="F8" s="79" t="n">
        <v>2</v>
      </c>
      <c r="G8" s="85" t="n">
        <v>0.0178</v>
      </c>
      <c r="H8" s="84" t="n">
        <v>44.5</v>
      </c>
      <c r="I8" s="84" t="n">
        <v>2.5</v>
      </c>
      <c r="J8" s="80" t="n">
        <f aca="false">(F8*G8*H8*D8*100)/(I8*E8)</f>
        <v>3.14221487603306</v>
      </c>
      <c r="K8" s="80" t="n">
        <f aca="false">IF(J8&lt;=1.5, 1.5, IF(J8&lt;=2.5, 2.5, IF(J8&lt;=4, 4, IF(J8&lt;=6, 6, IF(J8&lt;=10, 10, 16)))))</f>
        <v>4</v>
      </c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customFormat="false" ht="15" hidden="false" customHeight="true" outlineLevel="0" collapsed="false">
      <c r="A9" s="79" t="s">
        <v>127</v>
      </c>
      <c r="B9" s="79" t="s">
        <v>119</v>
      </c>
      <c r="C9" s="79" t="s">
        <v>128</v>
      </c>
      <c r="D9" s="80" t="n">
        <f aca="false">'Divisão dos Circuitos'!K9</f>
        <v>8.18181818181818</v>
      </c>
      <c r="E9" s="84" t="n">
        <v>220</v>
      </c>
      <c r="F9" s="79" t="n">
        <v>2</v>
      </c>
      <c r="G9" s="85" t="n">
        <v>0.0178</v>
      </c>
      <c r="H9" s="84" t="n">
        <v>54</v>
      </c>
      <c r="I9" s="84" t="n">
        <v>2.5</v>
      </c>
      <c r="J9" s="80" t="n">
        <f aca="false">(F9*G9*H9*D9*100)/(I9*E9)</f>
        <v>2.85976859504132</v>
      </c>
      <c r="K9" s="80" t="n">
        <f aca="false">IF(J9&lt;=1.5, 1.5, IF(J9&lt;=2.5, 2.5, IF(J9&lt;=4, 4, IF(J9&lt;=6, 6, IF(J9&lt;=10, 10, 16)))))</f>
        <v>4</v>
      </c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customFormat="false" ht="15" hidden="false" customHeight="true" outlineLevel="0" collapsed="false">
      <c r="A10" s="79" t="s">
        <v>129</v>
      </c>
      <c r="B10" s="79" t="s">
        <v>119</v>
      </c>
      <c r="C10" s="79" t="s">
        <v>122</v>
      </c>
      <c r="D10" s="80" t="n">
        <f aca="false">'Divisão dos Circuitos'!K10</f>
        <v>18.2321137638829</v>
      </c>
      <c r="E10" s="84" t="n">
        <v>380</v>
      </c>
      <c r="F10" s="86" t="n">
        <v>1.732</v>
      </c>
      <c r="G10" s="85" t="n">
        <v>0.0178</v>
      </c>
      <c r="H10" s="79" t="n">
        <v>25.7</v>
      </c>
      <c r="I10" s="84" t="n">
        <v>2.5</v>
      </c>
      <c r="J10" s="80" t="n">
        <f aca="false">(F10*G10*H10*D10*100)/(I10*E10)</f>
        <v>1.52059805310754</v>
      </c>
      <c r="K10" s="80" t="n">
        <f aca="false">IF(J10&lt;=1.5, 1.5, IF(J10&lt;=2.5, 2.5, IF(J10&lt;=4, 4, IF(J10&lt;=6, 6, IF(J10&lt;=10, 10, 16)))))</f>
        <v>2.5</v>
      </c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customFormat="false" ht="15" hidden="false" customHeight="true" outlineLevel="0" collapsed="false">
      <c r="A11" s="79" t="s">
        <v>130</v>
      </c>
      <c r="B11" s="79" t="s">
        <v>119</v>
      </c>
      <c r="C11" s="79" t="s">
        <v>126</v>
      </c>
      <c r="D11" s="80" t="n">
        <f aca="false">'Divisão dos Circuitos'!K11</f>
        <v>18.2321137638829</v>
      </c>
      <c r="E11" s="84" t="n">
        <v>380</v>
      </c>
      <c r="F11" s="86" t="n">
        <v>1.732</v>
      </c>
      <c r="G11" s="85" t="n">
        <v>0.0178</v>
      </c>
      <c r="H11" s="84" t="n">
        <v>42.2</v>
      </c>
      <c r="I11" s="84" t="n">
        <v>2.5</v>
      </c>
      <c r="J11" s="80" t="n">
        <f aca="false">(F11*G11*H11*D11*100)/(I11*E11)</f>
        <v>2.49685750354623</v>
      </c>
      <c r="K11" s="80" t="n">
        <f aca="false">IF(J11&lt;=1.5, 1.5, IF(J11&lt;=2.5, 2.5, IF(J11&lt;=4, 4, IF(J11&lt;=6, 6, IF(J11&lt;=10, 10, 16)))))</f>
        <v>2.5</v>
      </c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customFormat="false" ht="15" hidden="false" customHeight="true" outlineLevel="0" collapsed="false">
      <c r="A12" s="79" t="s">
        <v>131</v>
      </c>
      <c r="B12" s="79" t="s">
        <v>119</v>
      </c>
      <c r="C12" s="79" t="s">
        <v>124</v>
      </c>
      <c r="D12" s="80" t="n">
        <f aca="false">'Divisão dos Circuitos'!K12</f>
        <v>18.2321137638829</v>
      </c>
      <c r="E12" s="84" t="n">
        <v>380</v>
      </c>
      <c r="F12" s="86" t="n">
        <v>1.732</v>
      </c>
      <c r="G12" s="85" t="n">
        <v>0.0178</v>
      </c>
      <c r="H12" s="84" t="n">
        <v>15</v>
      </c>
      <c r="I12" s="84" t="n">
        <v>2.5</v>
      </c>
      <c r="J12" s="80" t="n">
        <f aca="false">(F12*G12*H12*D12*100)/(I12*E12)</f>
        <v>0.887508591307903</v>
      </c>
      <c r="K12" s="80" t="n">
        <f aca="false">IF(J12&lt;=1.5, 1.5, IF(J12&lt;=2.5, 2.5, IF(J12&lt;=4, 4, IF(J12&lt;=6, 6, IF(J12&lt;=10, 10, 16)))))</f>
        <v>1.5</v>
      </c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customFormat="false" ht="15" hidden="false" customHeight="true" outlineLevel="0" collapsed="false">
      <c r="A13" s="79" t="s">
        <v>132</v>
      </c>
      <c r="B13" s="79" t="s">
        <v>119</v>
      </c>
      <c r="C13" s="79" t="s">
        <v>128</v>
      </c>
      <c r="D13" s="80" t="n">
        <f aca="false">'Divisão dos Circuitos'!K13</f>
        <v>18.2321137638829</v>
      </c>
      <c r="E13" s="84" t="n">
        <v>380</v>
      </c>
      <c r="F13" s="86" t="n">
        <v>1.732</v>
      </c>
      <c r="G13" s="85" t="n">
        <v>0.0178</v>
      </c>
      <c r="H13" s="84" t="n">
        <v>52.5</v>
      </c>
      <c r="I13" s="84" t="n">
        <v>2.5</v>
      </c>
      <c r="J13" s="80" t="n">
        <f aca="false">(F13*G13*H13*D13*100)/(I13*E13)</f>
        <v>3.10628006957766</v>
      </c>
      <c r="K13" s="80" t="n">
        <f aca="false">IF(J13&lt;=1.5, 1.5, IF(J13&lt;=2.5, 2.5, IF(J13&lt;=4, 4, IF(J13&lt;=6, 6, IF(J13&lt;=10, 10, 16)))))</f>
        <v>4</v>
      </c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customFormat="false" ht="15" hidden="false" customHeight="true" outlineLevel="0" collapsed="false">
      <c r="A14" s="79" t="s">
        <v>133</v>
      </c>
      <c r="B14" s="79" t="s">
        <v>119</v>
      </c>
      <c r="C14" s="79" t="s">
        <v>134</v>
      </c>
      <c r="D14" s="80" t="n">
        <f aca="false">'Divisão dos Circuitos'!K14</f>
        <v>13.6363636363636</v>
      </c>
      <c r="E14" s="84" t="n">
        <v>220</v>
      </c>
      <c r="F14" s="86" t="n">
        <v>2</v>
      </c>
      <c r="G14" s="85" t="n">
        <v>0.0178</v>
      </c>
      <c r="H14" s="79" t="n">
        <v>27.7</v>
      </c>
      <c r="I14" s="84" t="n">
        <v>2.5</v>
      </c>
      <c r="J14" s="80" t="n">
        <f aca="false">(F14*G14*H14*D14*100)/(I14*E14)</f>
        <v>2.44492561983471</v>
      </c>
      <c r="K14" s="80" t="n">
        <f aca="false">IF(J14&lt;=1.5, 1.5, IF(J14&lt;=2.5, 2.5, IF(J14&lt;=4, 4, IF(J14&lt;=6, 6, IF(J14&lt;=10, 10, 16)))))</f>
        <v>2.5</v>
      </c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customFormat="false" ht="15" hidden="false" customHeight="true" outlineLevel="0" collapsed="false">
      <c r="A15" s="79" t="s">
        <v>135</v>
      </c>
      <c r="B15" s="79" t="s">
        <v>119</v>
      </c>
      <c r="C15" s="79" t="s">
        <v>136</v>
      </c>
      <c r="D15" s="80" t="n">
        <f aca="false">'Divisão dos Circuitos'!K15</f>
        <v>10</v>
      </c>
      <c r="E15" s="84" t="n">
        <v>220</v>
      </c>
      <c r="F15" s="86" t="n">
        <v>2</v>
      </c>
      <c r="G15" s="85" t="n">
        <v>0.0178</v>
      </c>
      <c r="H15" s="79" t="n">
        <v>30.1</v>
      </c>
      <c r="I15" s="84" t="n">
        <v>2.5</v>
      </c>
      <c r="J15" s="80" t="n">
        <f aca="false">(F15*G15*H15*D15*100)/(I15*E15)</f>
        <v>1.94829090909091</v>
      </c>
      <c r="K15" s="80" t="n">
        <f aca="false">IF(J15&lt;=1.5, 1.5, IF(J15&lt;=2.5, 2.5, IF(J15&lt;=4, 4, IF(J15&lt;=6, 6, IF(J15&lt;=10, 10, 16)))))</f>
        <v>2.5</v>
      </c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customFormat="false" ht="15" hidden="false" customHeight="true" outlineLevel="0" collapsed="false">
      <c r="A16" s="79" t="s">
        <v>137</v>
      </c>
      <c r="B16" s="79" t="s">
        <v>119</v>
      </c>
      <c r="C16" s="79" t="s">
        <v>138</v>
      </c>
      <c r="D16" s="80" t="n">
        <f aca="false">'Divisão dos Circuitos'!K16</f>
        <v>9.09090909090909</v>
      </c>
      <c r="E16" s="84" t="n">
        <v>220</v>
      </c>
      <c r="F16" s="86" t="n">
        <v>2</v>
      </c>
      <c r="G16" s="85" t="n">
        <v>0.0178</v>
      </c>
      <c r="H16" s="84" t="n">
        <v>34</v>
      </c>
      <c r="I16" s="84" t="n">
        <v>2.5</v>
      </c>
      <c r="J16" s="80" t="n">
        <f aca="false">(F16*G16*H16*D16*100)/(I16*E16)</f>
        <v>2.00066115702479</v>
      </c>
      <c r="K16" s="80" t="n">
        <f aca="false">IF(J16&lt;=1.5, 1.5, IF(J16&lt;=2.5, 2.5, IF(J16&lt;=4, 4, IF(J16&lt;=6, 6, IF(J16&lt;=10, 10, 16)))))</f>
        <v>2.5</v>
      </c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customFormat="false" ht="15" hidden="false" customHeight="true" outlineLevel="0" collapsed="false">
      <c r="A17" s="79" t="s">
        <v>139</v>
      </c>
      <c r="B17" s="79" t="s">
        <v>119</v>
      </c>
      <c r="C17" s="79" t="s">
        <v>140</v>
      </c>
      <c r="D17" s="80" t="n">
        <f aca="false">'Divisão dos Circuitos'!K17</f>
        <v>15.4545454545455</v>
      </c>
      <c r="E17" s="84" t="n">
        <v>220</v>
      </c>
      <c r="F17" s="86" t="n">
        <v>2</v>
      </c>
      <c r="G17" s="85" t="n">
        <v>0.0178</v>
      </c>
      <c r="H17" s="84" t="n">
        <v>35</v>
      </c>
      <c r="I17" s="84" t="n">
        <v>2.5</v>
      </c>
      <c r="J17" s="80" t="n">
        <f aca="false">(F17*G17*H17*D17*100)/(I17*E17)</f>
        <v>3.50115702479339</v>
      </c>
      <c r="K17" s="80" t="n">
        <f aca="false">IF(J17&lt;=1.5, 1.5, IF(J17&lt;=2.5, 2.5, IF(J17&lt;=4, 4, IF(J17&lt;=6, 6, IF(J17&lt;=10, 10, 16)))))</f>
        <v>4</v>
      </c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customFormat="false" ht="15" hidden="false" customHeight="true" outlineLevel="0" collapsed="false">
      <c r="A18" s="78" t="s">
        <v>141</v>
      </c>
      <c r="B18" s="78"/>
      <c r="C18" s="78"/>
      <c r="D18" s="77"/>
      <c r="E18" s="82"/>
      <c r="F18" s="78"/>
      <c r="G18" s="83"/>
      <c r="H18" s="82"/>
      <c r="I18" s="82"/>
      <c r="J18" s="77"/>
      <c r="K18" s="77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customFormat="false" ht="15" hidden="false" customHeight="true" outlineLevel="0" collapsed="false">
      <c r="A19" s="79" t="s">
        <v>142</v>
      </c>
      <c r="B19" s="79" t="s">
        <v>143</v>
      </c>
      <c r="C19" s="79" t="s">
        <v>144</v>
      </c>
      <c r="D19" s="80" t="n">
        <f aca="false">'Divisão dos Circuitos'!K19</f>
        <v>8.87235996326905</v>
      </c>
      <c r="E19" s="84" t="n">
        <v>220</v>
      </c>
      <c r="F19" s="79" t="n">
        <v>2</v>
      </c>
      <c r="G19" s="85" t="n">
        <v>0.0178</v>
      </c>
      <c r="H19" s="84" t="n">
        <v>45.1</v>
      </c>
      <c r="I19" s="84" t="n">
        <v>2.5</v>
      </c>
      <c r="J19" s="80" t="n">
        <f aca="false">(F19*G19*H19*D19*100)/(I19*E19)</f>
        <v>2.5900193204775</v>
      </c>
      <c r="K19" s="80" t="n">
        <f aca="false">IF(J19&lt;=1.5, 1.5, IF(J19&lt;=2.5, 2.5, IF(J19&lt;=4, 4, IF(J19&lt;=6, 6, IF(J19&lt;=10, 10, 16)))))</f>
        <v>4</v>
      </c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customFormat="false" ht="15.75" hidden="false" customHeight="true" outlineLevel="0" collapsed="false">
      <c r="A20" s="79" t="s">
        <v>145</v>
      </c>
      <c r="B20" s="79" t="s">
        <v>143</v>
      </c>
      <c r="C20" s="79" t="s">
        <v>53</v>
      </c>
      <c r="D20" s="80" t="n">
        <f aca="false">'Divisão dos Circuitos'!K20</f>
        <v>7.58815426997245</v>
      </c>
      <c r="E20" s="79" t="n">
        <v>220</v>
      </c>
      <c r="F20" s="79" t="n">
        <v>2</v>
      </c>
      <c r="G20" s="85" t="n">
        <v>0.0178</v>
      </c>
      <c r="H20" s="84" t="n">
        <v>42.9</v>
      </c>
      <c r="I20" s="84" t="n">
        <v>2.5</v>
      </c>
      <c r="J20" s="80" t="n">
        <f aca="false">(F20*G20*H20*D20*100)/(I20*E20)</f>
        <v>2.10707867768595</v>
      </c>
      <c r="K20" s="80" t="n">
        <f aca="false">IF(J20&lt;=1.5, 1.5, IF(J20&lt;=2.5, 2.5, IF(J20&lt;=4, 4, IF(J20&lt;=6, 6, IF(J20&lt;=10, 10, 16)))))</f>
        <v>2.5</v>
      </c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customFormat="false" ht="15" hidden="false" customHeight="true" outlineLevel="0" collapsed="false">
      <c r="A21" s="79" t="s">
        <v>146</v>
      </c>
      <c r="B21" s="79" t="s">
        <v>143</v>
      </c>
      <c r="C21" s="79" t="s">
        <v>147</v>
      </c>
      <c r="D21" s="80" t="n">
        <f aca="false">'Divisão dos Circuitos'!K21</f>
        <v>5.45454545454545</v>
      </c>
      <c r="E21" s="84" t="n">
        <v>220</v>
      </c>
      <c r="F21" s="79" t="n">
        <v>2</v>
      </c>
      <c r="G21" s="85" t="n">
        <v>0.0178</v>
      </c>
      <c r="H21" s="79" t="n">
        <v>17.7</v>
      </c>
      <c r="I21" s="84" t="n">
        <v>2.5</v>
      </c>
      <c r="J21" s="80" t="n">
        <f aca="false">(F21*G21*H21*D21*100)/(I21*E21)</f>
        <v>0.624912396694215</v>
      </c>
      <c r="K21" s="80" t="n">
        <f aca="false">IF(J21&lt;=1.5, 1.5, IF(J21&lt;=2.5, 2.5, IF(J21&lt;=4, 4, IF(J21&lt;=6, 6, IF(J21&lt;=10, 10, 16)))))</f>
        <v>1.5</v>
      </c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customFormat="false" ht="15" hidden="false" customHeight="true" outlineLevel="0" collapsed="false">
      <c r="A22" s="79" t="s">
        <v>148</v>
      </c>
      <c r="B22" s="79" t="s">
        <v>143</v>
      </c>
      <c r="C22" s="79" t="s">
        <v>149</v>
      </c>
      <c r="D22" s="80" t="n">
        <f aca="false">'Divisão dos Circuitos'!K22</f>
        <v>10.9090909090909</v>
      </c>
      <c r="E22" s="84" t="n">
        <v>220</v>
      </c>
      <c r="F22" s="79" t="n">
        <v>2</v>
      </c>
      <c r="G22" s="85" t="n">
        <v>0.0178</v>
      </c>
      <c r="H22" s="79" t="n">
        <v>25.8</v>
      </c>
      <c r="I22" s="84" t="n">
        <v>2.5</v>
      </c>
      <c r="J22" s="80" t="n">
        <f aca="false">(F22*G22*H22*D22*100)/(I22*E22)</f>
        <v>1.82177851239669</v>
      </c>
      <c r="K22" s="80" t="n">
        <f aca="false">IF(J22&lt;=1.5, 1.5, IF(J22&lt;=2.5, 2.5, IF(J22&lt;=4, 4, IF(J22&lt;=6, 6, IF(J22&lt;=10, 10, 16)))))</f>
        <v>2.5</v>
      </c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customFormat="false" ht="15" hidden="false" customHeight="true" outlineLevel="0" collapsed="false">
      <c r="A23" s="79" t="s">
        <v>150</v>
      </c>
      <c r="B23" s="79" t="s">
        <v>143</v>
      </c>
      <c r="C23" s="79" t="s">
        <v>151</v>
      </c>
      <c r="D23" s="80" t="n">
        <f aca="false">'Divisão dos Circuitos'!K23</f>
        <v>8.18181818181818</v>
      </c>
      <c r="E23" s="84" t="n">
        <v>220</v>
      </c>
      <c r="F23" s="79" t="n">
        <v>2</v>
      </c>
      <c r="G23" s="85" t="n">
        <v>0.0178</v>
      </c>
      <c r="H23" s="79" t="n">
        <v>18.5</v>
      </c>
      <c r="I23" s="84" t="n">
        <v>2.5</v>
      </c>
      <c r="J23" s="80" t="n">
        <f aca="false">(F23*G23*H23*D23*100)/(I23*E23)</f>
        <v>0.979735537190083</v>
      </c>
      <c r="K23" s="80" t="n">
        <f aca="false">IF(J23&lt;=1.5, 1.5, IF(J23&lt;=2.5, 2.5, IF(J23&lt;=4, 4, IF(J23&lt;=6, 6, IF(J23&lt;=10, 10, 16)))))</f>
        <v>1.5</v>
      </c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customFormat="false" ht="15" hidden="false" customHeight="true" outlineLevel="0" collapsed="false">
      <c r="A24" s="79" t="s">
        <v>152</v>
      </c>
      <c r="B24" s="79" t="s">
        <v>143</v>
      </c>
      <c r="C24" s="79" t="s">
        <v>153</v>
      </c>
      <c r="D24" s="80" t="n">
        <f aca="false">'Divisão dos Circuitos'!K24</f>
        <v>10.9090909090909</v>
      </c>
      <c r="E24" s="84" t="n">
        <v>220</v>
      </c>
      <c r="F24" s="79" t="n">
        <v>2</v>
      </c>
      <c r="G24" s="85" t="n">
        <v>0.0178</v>
      </c>
      <c r="H24" s="84" t="n">
        <v>42.7</v>
      </c>
      <c r="I24" s="84" t="n">
        <v>2.5</v>
      </c>
      <c r="J24" s="80" t="n">
        <f aca="false">(F24*G24*H24*D24*100)/(I24*E24)</f>
        <v>3.01511404958678</v>
      </c>
      <c r="K24" s="80" t="n">
        <f aca="false">IF(J24&lt;=1.5, 1.5, IF(J24&lt;=2.5, 2.5, IF(J24&lt;=4, 4, IF(J24&lt;=6, 6, IF(J24&lt;=10, 10, 16)))))</f>
        <v>4</v>
      </c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customFormat="false" ht="15" hidden="false" customHeight="true" outlineLevel="0" collapsed="false">
      <c r="A25" s="79" t="s">
        <v>154</v>
      </c>
      <c r="B25" s="79" t="s">
        <v>143</v>
      </c>
      <c r="C25" s="79" t="s">
        <v>155</v>
      </c>
      <c r="D25" s="80" t="n">
        <f aca="false">'Divisão dos Circuitos'!K25</f>
        <v>8.18181818181818</v>
      </c>
      <c r="E25" s="84" t="n">
        <v>220</v>
      </c>
      <c r="F25" s="79" t="n">
        <v>2</v>
      </c>
      <c r="G25" s="85" t="n">
        <v>0.0178</v>
      </c>
      <c r="H25" s="84" t="n">
        <v>39.5</v>
      </c>
      <c r="I25" s="84" t="n">
        <v>2.5</v>
      </c>
      <c r="J25" s="80" t="n">
        <f aca="false">(F25*G25*H25*D25*100)/(I25*E25)</f>
        <v>2.09186776859504</v>
      </c>
      <c r="K25" s="80" t="n">
        <f aca="false">IF(J25&lt;=1.5, 1.5, IF(J25&lt;=2.5, 2.5, IF(J25&lt;=4, 4, IF(J25&lt;=6, 6, IF(J25&lt;=10, 10, 16)))))</f>
        <v>2.5</v>
      </c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customFormat="false" ht="15.75" hidden="false" customHeight="true" outlineLevel="0" collapsed="false">
      <c r="A26" s="79" t="s">
        <v>156</v>
      </c>
      <c r="B26" s="79" t="s">
        <v>143</v>
      </c>
      <c r="C26" s="79" t="s">
        <v>157</v>
      </c>
      <c r="D26" s="80" t="n">
        <f aca="false">'Divisão dos Circuitos'!K26</f>
        <v>8.18181818181818</v>
      </c>
      <c r="E26" s="79" t="n">
        <v>220</v>
      </c>
      <c r="F26" s="79" t="n">
        <v>2</v>
      </c>
      <c r="G26" s="85" t="n">
        <v>0.0178</v>
      </c>
      <c r="H26" s="79" t="n">
        <v>30.4</v>
      </c>
      <c r="I26" s="84" t="n">
        <v>2.5</v>
      </c>
      <c r="J26" s="80" t="n">
        <f aca="false">(F26*G26*H26*D26*100)/(I26*E26)</f>
        <v>1.60994380165289</v>
      </c>
      <c r="K26" s="80" t="n">
        <f aca="false">IF(J26&lt;=1.5, 1.5, IF(J26&lt;=2.5, 2.5, IF(J26&lt;=4, 4, IF(J26&lt;=6, 6, IF(J26&lt;=10, 10, 16)))))</f>
        <v>2.5</v>
      </c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customFormat="false" ht="15.75" hidden="false" customHeight="true" outlineLevel="0" collapsed="false">
      <c r="A27" s="79" t="s">
        <v>158</v>
      </c>
      <c r="B27" s="79" t="s">
        <v>143</v>
      </c>
      <c r="C27" s="79" t="s">
        <v>159</v>
      </c>
      <c r="D27" s="80" t="n">
        <f aca="false">'Divisão dos Circuitos'!K27</f>
        <v>8.18181818181818</v>
      </c>
      <c r="E27" s="79" t="n">
        <v>220</v>
      </c>
      <c r="F27" s="79" t="n">
        <v>2</v>
      </c>
      <c r="G27" s="85" t="n">
        <v>0.0178</v>
      </c>
      <c r="H27" s="84" t="n">
        <v>34.4</v>
      </c>
      <c r="I27" s="84" t="n">
        <v>2.5</v>
      </c>
      <c r="J27" s="80" t="n">
        <f aca="false">(F27*G27*H27*D27*100)/(I27*E27)</f>
        <v>1.82177851239669</v>
      </c>
      <c r="K27" s="80" t="n">
        <f aca="false">IF(J27&lt;=1.5, 1.5, IF(J27&lt;=2.5, 2.5, IF(J27&lt;=4, 4, IF(J27&lt;=6, 6, IF(J27&lt;=10, 10, 16)))))</f>
        <v>2.5</v>
      </c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customFormat="false" ht="15" hidden="false" customHeight="true" outlineLevel="0" collapsed="false">
      <c r="A28" s="79" t="s">
        <v>160</v>
      </c>
      <c r="B28" s="79" t="s">
        <v>143</v>
      </c>
      <c r="C28" s="79" t="s">
        <v>149</v>
      </c>
      <c r="D28" s="80" t="n">
        <f aca="false">'Divisão dos Circuitos'!K28</f>
        <v>18.2321137638829</v>
      </c>
      <c r="E28" s="84" t="n">
        <v>380</v>
      </c>
      <c r="F28" s="86" t="n">
        <v>1.732</v>
      </c>
      <c r="G28" s="85" t="n">
        <v>0.0178</v>
      </c>
      <c r="H28" s="79" t="n">
        <v>23.9</v>
      </c>
      <c r="I28" s="84" t="n">
        <v>2.5</v>
      </c>
      <c r="J28" s="80" t="n">
        <f aca="false">(F28*G28*H28*D28*100)/(I28*E28)</f>
        <v>1.41409702215059</v>
      </c>
      <c r="K28" s="80" t="n">
        <f aca="false">IF(J28&lt;=1.5, 1.5, IF(J28&lt;=2.5, 2.5, IF(J28&lt;=4, 4, IF(J28&lt;=6, 6, IF(J28&lt;=10, 10, 16)))))</f>
        <v>1.5</v>
      </c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customFormat="false" ht="15" hidden="false" customHeight="true" outlineLevel="0" collapsed="false">
      <c r="A29" s="79" t="s">
        <v>161</v>
      </c>
      <c r="B29" s="79" t="s">
        <v>143</v>
      </c>
      <c r="C29" s="79" t="s">
        <v>151</v>
      </c>
      <c r="D29" s="80" t="n">
        <f aca="false">'Divisão dos Circuitos'!K29</f>
        <v>18.2321137638829</v>
      </c>
      <c r="E29" s="84" t="n">
        <v>380</v>
      </c>
      <c r="F29" s="86" t="n">
        <v>1.732</v>
      </c>
      <c r="G29" s="85" t="n">
        <v>0.0178</v>
      </c>
      <c r="H29" s="79" t="n">
        <v>16.6</v>
      </c>
      <c r="I29" s="84" t="n">
        <v>2.5</v>
      </c>
      <c r="J29" s="80" t="n">
        <f aca="false">(F29*G29*H29*D29*100)/(I29*E29)</f>
        <v>0.982176174380745</v>
      </c>
      <c r="K29" s="80" t="n">
        <f aca="false">IF(J29&lt;=1.5, 1.5, IF(J29&lt;=2.5, 2.5, IF(J29&lt;=4, 4, IF(J29&lt;=6, 6, IF(J29&lt;=10, 10, 16)))))</f>
        <v>1.5</v>
      </c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customFormat="false" ht="15.75" hidden="false" customHeight="true" outlineLevel="0" collapsed="false">
      <c r="A30" s="79" t="s">
        <v>162</v>
      </c>
      <c r="B30" s="79" t="s">
        <v>143</v>
      </c>
      <c r="C30" s="79" t="s">
        <v>153</v>
      </c>
      <c r="D30" s="80" t="n">
        <f aca="false">'Divisão dos Circuitos'!K30</f>
        <v>18.2321137638829</v>
      </c>
      <c r="E30" s="79" t="n">
        <v>380</v>
      </c>
      <c r="F30" s="86" t="n">
        <v>1.732</v>
      </c>
      <c r="G30" s="85" t="n">
        <v>0.0178</v>
      </c>
      <c r="H30" s="84" t="n">
        <v>44.3</v>
      </c>
      <c r="I30" s="84" t="n">
        <v>2.5</v>
      </c>
      <c r="J30" s="80" t="n">
        <f aca="false">(F30*G30*H30*D30*100)/(I30*E30)</f>
        <v>2.62110870632934</v>
      </c>
      <c r="K30" s="80" t="n">
        <f aca="false">IF(J30&lt;=1.5, 1.5, IF(J30&lt;=2.5, 2.5, IF(J30&lt;=4, 4, IF(J30&lt;=6, 6, IF(J30&lt;=10, 10, 16)))))</f>
        <v>4</v>
      </c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customFormat="false" ht="15.75" hidden="false" customHeight="true" outlineLevel="0" collapsed="false">
      <c r="A31" s="79" t="s">
        <v>163</v>
      </c>
      <c r="B31" s="79" t="s">
        <v>143</v>
      </c>
      <c r="C31" s="79" t="s">
        <v>53</v>
      </c>
      <c r="D31" s="80" t="n">
        <f aca="false">'Divisão dos Circuitos'!K31</f>
        <v>27.3481706458244</v>
      </c>
      <c r="E31" s="79" t="n">
        <v>380</v>
      </c>
      <c r="F31" s="86" t="n">
        <v>1.732</v>
      </c>
      <c r="G31" s="85" t="n">
        <v>0.0178</v>
      </c>
      <c r="H31" s="79" t="n">
        <v>28.4</v>
      </c>
      <c r="I31" s="84" t="n">
        <v>2.5</v>
      </c>
      <c r="J31" s="80" t="n">
        <f aca="false">(F31*G31*H31*D31*100)/(I31*E31)</f>
        <v>2.52052439931444</v>
      </c>
      <c r="K31" s="80" t="n">
        <f aca="false">IF(J31&lt;=1.5, 1.5, IF(J31&lt;=2.5, 2.5, IF(J31&lt;=4, 4, IF(J31&lt;=6, 6, IF(J31&lt;=10, 10, 16)))))</f>
        <v>4</v>
      </c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customFormat="false" ht="15.75" hidden="false" customHeight="true" outlineLevel="0" collapsed="false">
      <c r="A32" s="79" t="s">
        <v>164</v>
      </c>
      <c r="B32" s="79" t="s">
        <v>143</v>
      </c>
      <c r="C32" s="79" t="s">
        <v>165</v>
      </c>
      <c r="D32" s="80" t="n">
        <f aca="false">'Divisão dos Circuitos'!K32</f>
        <v>13.9146567717996</v>
      </c>
      <c r="E32" s="79" t="n">
        <v>220</v>
      </c>
      <c r="F32" s="79" t="n">
        <v>2</v>
      </c>
      <c r="G32" s="85" t="n">
        <v>0.0178</v>
      </c>
      <c r="H32" s="84" t="n">
        <v>15</v>
      </c>
      <c r="I32" s="84" t="n">
        <v>2.5</v>
      </c>
      <c r="J32" s="80" t="n">
        <f aca="false">(F32*G32*H32*D32*100)/(I32*E32)</f>
        <v>1.350986675662</v>
      </c>
      <c r="K32" s="80" t="n">
        <f aca="false">IF(J32&lt;=1.5, 1.5, IF(J32&lt;=2.5, 2.5, IF(J32&lt;=4, 4, IF(J32&lt;=6, 6, IF(J32&lt;=10, 10, 16)))))</f>
        <v>1.5</v>
      </c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customFormat="false" ht="15.75" hidden="false" customHeight="true" outlineLevel="0" collapsed="false">
      <c r="A33" s="79" t="s">
        <v>166</v>
      </c>
      <c r="B33" s="79" t="s">
        <v>143</v>
      </c>
      <c r="C33" s="79" t="s">
        <v>155</v>
      </c>
      <c r="D33" s="80" t="n">
        <f aca="false">'Divisão dos Circuitos'!K33</f>
        <v>18.2321137638829</v>
      </c>
      <c r="E33" s="79" t="n">
        <v>380</v>
      </c>
      <c r="F33" s="79" t="n">
        <v>1.732</v>
      </c>
      <c r="G33" s="85" t="n">
        <v>0.0178</v>
      </c>
      <c r="H33" s="84" t="n">
        <v>41.1</v>
      </c>
      <c r="I33" s="84" t="n">
        <v>2.5</v>
      </c>
      <c r="J33" s="80" t="n">
        <f aca="false">(F33*G33*H33*D33*100)/(I33*E33)</f>
        <v>2.43177354018365</v>
      </c>
      <c r="K33" s="80" t="n">
        <f aca="false">IF(J33&lt;=1.5, 1.5, IF(J33&lt;=2.5, 2.5, IF(J33&lt;=4, 4, IF(J33&lt;=6, 6, IF(J33&lt;=10, 10, 16)))))</f>
        <v>2.5</v>
      </c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customFormat="false" ht="15.75" hidden="false" customHeight="true" outlineLevel="0" collapsed="false">
      <c r="A34" s="79" t="s">
        <v>167</v>
      </c>
      <c r="B34" s="79" t="s">
        <v>143</v>
      </c>
      <c r="C34" s="79" t="s">
        <v>90</v>
      </c>
      <c r="D34" s="80" t="n">
        <f aca="false">'Divisão dos Circuitos'!K34</f>
        <v>12.7272727272727</v>
      </c>
      <c r="E34" s="79" t="n">
        <v>220</v>
      </c>
      <c r="F34" s="79" t="n">
        <v>2</v>
      </c>
      <c r="G34" s="85" t="n">
        <v>0.0178</v>
      </c>
      <c r="H34" s="84" t="n">
        <v>31</v>
      </c>
      <c r="I34" s="84" t="n">
        <v>2.5</v>
      </c>
      <c r="J34" s="80" t="n">
        <f aca="false">(F34*G34*H34*D34*100)/(I34*E34)</f>
        <v>2.55378512396694</v>
      </c>
      <c r="K34" s="80" t="n">
        <f aca="false">IF(J34&lt;=1.5, 1.5, IF(J34&lt;=2.5, 2.5, IF(J34&lt;=4, 4, IF(J34&lt;=6, 6, IF(J34&lt;=10, 10, 16)))))</f>
        <v>4</v>
      </c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customFormat="false" ht="15.75" hidden="false" customHeight="true" outlineLevel="0" collapsed="false">
      <c r="A35" s="79" t="s">
        <v>168</v>
      </c>
      <c r="B35" s="79" t="s">
        <v>143</v>
      </c>
      <c r="C35" s="79" t="s">
        <v>91</v>
      </c>
      <c r="D35" s="80" t="n">
        <f aca="false">'Divisão dos Circuitos'!K35</f>
        <v>17.8947368421053</v>
      </c>
      <c r="E35" s="79" t="n">
        <v>380</v>
      </c>
      <c r="F35" s="79" t="n">
        <v>2</v>
      </c>
      <c r="G35" s="85" t="n">
        <v>0.0178</v>
      </c>
      <c r="H35" s="84" t="n">
        <v>36</v>
      </c>
      <c r="I35" s="84" t="n">
        <v>2.5</v>
      </c>
      <c r="J35" s="80" t="n">
        <f aca="false">(F35*G35*H35*D35*100)/(I35*E35)</f>
        <v>2.41409418282549</v>
      </c>
      <c r="K35" s="80" t="n">
        <f aca="false">IF(J35&lt;=1.5, 1.5, IF(J35&lt;=2.5, 2.5, IF(J35&lt;=4, 4, IF(J35&lt;=6, 6, IF(J35&lt;=10, 10, 16)))))</f>
        <v>2.5</v>
      </c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customFormat="false" ht="15.75" hidden="false" customHeight="true" outlineLevel="0" collapsed="false">
      <c r="A36" s="78" t="s">
        <v>169</v>
      </c>
      <c r="B36" s="78"/>
      <c r="C36" s="78"/>
      <c r="D36" s="77"/>
      <c r="E36" s="78"/>
      <c r="F36" s="78"/>
      <c r="G36" s="83"/>
      <c r="H36" s="82"/>
      <c r="I36" s="82"/>
      <c r="J36" s="77"/>
      <c r="K36" s="77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customFormat="false" ht="15.75" hidden="false" customHeight="true" outlineLevel="0" collapsed="false">
      <c r="A37" s="79" t="s">
        <v>170</v>
      </c>
      <c r="B37" s="79" t="s">
        <v>171</v>
      </c>
      <c r="C37" s="79" t="s">
        <v>172</v>
      </c>
      <c r="D37" s="80" t="n">
        <f aca="false">'Divisão dos Circuitos'!K37</f>
        <v>8.90909090909091</v>
      </c>
      <c r="E37" s="79" t="n">
        <v>220</v>
      </c>
      <c r="F37" s="79" t="n">
        <v>2</v>
      </c>
      <c r="G37" s="85" t="n">
        <v>0.0178</v>
      </c>
      <c r="H37" s="79" t="n">
        <v>20.1</v>
      </c>
      <c r="I37" s="84" t="n">
        <v>2.5</v>
      </c>
      <c r="J37" s="80" t="n">
        <f aca="false">(F37*G37*H37*D37*100)/(I37*E37)</f>
        <v>1.15908892561984</v>
      </c>
      <c r="K37" s="80" t="n">
        <f aca="false">IF(J37&lt;=1.5, 1.5, IF(J37&lt;=2.5, 2.5, IF(J37&lt;=4, 4, IF(J37&lt;=6, 6, IF(J37&lt;=10, 10, 16)))))</f>
        <v>1.5</v>
      </c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customFormat="false" ht="15.75" hidden="false" customHeight="true" outlineLevel="0" collapsed="false">
      <c r="A38" s="79" t="s">
        <v>173</v>
      </c>
      <c r="B38" s="79" t="s">
        <v>171</v>
      </c>
      <c r="C38" s="79" t="s">
        <v>61</v>
      </c>
      <c r="D38" s="80" t="n">
        <f aca="false">'Divisão dos Circuitos'!K38</f>
        <v>9.09090909090909</v>
      </c>
      <c r="E38" s="79" t="n">
        <v>220</v>
      </c>
      <c r="F38" s="79" t="n">
        <v>2</v>
      </c>
      <c r="G38" s="85" t="n">
        <v>0.0178</v>
      </c>
      <c r="H38" s="79" t="n">
        <v>13.1</v>
      </c>
      <c r="I38" s="84" t="n">
        <v>2.5</v>
      </c>
      <c r="J38" s="80" t="n">
        <f aca="false">(F38*G38*H38*D38*100)/(I38*E38)</f>
        <v>0.770842975206612</v>
      </c>
      <c r="K38" s="80" t="n">
        <f aca="false">IF(J38&lt;=1.5, 1.5, IF(J38&lt;=2.5, 2.5, IF(J38&lt;=4, 4, IF(J38&lt;=6, 6, IF(J38&lt;=10, 10, 16)))))</f>
        <v>1.5</v>
      </c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customFormat="false" ht="15.75" hidden="false" customHeight="true" outlineLevel="0" collapsed="false">
      <c r="A39" s="79" t="s">
        <v>174</v>
      </c>
      <c r="B39" s="79" t="s">
        <v>171</v>
      </c>
      <c r="C39" s="79" t="s">
        <v>175</v>
      </c>
      <c r="D39" s="80" t="n">
        <f aca="false">'Divisão dos Circuitos'!K39</f>
        <v>5.45454545454545</v>
      </c>
      <c r="E39" s="79" t="n">
        <v>220</v>
      </c>
      <c r="F39" s="79" t="n">
        <v>2</v>
      </c>
      <c r="G39" s="85" t="n">
        <v>0.0178</v>
      </c>
      <c r="H39" s="84" t="n">
        <v>28</v>
      </c>
      <c r="I39" s="84" t="n">
        <v>2.5</v>
      </c>
      <c r="J39" s="80" t="n">
        <f aca="false">(F39*G39*H39*D39*100)/(I39*E39)</f>
        <v>0.988561983471074</v>
      </c>
      <c r="K39" s="80" t="n">
        <f aca="false">IF(J39&lt;=1.5, 1.5, IF(J39&lt;=2.5, 2.5, IF(J39&lt;=4, 4, IF(J39&lt;=6, 6, IF(J39&lt;=10, 10, 16)))))</f>
        <v>1.5</v>
      </c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customFormat="false" ht="15.75" hidden="false" customHeight="true" outlineLevel="0" collapsed="false">
      <c r="A40" s="79" t="s">
        <v>176</v>
      </c>
      <c r="B40" s="79" t="s">
        <v>171</v>
      </c>
      <c r="C40" s="79" t="s">
        <v>177</v>
      </c>
      <c r="D40" s="80" t="n">
        <f aca="false">'Divisão dos Circuitos'!K40</f>
        <v>13.1818181818182</v>
      </c>
      <c r="E40" s="79" t="n">
        <v>220</v>
      </c>
      <c r="F40" s="79" t="n">
        <v>2</v>
      </c>
      <c r="G40" s="85" t="n">
        <v>0.0178</v>
      </c>
      <c r="H40" s="84" t="n">
        <v>33.2</v>
      </c>
      <c r="I40" s="84" t="n">
        <v>2.5</v>
      </c>
      <c r="J40" s="80" t="n">
        <f aca="false">(F40*G40*H40*D40*100)/(I40*E40)</f>
        <v>2.83270082644628</v>
      </c>
      <c r="K40" s="80" t="n">
        <f aca="false">IF(J40&lt;=1.5, 1.5, IF(J40&lt;=2.5, 2.5, IF(J40&lt;=4, 4, IF(J40&lt;=6, 6, IF(J40&lt;=10, 10, 16)))))</f>
        <v>4</v>
      </c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customFormat="false" ht="15.75" hidden="false" customHeight="true" outlineLevel="0" collapsed="false">
      <c r="A41" s="79" t="s">
        <v>178</v>
      </c>
      <c r="B41" s="79" t="s">
        <v>171</v>
      </c>
      <c r="C41" s="79" t="s">
        <v>179</v>
      </c>
      <c r="D41" s="80" t="n">
        <f aca="false">'Divisão dos Circuitos'!K41</f>
        <v>6.36363636363636</v>
      </c>
      <c r="E41" s="79" t="n">
        <v>220</v>
      </c>
      <c r="F41" s="79" t="n">
        <v>2</v>
      </c>
      <c r="G41" s="85" t="n">
        <v>0.0178</v>
      </c>
      <c r="H41" s="84" t="n">
        <v>27</v>
      </c>
      <c r="I41" s="84" t="n">
        <v>2.5</v>
      </c>
      <c r="J41" s="80" t="n">
        <f aca="false">(F41*G41*H41*D41*100)/(I41*E41)</f>
        <v>1.11213223140496</v>
      </c>
      <c r="K41" s="80" t="n">
        <f aca="false">IF(J41&lt;=1.5, 1.5, IF(J41&lt;=2.5, 2.5, IF(J41&lt;=4, 4, IF(J41&lt;=6, 6, IF(J41&lt;=10, 10, 16)))))</f>
        <v>1.5</v>
      </c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customFormat="false" ht="15.75" hidden="false" customHeight="true" outlineLevel="0" collapsed="false">
      <c r="A42" s="79" t="s">
        <v>180</v>
      </c>
      <c r="B42" s="79" t="s">
        <v>171</v>
      </c>
      <c r="C42" s="79" t="s">
        <v>181</v>
      </c>
      <c r="D42" s="80" t="n">
        <f aca="false">'Divisão dos Circuitos'!K42</f>
        <v>13.9146567717996</v>
      </c>
      <c r="E42" s="79" t="n">
        <v>220</v>
      </c>
      <c r="F42" s="79" t="n">
        <v>2</v>
      </c>
      <c r="G42" s="85" t="n">
        <v>0.0178</v>
      </c>
      <c r="H42" s="79" t="n">
        <v>31.3</v>
      </c>
      <c r="I42" s="84" t="n">
        <v>2.5</v>
      </c>
      <c r="J42" s="80" t="n">
        <f aca="false">(F42*G42*H42*D42*100)/(I42*E42)</f>
        <v>2.81905886321471</v>
      </c>
      <c r="K42" s="80" t="n">
        <f aca="false">IF(J42&lt;=1.5, 1.5, IF(J42&lt;=2.5, 2.5, IF(J42&lt;=4, 4, IF(J42&lt;=6, 6, IF(J42&lt;=10, 10, 16)))))</f>
        <v>4</v>
      </c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customFormat="false" ht="15.75" hidden="false" customHeight="true" outlineLevel="0" collapsed="false">
      <c r="A43" s="79" t="s">
        <v>182</v>
      </c>
      <c r="B43" s="79" t="s">
        <v>171</v>
      </c>
      <c r="C43" s="79" t="s">
        <v>183</v>
      </c>
      <c r="D43" s="80" t="n">
        <f aca="false">'Divisão dos Circuitos'!K43</f>
        <v>9.38735177865613</v>
      </c>
      <c r="E43" s="79" t="n">
        <v>220</v>
      </c>
      <c r="F43" s="79" t="n">
        <v>2</v>
      </c>
      <c r="G43" s="85" t="n">
        <v>0.0178</v>
      </c>
      <c r="H43" s="79" t="n">
        <v>18.6</v>
      </c>
      <c r="I43" s="84" t="n">
        <v>2.5</v>
      </c>
      <c r="J43" s="80" t="n">
        <f aca="false">(F43*G43*H43*D43*100)/(I43*E43)</f>
        <v>1.1301688825009</v>
      </c>
      <c r="K43" s="80" t="n">
        <f aca="false">IF(J43&lt;=1.5, 1.5, IF(J43&lt;=2.5, 2.5, IF(J43&lt;=4, 4, IF(J43&lt;=6, 6, IF(J43&lt;=10, 10, 16)))))</f>
        <v>1.5</v>
      </c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customFormat="false" ht="15.75" hidden="false" customHeight="true" outlineLevel="0" collapsed="false">
      <c r="A44" s="79" t="s">
        <v>184</v>
      </c>
      <c r="B44" s="79" t="s">
        <v>171</v>
      </c>
      <c r="C44" s="79" t="s">
        <v>185</v>
      </c>
      <c r="D44" s="80" t="n">
        <f aca="false">'Divisão dos Circuitos'!K44</f>
        <v>12.3517786561265</v>
      </c>
      <c r="E44" s="79" t="n">
        <v>220</v>
      </c>
      <c r="F44" s="79" t="n">
        <v>2</v>
      </c>
      <c r="G44" s="85" t="n">
        <v>0.0178</v>
      </c>
      <c r="H44" s="79" t="n">
        <v>22.5</v>
      </c>
      <c r="I44" s="84" t="n">
        <v>2.5</v>
      </c>
      <c r="J44" s="80" t="n">
        <f aca="false">(F44*G44*H44*D44*100)/(I44*E44)</f>
        <v>1.79886812791951</v>
      </c>
      <c r="K44" s="80" t="n">
        <f aca="false">IF(J44&lt;=1.5, 1.5, IF(J44&lt;=2.5, 2.5, IF(J44&lt;=4, 4, IF(J44&lt;=6, 6, IF(J44&lt;=10, 10, 16)))))</f>
        <v>2.5</v>
      </c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customFormat="false" ht="15.75" hidden="false" customHeight="true" outlineLevel="0" collapsed="false">
      <c r="A45" s="79" t="s">
        <v>186</v>
      </c>
      <c r="B45" s="79" t="s">
        <v>171</v>
      </c>
      <c r="C45" s="79" t="s">
        <v>187</v>
      </c>
      <c r="D45" s="80" t="n">
        <f aca="false">'Divisão dos Circuitos'!K45</f>
        <v>6.91699604743083</v>
      </c>
      <c r="E45" s="79" t="n">
        <v>220</v>
      </c>
      <c r="F45" s="79" t="n">
        <v>2</v>
      </c>
      <c r="G45" s="85" t="n">
        <v>0.0178</v>
      </c>
      <c r="H45" s="79" t="n">
        <v>15.8</v>
      </c>
      <c r="I45" s="84" t="n">
        <v>2.5</v>
      </c>
      <c r="J45" s="80" t="n">
        <f aca="false">(F45*G45*H45*D45*100)/(I45*E45)</f>
        <v>0.707394897592526</v>
      </c>
      <c r="K45" s="80" t="n">
        <f aca="false">IF(J45&lt;=1.5, 1.5, IF(J45&lt;=2.5, 2.5, IF(J45&lt;=4, 4, IF(J45&lt;=6, 6, IF(J45&lt;=10, 10, 16)))))</f>
        <v>1.5</v>
      </c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customFormat="false" ht="15.75" hidden="false" customHeight="true" outlineLevel="0" collapsed="false">
      <c r="A46" s="79" t="s">
        <v>188</v>
      </c>
      <c r="B46" s="79" t="s">
        <v>171</v>
      </c>
      <c r="C46" s="79" t="s">
        <v>189</v>
      </c>
      <c r="D46" s="80" t="n">
        <f aca="false">'Divisão dos Circuitos'!K46</f>
        <v>7.72727272727273</v>
      </c>
      <c r="E46" s="79" t="n">
        <v>220</v>
      </c>
      <c r="F46" s="79" t="n">
        <v>2</v>
      </c>
      <c r="G46" s="85" t="n">
        <v>0.0178</v>
      </c>
      <c r="H46" s="79" t="n">
        <v>28.8</v>
      </c>
      <c r="I46" s="84" t="n">
        <v>2.5</v>
      </c>
      <c r="J46" s="80" t="n">
        <f aca="false">(F46*G46*H46*D46*100)/(I46*E46)</f>
        <v>1.44047603305785</v>
      </c>
      <c r="K46" s="80" t="n">
        <f aca="false">IF(J46&lt;=1.5, 1.5, IF(J46&lt;=2.5, 2.5, IF(J46&lt;=4, 4, IF(J46&lt;=6, 6, IF(J46&lt;=10, 10, 16)))))</f>
        <v>1.5</v>
      </c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customFormat="false" ht="15.75" hidden="false" customHeight="true" outlineLevel="0" collapsed="false">
      <c r="A47" s="79" t="s">
        <v>190</v>
      </c>
      <c r="B47" s="79" t="s">
        <v>171</v>
      </c>
      <c r="C47" s="79" t="s">
        <v>191</v>
      </c>
      <c r="D47" s="80" t="n">
        <f aca="false">'Divisão dos Circuitos'!K47</f>
        <v>6.63636363636364</v>
      </c>
      <c r="E47" s="79" t="n">
        <v>220</v>
      </c>
      <c r="F47" s="79" t="n">
        <v>2</v>
      </c>
      <c r="G47" s="85" t="n">
        <v>0.0178</v>
      </c>
      <c r="H47" s="84" t="n">
        <v>29.2</v>
      </c>
      <c r="I47" s="84" t="n">
        <v>2.5</v>
      </c>
      <c r="J47" s="80" t="n">
        <f aca="false">(F47*G47*H47*D47*100)/(I47*E47)</f>
        <v>1.25429685950413</v>
      </c>
      <c r="K47" s="80" t="n">
        <f aca="false">IF(J47&lt;=1.5, 1.5, IF(J47&lt;=2.5, 2.5, IF(J47&lt;=4, 4, IF(J47&lt;=6, 6, IF(J47&lt;=10, 10, 16)))))</f>
        <v>1.5</v>
      </c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customFormat="false" ht="15.75" hidden="false" customHeight="true" outlineLevel="0" collapsed="false">
      <c r="A48" s="78" t="s">
        <v>192</v>
      </c>
      <c r="B48" s="78"/>
      <c r="C48" s="78"/>
      <c r="D48" s="77"/>
      <c r="E48" s="78"/>
      <c r="F48" s="78"/>
      <c r="G48" s="83"/>
      <c r="H48" s="82"/>
      <c r="I48" s="82"/>
      <c r="J48" s="77"/>
      <c r="K48" s="77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customFormat="false" ht="15.75" hidden="false" customHeight="true" outlineLevel="0" collapsed="false">
      <c r="A49" s="79" t="s">
        <v>193</v>
      </c>
      <c r="B49" s="79" t="s">
        <v>194</v>
      </c>
      <c r="C49" s="79" t="s">
        <v>195</v>
      </c>
      <c r="D49" s="80" t="n">
        <f aca="false">'Divisão dos Circuitos'!K49</f>
        <v>10.9090909090909</v>
      </c>
      <c r="E49" s="79" t="n">
        <v>220</v>
      </c>
      <c r="F49" s="79" t="n">
        <v>2</v>
      </c>
      <c r="G49" s="85" t="n">
        <v>0.0178</v>
      </c>
      <c r="H49" s="79" t="n">
        <v>19.4</v>
      </c>
      <c r="I49" s="84" t="n">
        <v>2.5</v>
      </c>
      <c r="J49" s="80" t="n">
        <f aca="false">(F49*G49*H49*D49*100)/(I49*E49)</f>
        <v>1.36986446280992</v>
      </c>
      <c r="K49" s="80" t="n">
        <f aca="false">IF(J49&lt;=1.5, 1.5, IF(J49&lt;=2.5, 2.5, IF(J49&lt;=4, 4, IF(J49&lt;=6, 6, IF(J49&lt;=10, 10, 16)))))</f>
        <v>1.5</v>
      </c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customFormat="false" ht="15.75" hidden="false" customHeight="true" outlineLevel="0" collapsed="false">
      <c r="A50" s="79" t="s">
        <v>196</v>
      </c>
      <c r="B50" s="79" t="s">
        <v>194</v>
      </c>
      <c r="C50" s="79" t="s">
        <v>197</v>
      </c>
      <c r="D50" s="80" t="n">
        <f aca="false">'Divisão dos Circuitos'!K50</f>
        <v>11.8181818181818</v>
      </c>
      <c r="E50" s="79" t="n">
        <v>220</v>
      </c>
      <c r="F50" s="79" t="n">
        <v>2</v>
      </c>
      <c r="G50" s="85" t="n">
        <v>0.0178</v>
      </c>
      <c r="H50" s="79" t="n">
        <v>27.2</v>
      </c>
      <c r="I50" s="84" t="n">
        <v>2.5</v>
      </c>
      <c r="J50" s="80" t="n">
        <f aca="false">(F50*G50*H50*D50*100)/(I50*E50)</f>
        <v>2.08068760330579</v>
      </c>
      <c r="K50" s="80" t="n">
        <f aca="false">IF(J50&lt;=1.5, 1.5, IF(J50&lt;=2.5, 2.5, IF(J50&lt;=4, 4, IF(J50&lt;=6, 6, IF(J50&lt;=10, 10, 16)))))</f>
        <v>2.5</v>
      </c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customFormat="false" ht="15.75" hidden="false" customHeight="true" outlineLevel="0" collapsed="false">
      <c r="A51" s="79" t="s">
        <v>198</v>
      </c>
      <c r="B51" s="79" t="s">
        <v>194</v>
      </c>
      <c r="C51" s="79" t="s">
        <v>70</v>
      </c>
      <c r="D51" s="80" t="n">
        <f aca="false">'Divisão dos Circuitos'!K51</f>
        <v>27.2727272727273</v>
      </c>
      <c r="E51" s="79" t="n">
        <v>220</v>
      </c>
      <c r="F51" s="79" t="n">
        <v>2</v>
      </c>
      <c r="G51" s="85" t="n">
        <v>0.0178</v>
      </c>
      <c r="H51" s="79" t="n">
        <v>8.8</v>
      </c>
      <c r="I51" s="84" t="n">
        <v>2.5</v>
      </c>
      <c r="J51" s="80" t="n">
        <f aca="false">(F51*G51*H51*D51*100)/(I51*E51)</f>
        <v>1.55345454545455</v>
      </c>
      <c r="K51" s="80" t="n">
        <f aca="false">IF(J51&lt;=1.5, 1.5, IF(J51&lt;=2.5, 2.5, IF(J51&lt;=4, 4, IF(J51&lt;=6, 6, IF(J51&lt;=10, 10, 16)))))</f>
        <v>2.5</v>
      </c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customFormat="false" ht="15.75" hidden="false" customHeight="true" outlineLevel="0" collapsed="false">
      <c r="A52" s="79" t="s">
        <v>199</v>
      </c>
      <c r="B52" s="79" t="s">
        <v>194</v>
      </c>
      <c r="C52" s="79" t="s">
        <v>74</v>
      </c>
      <c r="D52" s="80" t="n">
        <f aca="false">'Divisão dos Circuitos'!K52</f>
        <v>27.2727272727273</v>
      </c>
      <c r="E52" s="79" t="n">
        <v>220</v>
      </c>
      <c r="F52" s="79" t="n">
        <v>2</v>
      </c>
      <c r="G52" s="85" t="n">
        <v>0.0178</v>
      </c>
      <c r="H52" s="79" t="n">
        <v>15.8</v>
      </c>
      <c r="I52" s="84" t="n">
        <v>2.5</v>
      </c>
      <c r="J52" s="80" t="n">
        <f aca="false">(F52*G52*H52*D52*100)/(I52*E52)</f>
        <v>2.78915702479339</v>
      </c>
      <c r="K52" s="80" t="n">
        <f aca="false">IF(J52&lt;=1.5, 1.5, IF(J52&lt;=2.5, 2.5, IF(J52&lt;=4, 4, IF(J52&lt;=6, 6, IF(J52&lt;=10, 10, 16)))))</f>
        <v>4</v>
      </c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customFormat="false" ht="15.75" hidden="false" customHeight="true" outlineLevel="0" collapsed="false">
      <c r="A53" s="79" t="s">
        <v>200</v>
      </c>
      <c r="B53" s="79" t="s">
        <v>194</v>
      </c>
      <c r="C53" s="79" t="s">
        <v>201</v>
      </c>
      <c r="D53" s="80" t="n">
        <f aca="false">'Divisão dos Circuitos'!K53</f>
        <v>9.38735177865613</v>
      </c>
      <c r="E53" s="79" t="n">
        <v>220</v>
      </c>
      <c r="F53" s="79" t="n">
        <v>2</v>
      </c>
      <c r="G53" s="85" t="n">
        <v>0.0178</v>
      </c>
      <c r="H53" s="79" t="n">
        <v>15.5</v>
      </c>
      <c r="I53" s="84" t="n">
        <v>2.5</v>
      </c>
      <c r="J53" s="80" t="n">
        <f aca="false">(F53*G53*H53*D53*100)/(I53*E53)</f>
        <v>0.941807402084082</v>
      </c>
      <c r="K53" s="80" t="n">
        <f aca="false">IF(J53&lt;=1.5, 1.5, IF(J53&lt;=2.5, 2.5, IF(J53&lt;=4, 4, IF(J53&lt;=6, 6, IF(J53&lt;=10, 10, 16)))))</f>
        <v>1.5</v>
      </c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customFormat="false" ht="15.75" hidden="false" customHeight="true" outlineLevel="0" collapsed="false">
      <c r="A54" s="79" t="s">
        <v>202</v>
      </c>
      <c r="B54" s="79" t="s">
        <v>194</v>
      </c>
      <c r="C54" s="79" t="s">
        <v>203</v>
      </c>
      <c r="D54" s="80" t="n">
        <f aca="false">'Divisão dos Circuitos'!K54</f>
        <v>6.91699604743083</v>
      </c>
      <c r="E54" s="79" t="n">
        <v>220</v>
      </c>
      <c r="F54" s="79" t="n">
        <v>2</v>
      </c>
      <c r="G54" s="85" t="n">
        <v>0.0178</v>
      </c>
      <c r="H54" s="79" t="n">
        <v>16.8</v>
      </c>
      <c r="I54" s="84" t="n">
        <v>2.5</v>
      </c>
      <c r="J54" s="80" t="n">
        <f aca="false">(F54*G54*H54*D54*100)/(I54*E54)</f>
        <v>0.752166726554078</v>
      </c>
      <c r="K54" s="80" t="n">
        <f aca="false">IF(J54&lt;=1.5, 1.5, IF(J54&lt;=2.5, 2.5, IF(J54&lt;=4, 4, IF(J54&lt;=6, 6, IF(J54&lt;=10, 10, 16)))))</f>
        <v>1.5</v>
      </c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customFormat="false" ht="15.75" hidden="false" customHeight="true" outlineLevel="0" collapsed="false">
      <c r="A55" s="79" t="s">
        <v>204</v>
      </c>
      <c r="B55" s="79" t="s">
        <v>194</v>
      </c>
      <c r="C55" s="79" t="s">
        <v>205</v>
      </c>
      <c r="D55" s="80" t="n">
        <f aca="false">'Divisão dos Circuitos'!K55</f>
        <v>6.91699604743083</v>
      </c>
      <c r="E55" s="79" t="n">
        <v>220</v>
      </c>
      <c r="F55" s="79" t="n">
        <v>2</v>
      </c>
      <c r="G55" s="85" t="n">
        <v>0.0178</v>
      </c>
      <c r="H55" s="84" t="n">
        <v>7</v>
      </c>
      <c r="I55" s="84" t="n">
        <v>2.5</v>
      </c>
      <c r="J55" s="80" t="n">
        <f aca="false">(F55*G55*H55*D55*100)/(I55*E55)</f>
        <v>0.313402802730866</v>
      </c>
      <c r="K55" s="80" t="n">
        <f aca="false">IF(J55&lt;=1.5, 1.5, IF(J55&lt;=2.5, 2.5, IF(J55&lt;=4, 4, IF(J55&lt;=6, 6, IF(J55&lt;=10, 10, 16)))))</f>
        <v>1.5</v>
      </c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customFormat="false" ht="15.75" hidden="false" customHeight="true" outlineLevel="0" collapsed="false">
      <c r="A56" s="79" t="s">
        <v>206</v>
      </c>
      <c r="B56" s="79" t="s">
        <v>194</v>
      </c>
      <c r="C56" s="79" t="s">
        <v>207</v>
      </c>
      <c r="D56" s="80" t="n">
        <f aca="false">'Divisão dos Circuitos'!K56</f>
        <v>15</v>
      </c>
      <c r="E56" s="79" t="n">
        <v>220</v>
      </c>
      <c r="F56" s="79" t="n">
        <v>2</v>
      </c>
      <c r="G56" s="85" t="n">
        <v>0.0178</v>
      </c>
      <c r="H56" s="79" t="n">
        <v>24.8</v>
      </c>
      <c r="I56" s="84" t="n">
        <v>2.5</v>
      </c>
      <c r="J56" s="80" t="n">
        <f aca="false">(F56*G56*H56*D56*100)/(I56*E56)</f>
        <v>2.40785454545455</v>
      </c>
      <c r="K56" s="80" t="n">
        <f aca="false">IF(J56&lt;=1.5, 1.5, IF(J56&lt;=2.5, 2.5, IF(J56&lt;=4, 4, IF(J56&lt;=6, 6, IF(J56&lt;=10, 10, 16)))))</f>
        <v>2.5</v>
      </c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customFormat="false" ht="15.75" hidden="false" customHeight="true" outlineLevel="0" collapsed="false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customFormat="false" ht="15.75" hidden="false" customHeight="true" outlineLevel="0" collapsed="false">
      <c r="A58" s="87" t="s">
        <v>229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customFormat="false" ht="48" hidden="false" customHeight="true" outlineLevel="0" collapsed="false">
      <c r="A59" s="88" t="s">
        <v>230</v>
      </c>
      <c r="B59" s="88" t="s">
        <v>102</v>
      </c>
      <c r="C59" s="88" t="s">
        <v>103</v>
      </c>
      <c r="D59" s="88" t="s">
        <v>231</v>
      </c>
      <c r="E59" s="88" t="s">
        <v>232</v>
      </c>
      <c r="F59" s="88" t="s">
        <v>223</v>
      </c>
      <c r="G59" s="88" t="s">
        <v>233</v>
      </c>
      <c r="H59" s="88" t="s">
        <v>234</v>
      </c>
      <c r="I59" s="88" t="s">
        <v>235</v>
      </c>
      <c r="J59" s="88" t="s">
        <v>236</v>
      </c>
      <c r="K59" s="88" t="s">
        <v>237</v>
      </c>
      <c r="L59" s="88" t="s">
        <v>238</v>
      </c>
      <c r="M59" s="88" t="s">
        <v>239</v>
      </c>
      <c r="N59" s="88" t="s">
        <v>240</v>
      </c>
      <c r="O59" s="88" t="s">
        <v>241</v>
      </c>
      <c r="P59" s="88" t="s">
        <v>242</v>
      </c>
      <c r="Q59" s="88" t="s">
        <v>243</v>
      </c>
      <c r="R59" s="88" t="s">
        <v>244</v>
      </c>
      <c r="S59" s="88" t="s">
        <v>245</v>
      </c>
      <c r="T59" s="88" t="s">
        <v>246</v>
      </c>
      <c r="U59" s="88" t="s">
        <v>247</v>
      </c>
      <c r="V59" s="53"/>
      <c r="W59" s="53"/>
      <c r="X59" s="53"/>
      <c r="Y59" s="53"/>
      <c r="Z59" s="53"/>
    </row>
    <row r="60" customFormat="false" ht="15.75" hidden="false" customHeight="true" outlineLevel="0" collapsed="false">
      <c r="A60" s="89" t="s">
        <v>248</v>
      </c>
      <c r="B60" s="89" t="s">
        <v>249</v>
      </c>
      <c r="C60" s="89" t="s">
        <v>119</v>
      </c>
      <c r="D60" s="90" t="n">
        <f aca="false">U60+T60</f>
        <v>120.965390062164</v>
      </c>
      <c r="E60" s="89" t="n">
        <v>380</v>
      </c>
      <c r="F60" s="89" t="n">
        <f aca="false">SQRT(3)</f>
        <v>1.73205080756888</v>
      </c>
      <c r="G60" s="89" t="n">
        <v>0.0178</v>
      </c>
      <c r="H60" s="89" t="n">
        <v>61.3</v>
      </c>
      <c r="I60" s="89" t="n">
        <v>2</v>
      </c>
      <c r="J60" s="90" t="n">
        <f aca="false">F60*G60*H60*D60*100/(I60*E60)</f>
        <v>30.0807487412988</v>
      </c>
      <c r="K60" s="89" t="n">
        <v>35</v>
      </c>
      <c r="L60" s="90" t="n">
        <f aca="false">F60*G60*H60*D60*100/(K60*E60)</f>
        <v>1.71889992807422</v>
      </c>
      <c r="M60" s="89" t="n">
        <v>125</v>
      </c>
      <c r="N60" s="89" t="n">
        <v>126</v>
      </c>
      <c r="O60" s="89" t="n">
        <v>16</v>
      </c>
      <c r="P60" s="89" t="s">
        <v>250</v>
      </c>
      <c r="Q60" s="91" t="n">
        <f aca="false">COUNTA('Quadro de Cargas'!A6:A18)</f>
        <v>13</v>
      </c>
      <c r="R60" s="91" t="n">
        <f aca="false">IF(Q60&lt;=6,2,IF(Q60&lt;=12,3,IF(Q60&lt;=30,4,ROUNDUP(0.15*Q60,0))))</f>
        <v>4</v>
      </c>
      <c r="S60" s="51" t="n">
        <f aca="false">AVERAGEIFS('Quadro de Cargas'!I6:I18,'Quadro de Cargas'!H6:H18,"Monofásico")</f>
        <v>10.8004285277013</v>
      </c>
      <c r="T60" s="51" t="n">
        <f aca="false">R60*S60/3</f>
        <v>14.4005713702683</v>
      </c>
      <c r="U60" s="51" t="n">
        <f aca="false">MAX('Quadro de Cargas'!S19:U19)</f>
        <v>106.564818691895</v>
      </c>
      <c r="V60" s="53"/>
      <c r="W60" s="53"/>
      <c r="X60" s="53"/>
      <c r="Y60" s="53"/>
      <c r="Z60" s="53"/>
    </row>
    <row r="61" customFormat="false" ht="15.75" hidden="false" customHeight="true" outlineLevel="0" collapsed="false">
      <c r="A61" s="89" t="s">
        <v>251</v>
      </c>
      <c r="B61" s="89" t="s">
        <v>249</v>
      </c>
      <c r="C61" s="89" t="s">
        <v>143</v>
      </c>
      <c r="D61" s="90" t="n">
        <f aca="false">U61+T61</f>
        <v>161.924544707008</v>
      </c>
      <c r="E61" s="89" t="n">
        <v>380</v>
      </c>
      <c r="F61" s="89" t="n">
        <f aca="false">SQRT(3)</f>
        <v>1.73205080756888</v>
      </c>
      <c r="G61" s="89" t="n">
        <v>0.0178</v>
      </c>
      <c r="H61" s="89" t="n">
        <v>36.3</v>
      </c>
      <c r="I61" s="89" t="n">
        <v>2</v>
      </c>
      <c r="J61" s="90" t="n">
        <f aca="false">F61*G61*H61*D61*100/(I61*E61)</f>
        <v>23.8443971628852</v>
      </c>
      <c r="K61" s="89" t="n">
        <v>95</v>
      </c>
      <c r="L61" s="90" t="n">
        <f aca="false">F61*G61*H61*D61*100/(K61*E61)</f>
        <v>0.501987308692319</v>
      </c>
      <c r="M61" s="89" t="n">
        <v>200</v>
      </c>
      <c r="N61" s="89" t="n">
        <v>238</v>
      </c>
      <c r="O61" s="89" t="n">
        <v>50</v>
      </c>
      <c r="P61" s="89" t="s">
        <v>250</v>
      </c>
      <c r="Q61" s="91" t="n">
        <f aca="false">COUNTA('Quadro de Cargas'!A21:A37)</f>
        <v>17</v>
      </c>
      <c r="R61" s="91" t="n">
        <f aca="false">IF(Q61&lt;=6,2,IF(Q61&lt;=12,3,IF(Q61&lt;=30,4,ROUNDUP(0.15*Q61,0))))</f>
        <v>4</v>
      </c>
      <c r="S61" s="51" t="n">
        <f aca="false">AVERAGEIFS('Quadro de Cargas'!I21:I37,'Quadro de Cargas'!H21:H37,"Monofásico")</f>
        <v>9.37294943021035</v>
      </c>
      <c r="T61" s="51" t="n">
        <f aca="false">R61*S61/3</f>
        <v>12.4972659069471</v>
      </c>
      <c r="U61" s="51" t="n">
        <f aca="false">MAX('Quadro de Cargas'!S38:U38)</f>
        <v>149.427278800061</v>
      </c>
      <c r="V61" s="53"/>
      <c r="W61" s="53"/>
      <c r="X61" s="53"/>
      <c r="Y61" s="53"/>
      <c r="Z61" s="53"/>
    </row>
    <row r="62" customFormat="false" ht="15.75" hidden="false" customHeight="true" outlineLevel="0" collapsed="false">
      <c r="A62" s="89" t="s">
        <v>252</v>
      </c>
      <c r="B62" s="89" t="s">
        <v>249</v>
      </c>
      <c r="C62" s="89" t="s">
        <v>171</v>
      </c>
      <c r="D62" s="90" t="n">
        <f aca="false">U62+T62</f>
        <v>42.5450585552223</v>
      </c>
      <c r="E62" s="89" t="n">
        <v>380</v>
      </c>
      <c r="F62" s="89" t="n">
        <f aca="false">SQRT(3)</f>
        <v>1.73205080756888</v>
      </c>
      <c r="G62" s="89" t="n">
        <v>0.0178</v>
      </c>
      <c r="H62" s="89" t="n">
        <v>25.1</v>
      </c>
      <c r="I62" s="89" t="n">
        <v>2</v>
      </c>
      <c r="J62" s="90" t="n">
        <f aca="false">F62*G62*H62*D62*100/(I62*E62)</f>
        <v>4.33201433014933</v>
      </c>
      <c r="K62" s="89" t="n">
        <v>10</v>
      </c>
      <c r="L62" s="90" t="n">
        <f aca="false">F62*G62*H62*D62*100/(K62*E62)</f>
        <v>0.866402866029865</v>
      </c>
      <c r="M62" s="89" t="n">
        <v>50</v>
      </c>
      <c r="N62" s="89" t="n">
        <v>60</v>
      </c>
      <c r="O62" s="89" t="n">
        <v>10</v>
      </c>
      <c r="P62" s="89" t="s">
        <v>253</v>
      </c>
      <c r="Q62" s="91" t="n">
        <f aca="false">COUNTA('Quadro de Cargas'!A40:A50)</f>
        <v>11</v>
      </c>
      <c r="R62" s="91" t="n">
        <f aca="false">IF(Q62&lt;=6,2,IF(Q62&lt;=12,3,IF(Q62&lt;=30,4,ROUNDUP(0.15*Q62,0))))</f>
        <v>3</v>
      </c>
      <c r="S62" s="51" t="n">
        <f aca="false">AVERAGEIFS('Quadro de Cargas'!I40:I50,'Quadro de Cargas'!H40:H50,"Monofásico")</f>
        <v>9.08494723796813</v>
      </c>
      <c r="T62" s="51" t="n">
        <f aca="false">R62*S62/3</f>
        <v>9.08494723796813</v>
      </c>
      <c r="U62" s="51" t="n">
        <f aca="false">MAX('Quadro de Cargas'!S51:U51)</f>
        <v>33.4601113172542</v>
      </c>
      <c r="V62" s="53"/>
      <c r="W62" s="53"/>
      <c r="X62" s="53"/>
      <c r="Y62" s="53"/>
      <c r="Z62" s="53"/>
    </row>
    <row r="63" customFormat="false" ht="15.75" hidden="false" customHeight="true" outlineLevel="0" collapsed="false">
      <c r="A63" s="89" t="s">
        <v>254</v>
      </c>
      <c r="B63" s="89" t="s">
        <v>249</v>
      </c>
      <c r="C63" s="89" t="s">
        <v>194</v>
      </c>
      <c r="D63" s="90" t="n">
        <f aca="false">U63+T63</f>
        <v>53.5276679841897</v>
      </c>
      <c r="E63" s="89" t="n">
        <v>380</v>
      </c>
      <c r="F63" s="89" t="n">
        <f aca="false">SQRT(3)</f>
        <v>1.73205080756888</v>
      </c>
      <c r="G63" s="89" t="n">
        <v>0.0178</v>
      </c>
      <c r="H63" s="89" t="n">
        <v>15.9</v>
      </c>
      <c r="I63" s="89" t="n">
        <v>2</v>
      </c>
      <c r="J63" s="90" t="n">
        <f aca="false">F63*G63*H63*D63*100/(I63*E63)</f>
        <v>3.45256993830152</v>
      </c>
      <c r="K63" s="89" t="n">
        <v>16</v>
      </c>
      <c r="L63" s="90" t="n">
        <f aca="false">F63*G63*H63*D63*100/(K63*E63)</f>
        <v>0.43157124228769</v>
      </c>
      <c r="M63" s="89" t="n">
        <v>63</v>
      </c>
      <c r="N63" s="89" t="n">
        <v>80</v>
      </c>
      <c r="O63" s="89" t="n">
        <v>16</v>
      </c>
      <c r="P63" s="89" t="s">
        <v>255</v>
      </c>
      <c r="Q63" s="91" t="n">
        <f aca="false">COUNTA('Quadro de Cargas'!A53:A60)</f>
        <v>8</v>
      </c>
      <c r="R63" s="91" t="n">
        <f aca="false">IF(Q63&lt;=6,2,IF(Q63&lt;=12,3,IF(Q63&lt;=30,4,ROUNDUP(0.15*Q63,0))))</f>
        <v>3</v>
      </c>
      <c r="S63" s="51" t="n">
        <f aca="false">AVERAGEIFS('Quadro de Cargas'!I53:I60,'Quadro de Cargas'!H53:H60,"Monofásico")</f>
        <v>14.4367588932806</v>
      </c>
      <c r="T63" s="51" t="n">
        <f aca="false">R63*S63/3</f>
        <v>14.4367588932806</v>
      </c>
      <c r="U63" s="51" t="n">
        <f aca="false">MAX('Quadro de Cargas'!S61:U61)</f>
        <v>39.0909090909091</v>
      </c>
      <c r="V63" s="53"/>
      <c r="W63" s="53"/>
      <c r="X63" s="53"/>
      <c r="Y63" s="53"/>
      <c r="Z63" s="53"/>
    </row>
    <row r="64" customFormat="false" ht="15.75" hidden="false" customHeight="true" outlineLevel="0" collapsed="false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customFormat="false" ht="60" hidden="false" customHeight="true" outlineLevel="0" collapsed="false">
      <c r="A65" s="92" t="s">
        <v>256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customFormat="false" ht="15.75" hidden="false" customHeight="true" outlineLevel="0" collapsed="false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customFormat="false" ht="15.75" hidden="false" customHeight="true" outlineLevel="0" collapsed="false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customFormat="false" ht="15.75" hidden="false" customHeight="true" outlineLevel="0" collapsed="false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customFormat="false" ht="15.75" hidden="false" customHeight="true" outlineLevel="0" collapsed="false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customFormat="false" ht="15.75" hidden="false" customHeight="true" outlineLevel="0" collapsed="false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customFormat="false" ht="15.75" hidden="false" customHeight="true" outlineLevel="0" collapsed="false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customFormat="false" ht="15.75" hidden="false" customHeight="true" outlineLevel="0" collapsed="false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customFormat="false" ht="15.75" hidden="false" customHeight="true" outlineLevel="0" collapsed="false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customFormat="false" ht="15.75" hidden="false" customHeight="true" outlineLevel="0" collapsed="false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customFormat="false" ht="15.75" hidden="false" customHeight="true" outlineLevel="0" collapsed="false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customFormat="false" ht="15.75" hidden="false" customHeight="true" outlineLevel="0" collapsed="false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customFormat="false" ht="15.75" hidden="false" customHeight="true" outlineLevel="0" collapsed="false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customFormat="false" ht="15.75" hidden="false" customHeight="true" outlineLevel="0" collapsed="false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customFormat="false" ht="15.75" hidden="false" customHeight="tru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customFormat="false" ht="15.75" hidden="false" customHeight="true" outlineLevel="0" collapsed="false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customFormat="false" ht="15.75" hidden="false" customHeight="true" outlineLevel="0" collapsed="false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customFormat="false" ht="15.75" hidden="false" customHeight="true" outlineLevel="0" collapsed="false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customFormat="false" ht="15.75" hidden="false" customHeight="true" outlineLevel="0" collapsed="false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customFormat="false" ht="15.75" hidden="false" customHeight="true" outlineLevel="0" collapsed="false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customFormat="false" ht="15.75" hidden="false" customHeight="true" outlineLevel="0" collapsed="false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customFormat="false" ht="15.75" hidden="false" customHeight="true" outlineLevel="0" collapsed="false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customFormat="false" ht="15.75" hidden="false" customHeight="true" outlineLevel="0" collapsed="false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customFormat="false" ht="15.75" hidden="false" customHeight="true" outlineLevel="0" collapsed="false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customFormat="false" ht="15.75" hidden="false" customHeight="true" outlineLevel="0" collapsed="false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customFormat="false" ht="15.75" hidden="false" customHeight="true" outlineLevel="0" collapsed="false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customFormat="false" ht="15.75" hidden="false" customHeight="true" outlineLevel="0" collapsed="false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customFormat="false" ht="15.75" hidden="false" customHeight="true" outlineLevel="0" collapsed="false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customFormat="false" ht="15.75" hidden="false" customHeight="true" outlineLevel="0" collapsed="false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customFormat="false" ht="15.75" hidden="false" customHeight="true" outlineLevel="0" collapsed="false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customFormat="false" ht="15.75" hidden="false" customHeight="true" outlineLevel="0" collapsed="false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customFormat="false" ht="15.75" hidden="false" customHeight="true" outlineLevel="0" collapsed="false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customFormat="false" ht="15.75" hidden="false" customHeight="true" outlineLevel="0" collapsed="false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customFormat="false" ht="15.75" hidden="false" customHeight="true" outlineLevel="0" collapsed="false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customFormat="false" ht="15.75" hidden="false" customHeight="true" outlineLevel="0" collapsed="false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customFormat="false" ht="15.75" hidden="false" customHeight="true" outlineLevel="0" collapsed="false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customFormat="false" ht="15.75" hidden="false" customHeight="true" outlineLevel="0" collapsed="false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customFormat="false" ht="15.75" hidden="false" customHeight="true" outlineLevel="0" collapsed="false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customFormat="false" ht="15.75" hidden="false" customHeight="true" outlineLevel="0" collapsed="false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customFormat="false" ht="15.75" hidden="false" customHeight="true" outlineLevel="0" collapsed="false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customFormat="false" ht="15.75" hidden="false" customHeight="true" outlineLevel="0" collapsed="false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customFormat="false" ht="15.75" hidden="false" customHeight="true" outlineLevel="0" collapsed="false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customFormat="false" ht="15.75" hidden="false" customHeight="true" outlineLevel="0" collapsed="false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customFormat="false" ht="15.75" hidden="false" customHeight="true" outlineLevel="0" collapsed="false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customFormat="false" ht="15.75" hidden="false" customHeight="true" outlineLevel="0" collapsed="false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customFormat="false" ht="15.75" hidden="false" customHeight="true" outlineLevel="0" collapsed="false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customFormat="false" ht="15.75" hidden="false" customHeight="true" outlineLevel="0" collapsed="false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customFormat="false" ht="15.75" hidden="false" customHeight="true" outlineLevel="0" collapsed="false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customFormat="false" ht="15.75" hidden="false" customHeight="true" outlineLevel="0" collapsed="false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customFormat="false" ht="15.75" hidden="false" customHeight="true" outlineLevel="0" collapsed="false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customFormat="false" ht="15.75" hidden="false" customHeight="true" outlineLevel="0" collapsed="false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customFormat="false" ht="15.75" hidden="false" customHeight="true" outlineLevel="0" collapsed="false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customFormat="false" ht="15.75" hidden="false" customHeight="true" outlineLevel="0" collapsed="false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customFormat="false" ht="15.75" hidden="false" customHeight="true" outlineLevel="0" collapsed="false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customFormat="false" ht="15.75" hidden="false" customHeight="true" outlineLevel="0" collapsed="false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customFormat="false" ht="15.75" hidden="false" customHeight="true" outlineLevel="0" collapsed="false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customFormat="false" ht="15.75" hidden="false" customHeight="true" outlineLevel="0" collapsed="false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customFormat="false" ht="15.75" hidden="false" customHeight="true" outlineLevel="0" collapsed="false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customFormat="false" ht="15.75" hidden="false" customHeight="true" outlineLevel="0" collapsed="false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customFormat="false" ht="15.75" hidden="false" customHeight="true" outlineLevel="0" collapsed="false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customFormat="false" ht="15.75" hidden="false" customHeight="true" outlineLevel="0" collapsed="false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customFormat="false" ht="15.75" hidden="false" customHeight="true" outlineLevel="0" collapsed="false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customFormat="false" ht="15.75" hidden="false" customHeight="true" outlineLevel="0" collapsed="false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customFormat="false" ht="15.75" hidden="false" customHeight="true" outlineLevel="0" collapsed="false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customFormat="false" ht="15.75" hidden="false" customHeight="true" outlineLevel="0" collapsed="false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customFormat="false" ht="15.75" hidden="false" customHeight="true" outlineLevel="0" collapsed="false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customFormat="false" ht="15.75" hidden="false" customHeight="true" outlineLevel="0" collapsed="false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customFormat="false" ht="15.75" hidden="false" customHeight="true" outlineLevel="0" collapsed="false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customFormat="false" ht="15.75" hidden="false" customHeight="true" outlineLevel="0" collapsed="false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customFormat="false" ht="15.75" hidden="false" customHeight="true" outlineLevel="0" collapsed="false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customFormat="false" ht="15.75" hidden="false" customHeight="true" outlineLevel="0" collapsed="false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customFormat="false" ht="15.75" hidden="false" customHeight="true" outlineLevel="0" collapsed="false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customFormat="false" ht="15.75" hidden="false" customHeight="true" outlineLevel="0" collapsed="false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customFormat="false" ht="15.75" hidden="false" customHeight="true" outlineLevel="0" collapsed="false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customFormat="false" ht="15.75" hidden="false" customHeight="true" outlineLevel="0" collapsed="false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customFormat="false" ht="15.75" hidden="false" customHeight="true" outlineLevel="0" collapsed="false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customFormat="false" ht="15.75" hidden="false" customHeight="true" outlineLevel="0" collapsed="false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customFormat="false" ht="15.75" hidden="false" customHeight="true" outlineLevel="0" collapsed="false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customFormat="false" ht="15.75" hidden="false" customHeight="true" outlineLevel="0" collapsed="false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customFormat="false" ht="15.75" hidden="false" customHeight="true" outlineLevel="0" collapsed="false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customFormat="false" ht="15.75" hidden="false" customHeight="true" outlineLevel="0" collapsed="false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customFormat="false" ht="15.75" hidden="false" customHeight="true" outlineLevel="0" collapsed="false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customFormat="false" ht="15.75" hidden="false" customHeight="true" outlineLevel="0" collapsed="false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customFormat="false" ht="15.75" hidden="false" customHeight="true" outlineLevel="0" collapsed="false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customFormat="false" ht="15.75" hidden="false" customHeight="true" outlineLevel="0" collapsed="false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customFormat="false" ht="15.75" hidden="false" customHeight="true" outlineLevel="0" collapsed="false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customFormat="false" ht="15.75" hidden="false" customHeight="true" outlineLevel="0" collapsed="false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customFormat="false" ht="15.75" hidden="false" customHeight="true" outlineLevel="0" collapsed="false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customFormat="false" ht="15.75" hidden="false" customHeight="true" outlineLevel="0" collapsed="false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customFormat="false" ht="15.75" hidden="false" customHeight="true" outlineLevel="0" collapsed="false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customFormat="false" ht="15.75" hidden="false" customHeight="true" outlineLevel="0" collapsed="false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customFormat="false" ht="15.75" hidden="false" customHeight="true" outlineLevel="0" collapsed="false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customFormat="false" ht="15.75" hidden="false" customHeight="true" outlineLevel="0" collapsed="false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customFormat="false" ht="15.75" hidden="false" customHeight="true" outlineLevel="0" collapsed="false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customFormat="false" ht="15.75" hidden="false" customHeight="true" outlineLevel="0" collapsed="false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customFormat="false" ht="15.75" hidden="false" customHeight="true" outlineLevel="0" collapsed="false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customFormat="false" ht="15.75" hidden="false" customHeight="true" outlineLevel="0" collapsed="false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customFormat="false" ht="15.75" hidden="false" customHeight="true" outlineLevel="0" collapsed="false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customFormat="false" ht="15.75" hidden="false" customHeight="true" outlineLevel="0" collapsed="false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customFormat="false" ht="15.75" hidden="false" customHeight="true" outlineLevel="0" collapsed="false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customFormat="false" ht="15.75" hidden="false" customHeight="true" outlineLevel="0" collapsed="false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customFormat="false" ht="15.75" hidden="false" customHeight="true" outlineLevel="0" collapsed="false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customFormat="false" ht="15.75" hidden="false" customHeight="true" outlineLevel="0" collapsed="false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customFormat="false" ht="15.75" hidden="false" customHeight="true" outlineLevel="0" collapsed="false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customFormat="false" ht="15.75" hidden="false" customHeight="true" outlineLevel="0" collapsed="false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customFormat="false" ht="15.75" hidden="false" customHeight="true" outlineLevel="0" collapsed="false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customFormat="false" ht="15.75" hidden="false" customHeight="true" outlineLevel="0" collapsed="false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customFormat="false" ht="15.75" hidden="false" customHeight="true" outlineLevel="0" collapsed="false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customFormat="false" ht="15.75" hidden="false" customHeight="true" outlineLevel="0" collapsed="false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customFormat="false" ht="15.75" hidden="false" customHeight="true" outlineLevel="0" collapsed="false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customFormat="false" ht="15.75" hidden="false" customHeight="true" outlineLevel="0" collapsed="false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customFormat="false" ht="15.75" hidden="false" customHeight="true" outlineLevel="0" collapsed="false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customFormat="false" ht="15.75" hidden="false" customHeight="true" outlineLevel="0" collapsed="false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customFormat="false" ht="15.75" hidden="false" customHeight="true" outlineLevel="0" collapsed="false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customFormat="false" ht="15.75" hidden="false" customHeight="true" outlineLevel="0" collapsed="false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customFormat="false" ht="15.75" hidden="false" customHeight="true" outlineLevel="0" collapsed="false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customFormat="false" ht="15.75" hidden="false" customHeight="true" outlineLevel="0" collapsed="false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customFormat="false" ht="15.75" hidden="false" customHeight="true" outlineLevel="0" collapsed="false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customFormat="false" ht="15.75" hidden="false" customHeight="true" outlineLevel="0" collapsed="false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customFormat="false" ht="15.75" hidden="false" customHeight="true" outlineLevel="0" collapsed="false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customFormat="false" ht="15.75" hidden="false" customHeight="true" outlineLevel="0" collapsed="false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customFormat="false" ht="15.75" hidden="false" customHeight="true" outlineLevel="0" collapsed="false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customFormat="false" ht="15.75" hidden="false" customHeight="true" outlineLevel="0" collapsed="false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customFormat="false" ht="15.75" hidden="false" customHeight="true" outlineLevel="0" collapsed="false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customFormat="false" ht="15.75" hidden="false" customHeight="true" outlineLevel="0" collapsed="false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customFormat="false" ht="15.75" hidden="false" customHeight="true" outlineLevel="0" collapsed="false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customFormat="false" ht="15.75" hidden="false" customHeight="true" outlineLevel="0" collapsed="false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customFormat="false" ht="15.75" hidden="false" customHeight="true" outlineLevel="0" collapsed="false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customFormat="false" ht="15.75" hidden="false" customHeight="true" outlineLevel="0" collapsed="false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customFormat="false" ht="15.75" hidden="false" customHeight="true" outlineLevel="0" collapsed="false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customFormat="false" ht="15.75" hidden="false" customHeight="true" outlineLevel="0" collapsed="false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customFormat="false" ht="15.75" hidden="false" customHeight="true" outlineLevel="0" collapsed="false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customFormat="false" ht="15.75" hidden="false" customHeight="true" outlineLevel="0" collapsed="false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customFormat="false" ht="15.75" hidden="false" customHeight="true" outlineLevel="0" collapsed="false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customFormat="false" ht="15.75" hidden="false" customHeight="true" outlineLevel="0" collapsed="false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customFormat="false" ht="15.75" hidden="false" customHeight="true" outlineLevel="0" collapsed="false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customFormat="false" ht="15.75" hidden="false" customHeight="true" outlineLevel="0" collapsed="false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customFormat="false" ht="15.75" hidden="false" customHeight="true" outlineLevel="0" collapsed="false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customFormat="false" ht="15.75" hidden="false" customHeight="true" outlineLevel="0" collapsed="false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customFormat="false" ht="15.75" hidden="false" customHeight="true" outlineLevel="0" collapsed="false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customFormat="false" ht="15.75" hidden="false" customHeight="true" outlineLevel="0" collapsed="false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customFormat="false" ht="15.75" hidden="false" customHeight="true" outlineLevel="0" collapsed="false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customFormat="false" ht="15.75" hidden="false" customHeight="true" outlineLevel="0" collapsed="false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customFormat="false" ht="15.75" hidden="false" customHeight="true" outlineLevel="0" collapsed="false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customFormat="false" ht="15.75" hidden="false" customHeight="true" outlineLevel="0" collapsed="false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customFormat="false" ht="15.75" hidden="false" customHeight="true" outlineLevel="0" collapsed="false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customFormat="false" ht="15.75" hidden="false" customHeight="true" outlineLevel="0" collapsed="false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customFormat="false" ht="15.75" hidden="false" customHeight="true" outlineLevel="0" collapsed="false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customFormat="false" ht="15.75" hidden="false" customHeight="true" outlineLevel="0" collapsed="false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customFormat="false" ht="15.75" hidden="false" customHeight="true" outlineLevel="0" collapsed="false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customFormat="false" ht="15.75" hidden="false" customHeight="true" outlineLevel="0" collapsed="false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customFormat="false" ht="15.75" hidden="false" customHeight="true" outlineLevel="0" collapsed="false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customFormat="false" ht="15.75" hidden="false" customHeight="true" outlineLevel="0" collapsed="false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customFormat="false" ht="15.75" hidden="false" customHeight="true" outlineLevel="0" collapsed="false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customFormat="false" ht="15.75" hidden="false" customHeight="true" outlineLevel="0" collapsed="false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customFormat="false" ht="15.75" hidden="false" customHeight="true" outlineLevel="0" collapsed="false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customFormat="false" ht="15.75" hidden="false" customHeight="true" outlineLevel="0" collapsed="false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customFormat="false" ht="15.75" hidden="false" customHeight="true" outlineLevel="0" collapsed="false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customFormat="false" ht="15.75" hidden="false" customHeight="true" outlineLevel="0" collapsed="false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customFormat="false" ht="15.75" hidden="false" customHeight="true" outlineLevel="0" collapsed="false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customFormat="false" ht="15.75" hidden="false" customHeight="true" outlineLevel="0" collapsed="false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customFormat="false" ht="15.75" hidden="false" customHeight="true" outlineLevel="0" collapsed="false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customFormat="false" ht="15.75" hidden="false" customHeight="true" outlineLevel="0" collapsed="false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customFormat="false" ht="15.75" hidden="false" customHeight="true" outlineLevel="0" collapsed="false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customFormat="false" ht="15.75" hidden="false" customHeight="true" outlineLevel="0" collapsed="false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customFormat="false" ht="15.75" hidden="false" customHeight="true" outlineLevel="0" collapsed="false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customFormat="false" ht="15.75" hidden="false" customHeight="true" outlineLevel="0" collapsed="false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customFormat="false" ht="15.75" hidden="false" customHeight="true" outlineLevel="0" collapsed="false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customFormat="false" ht="15.75" hidden="false" customHeight="true" outlineLevel="0" collapsed="false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customFormat="false" ht="15.75" hidden="false" customHeight="true" outlineLevel="0" collapsed="false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customFormat="false" ht="15.75" hidden="false" customHeight="true" outlineLevel="0" collapsed="false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customFormat="false" ht="15.75" hidden="false" customHeight="true" outlineLevel="0" collapsed="false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customFormat="false" ht="15.75" hidden="false" customHeight="true" outlineLevel="0" collapsed="false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customFormat="false" ht="15.75" hidden="false" customHeight="true" outlineLevel="0" collapsed="false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customFormat="false" ht="15.75" hidden="false" customHeight="true" outlineLevel="0" collapsed="false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customFormat="false" ht="15.75" hidden="false" customHeight="true" outlineLevel="0" collapsed="false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customFormat="false" ht="15.75" hidden="false" customHeight="true" outlineLevel="0" collapsed="false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customFormat="false" ht="15.75" hidden="false" customHeight="true" outlineLevel="0" collapsed="false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customFormat="false" ht="15.75" hidden="false" customHeight="true" outlineLevel="0" collapsed="false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customFormat="false" ht="15.75" hidden="false" customHeight="true" outlineLevel="0" collapsed="false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customFormat="false" ht="15.75" hidden="false" customHeight="true" outlineLevel="0" collapsed="false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customFormat="false" ht="15.75" hidden="false" customHeight="true" outlineLevel="0" collapsed="false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customFormat="false" ht="15.75" hidden="false" customHeight="true" outlineLevel="0" collapsed="false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customFormat="false" ht="15.75" hidden="false" customHeight="true" outlineLevel="0" collapsed="false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customFormat="false" ht="15.75" hidden="false" customHeight="true" outlineLevel="0" collapsed="false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customFormat="false" ht="15.75" hidden="false" customHeight="true" outlineLevel="0" collapsed="false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customFormat="false" ht="15.75" hidden="false" customHeight="true" outlineLevel="0" collapsed="false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customFormat="false" ht="15.75" hidden="false" customHeight="true" outlineLevel="0" collapsed="false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customFormat="false" ht="15.75" hidden="false" customHeight="true" outlineLevel="0" collapsed="false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customFormat="false" ht="15.75" hidden="false" customHeight="true" outlineLevel="0" collapsed="false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customFormat="false" ht="15.75" hidden="false" customHeight="true" outlineLevel="0" collapsed="false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customFormat="false" ht="15.75" hidden="false" customHeight="true" outlineLevel="0" collapsed="false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customFormat="false" ht="15.75" hidden="false" customHeight="true" outlineLevel="0" collapsed="false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customFormat="false" ht="15.75" hidden="false" customHeight="true" outlineLevel="0" collapsed="false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customFormat="false" ht="15.75" hidden="false" customHeight="true" outlineLevel="0" collapsed="false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customFormat="false" ht="15.75" hidden="false" customHeight="true" outlineLevel="0" collapsed="false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customFormat="false" ht="15.75" hidden="false" customHeight="true" outlineLevel="0" collapsed="false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customFormat="false" ht="15.75" hidden="false" customHeight="true" outlineLevel="0" collapsed="false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customFormat="false" ht="15.75" hidden="false" customHeight="true" outlineLevel="0" collapsed="false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customFormat="false" ht="15.75" hidden="false" customHeight="true" outlineLevel="0" collapsed="false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customFormat="false" ht="15.75" hidden="false" customHeight="true" outlineLevel="0" collapsed="false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customFormat="false" ht="15.75" hidden="false" customHeight="true" outlineLevel="0" collapsed="false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customFormat="false" ht="15.75" hidden="false" customHeight="true" outlineLevel="0" collapsed="false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customFormat="false" ht="15.75" hidden="false" customHeight="true" outlineLevel="0" collapsed="false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customFormat="false" ht="15.75" hidden="false" customHeight="true" outlineLevel="0" collapsed="false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customFormat="false" ht="15.75" hidden="false" customHeight="true" outlineLevel="0" collapsed="false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customFormat="false" ht="15.75" hidden="false" customHeight="true" outlineLevel="0" collapsed="false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customFormat="false" ht="15.75" hidden="false" customHeight="true" outlineLevel="0" collapsed="false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customFormat="false" ht="15.75" hidden="false" customHeight="true" outlineLevel="0" collapsed="false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customFormat="false" ht="15.75" hidden="false" customHeight="true" outlineLevel="0" collapsed="false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customFormat="false" ht="15.75" hidden="false" customHeight="true" outlineLevel="0" collapsed="false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customFormat="false" ht="15.75" hidden="false" customHeight="true" outlineLevel="0" collapsed="false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customFormat="false" ht="15.75" hidden="false" customHeight="true" outlineLevel="0" collapsed="false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customFormat="false" ht="15.75" hidden="false" customHeight="true" outlineLevel="0" collapsed="false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customFormat="false" ht="15.75" hidden="false" customHeight="true" outlineLevel="0" collapsed="false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customFormat="false" ht="15.75" hidden="false" customHeight="true" outlineLevel="0" collapsed="false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customFormat="false" ht="15.75" hidden="false" customHeight="true" outlineLevel="0" collapsed="false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customFormat="false" ht="15.75" hidden="false" customHeight="true" outlineLevel="0" collapsed="false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customFormat="false" ht="15.75" hidden="false" customHeight="true" outlineLevel="0" collapsed="false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customFormat="false" ht="15.75" hidden="false" customHeight="true" outlineLevel="0" collapsed="false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customFormat="false" ht="15.75" hidden="false" customHeight="true" outlineLevel="0" collapsed="false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customFormat="false" ht="15.75" hidden="false" customHeight="true" outlineLevel="0" collapsed="false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customFormat="false" ht="15.75" hidden="false" customHeight="true" outlineLevel="0" collapsed="false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customFormat="false" ht="15.75" hidden="false" customHeight="true" outlineLevel="0" collapsed="false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customFormat="false" ht="15.75" hidden="false" customHeight="true" outlineLevel="0" collapsed="false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customFormat="false" ht="15.75" hidden="false" customHeight="true" outlineLevel="0" collapsed="false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customFormat="false" ht="15.75" hidden="false" customHeight="true" outlineLevel="0" collapsed="false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customFormat="false" ht="15.75" hidden="false" customHeight="true" outlineLevel="0" collapsed="false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customFormat="false" ht="15.75" hidden="false" customHeight="true" outlineLevel="0" collapsed="false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customFormat="false" ht="15.75" hidden="false" customHeight="true" outlineLevel="0" collapsed="false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customFormat="false" ht="15.75" hidden="false" customHeight="true" outlineLevel="0" collapsed="false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customFormat="false" ht="15.75" hidden="false" customHeight="true" outlineLevel="0" collapsed="false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customFormat="false" ht="15.75" hidden="false" customHeight="true" outlineLevel="0" collapsed="false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customFormat="false" ht="15.75" hidden="false" customHeight="true" outlineLevel="0" collapsed="false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customFormat="false" ht="15.75" hidden="false" customHeight="true" outlineLevel="0" collapsed="false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customFormat="false" ht="15.75" hidden="false" customHeight="true" outlineLevel="0" collapsed="false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customFormat="false" ht="15.75" hidden="false" customHeight="true" outlineLevel="0" collapsed="false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customFormat="false" ht="15.75" hidden="false" customHeight="true" outlineLevel="0" collapsed="false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customFormat="false" ht="15.75" hidden="false" customHeight="true" outlineLevel="0" collapsed="false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customFormat="false" ht="15.75" hidden="false" customHeight="true" outlineLevel="0" collapsed="false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customFormat="false" ht="15.75" hidden="false" customHeight="true" outlineLevel="0" collapsed="false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customFormat="false" ht="15.75" hidden="false" customHeight="true" outlineLevel="0" collapsed="false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customFormat="false" ht="15.75" hidden="false" customHeight="true" outlineLevel="0" collapsed="false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customFormat="false" ht="15.75" hidden="false" customHeight="true" outlineLevel="0" collapsed="false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customFormat="false" ht="15.75" hidden="false" customHeight="true" outlineLevel="0" collapsed="false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customFormat="false" ht="15.75" hidden="false" customHeight="true" outlineLevel="0" collapsed="false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customFormat="false" ht="15.75" hidden="false" customHeight="true" outlineLevel="0" collapsed="false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customFormat="false" ht="15.75" hidden="false" customHeight="true" outlineLevel="0" collapsed="false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customFormat="false" ht="15.75" hidden="false" customHeight="true" outlineLevel="0" collapsed="false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customFormat="false" ht="15.75" hidden="false" customHeight="true" outlineLevel="0" collapsed="false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customFormat="false" ht="15.75" hidden="false" customHeight="true" outlineLevel="0" collapsed="false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customFormat="false" ht="15.75" hidden="false" customHeight="true" outlineLevel="0" collapsed="false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customFormat="false" ht="15.75" hidden="false" customHeight="true" outlineLevel="0" collapsed="false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customFormat="false" ht="15.75" hidden="false" customHeight="true" outlineLevel="0" collapsed="false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customFormat="false" ht="15.75" hidden="false" customHeight="true" outlineLevel="0" collapsed="false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customFormat="false" ht="15.75" hidden="false" customHeight="true" outlineLevel="0" collapsed="false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customFormat="false" ht="15.75" hidden="false" customHeight="true" outlineLevel="0" collapsed="false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customFormat="false" ht="15.75" hidden="false" customHeight="true" outlineLevel="0" collapsed="false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customFormat="false" ht="15.75" hidden="false" customHeight="true" outlineLevel="0" collapsed="false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customFormat="false" ht="15.75" hidden="false" customHeight="true" outlineLevel="0" collapsed="false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customFormat="false" ht="15.75" hidden="false" customHeight="true" outlineLevel="0" collapsed="false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customFormat="false" ht="15.75" hidden="false" customHeight="true" outlineLevel="0" collapsed="false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customFormat="false" ht="15.75" hidden="false" customHeight="true" outlineLevel="0" collapsed="false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customFormat="false" ht="15.75" hidden="false" customHeight="true" outlineLevel="0" collapsed="false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customFormat="false" ht="15.75" hidden="false" customHeight="true" outlineLevel="0" collapsed="false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customFormat="false" ht="15.75" hidden="false" customHeight="true" outlineLevel="0" collapsed="false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customFormat="false" ht="15.75" hidden="false" customHeight="true" outlineLevel="0" collapsed="false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customFormat="false" ht="15.75" hidden="false" customHeight="true" outlineLevel="0" collapsed="false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customFormat="false" ht="15.75" hidden="false" customHeight="true" outlineLevel="0" collapsed="false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customFormat="false" ht="15.75" hidden="false" customHeight="true" outlineLevel="0" collapsed="false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customFormat="false" ht="15.75" hidden="false" customHeight="true" outlineLevel="0" collapsed="false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customFormat="false" ht="15.75" hidden="false" customHeight="true" outlineLevel="0" collapsed="false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customFormat="false" ht="15.75" hidden="false" customHeight="true" outlineLevel="0" collapsed="false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customFormat="false" ht="15.75" hidden="false" customHeight="true" outlineLevel="0" collapsed="false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customFormat="false" ht="15.75" hidden="false" customHeight="true" outlineLevel="0" collapsed="false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customFormat="false" ht="15.75" hidden="false" customHeight="true" outlineLevel="0" collapsed="false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customFormat="false" ht="15.75" hidden="false" customHeight="true" outlineLevel="0" collapsed="false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customFormat="false" ht="15.75" hidden="false" customHeight="true" outlineLevel="0" collapsed="false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customFormat="false" ht="15.75" hidden="false" customHeight="true" outlineLevel="0" collapsed="false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customFormat="false" ht="15.75" hidden="false" customHeight="true" outlineLevel="0" collapsed="false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customFormat="false" ht="15.75" hidden="false" customHeight="true" outlineLevel="0" collapsed="false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customFormat="false" ht="15.75" hidden="false" customHeight="true" outlineLevel="0" collapsed="false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customFormat="false" ht="15.75" hidden="false" customHeight="true" outlineLevel="0" collapsed="false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customFormat="false" ht="15.75" hidden="false" customHeight="true" outlineLevel="0" collapsed="false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customFormat="false" ht="15.75" hidden="false" customHeight="true" outlineLevel="0" collapsed="false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customFormat="false" ht="15.75" hidden="false" customHeight="true" outlineLevel="0" collapsed="false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customFormat="false" ht="15.75" hidden="false" customHeight="true" outlineLevel="0" collapsed="false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customFormat="false" ht="15.75" hidden="false" customHeight="true" outlineLevel="0" collapsed="false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customFormat="false" ht="15.75" hidden="false" customHeight="true" outlineLevel="0" collapsed="false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customFormat="false" ht="15.75" hidden="false" customHeight="true" outlineLevel="0" collapsed="false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customFormat="false" ht="15.75" hidden="false" customHeight="true" outlineLevel="0" collapsed="false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customFormat="false" ht="15.75" hidden="false" customHeight="true" outlineLevel="0" collapsed="false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customFormat="false" ht="15.75" hidden="false" customHeight="true" outlineLevel="0" collapsed="false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customFormat="false" ht="15.75" hidden="false" customHeight="true" outlineLevel="0" collapsed="false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customFormat="false" ht="15.75" hidden="false" customHeight="true" outlineLevel="0" collapsed="false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customFormat="false" ht="15.75" hidden="false" customHeight="true" outlineLevel="0" collapsed="false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customFormat="false" ht="15.75" hidden="false" customHeight="true" outlineLevel="0" collapsed="false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customFormat="false" ht="15.75" hidden="false" customHeight="true" outlineLevel="0" collapsed="false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customFormat="false" ht="15.75" hidden="false" customHeight="true" outlineLevel="0" collapsed="false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customFormat="false" ht="15.75" hidden="false" customHeight="true" outlineLevel="0" collapsed="false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customFormat="false" ht="15.75" hidden="false" customHeight="true" outlineLevel="0" collapsed="false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customFormat="false" ht="15.75" hidden="false" customHeight="true" outlineLevel="0" collapsed="false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customFormat="false" ht="15.75" hidden="false" customHeight="true" outlineLevel="0" collapsed="false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customFormat="false" ht="15.75" hidden="false" customHeight="true" outlineLevel="0" collapsed="false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customFormat="false" ht="15.75" hidden="false" customHeight="true" outlineLevel="0" collapsed="false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customFormat="false" ht="15.75" hidden="false" customHeight="true" outlineLevel="0" collapsed="false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customFormat="false" ht="15.75" hidden="false" customHeight="true" outlineLevel="0" collapsed="false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customFormat="false" ht="15.75" hidden="false" customHeight="true" outlineLevel="0" collapsed="false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customFormat="false" ht="15.75" hidden="false" customHeight="true" outlineLevel="0" collapsed="false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customFormat="false" ht="15.75" hidden="false" customHeight="true" outlineLevel="0" collapsed="false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customFormat="false" ht="15.75" hidden="false" customHeight="true" outlineLevel="0" collapsed="false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customFormat="false" ht="15.75" hidden="false" customHeight="true" outlineLevel="0" collapsed="false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customFormat="false" ht="15.75" hidden="false" customHeight="true" outlineLevel="0" collapsed="false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customFormat="false" ht="15.75" hidden="false" customHeight="true" outlineLevel="0" collapsed="false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customFormat="false" ht="15.75" hidden="false" customHeight="true" outlineLevel="0" collapsed="false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customFormat="false" ht="15.75" hidden="false" customHeight="true" outlineLevel="0" collapsed="false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customFormat="false" ht="15.75" hidden="false" customHeight="true" outlineLevel="0" collapsed="false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customFormat="false" ht="15.75" hidden="false" customHeight="true" outlineLevel="0" collapsed="false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customFormat="false" ht="15.75" hidden="false" customHeight="true" outlineLevel="0" collapsed="false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customFormat="false" ht="15.75" hidden="false" customHeight="true" outlineLevel="0" collapsed="false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customFormat="false" ht="15.75" hidden="false" customHeight="true" outlineLevel="0" collapsed="false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customFormat="false" ht="15.75" hidden="false" customHeight="true" outlineLevel="0" collapsed="false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customFormat="false" ht="15.75" hidden="false" customHeight="true" outlineLevel="0" collapsed="false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customFormat="false" ht="15.75" hidden="false" customHeight="true" outlineLevel="0" collapsed="false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customFormat="false" ht="15.75" hidden="false" customHeight="true" outlineLevel="0" collapsed="false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customFormat="false" ht="15.75" hidden="false" customHeight="true" outlineLevel="0" collapsed="false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customFormat="false" ht="15.75" hidden="false" customHeight="true" outlineLevel="0" collapsed="false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customFormat="false" ht="15.75" hidden="false" customHeight="true" outlineLevel="0" collapsed="false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customFormat="false" ht="15.75" hidden="false" customHeight="true" outlineLevel="0" collapsed="false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customFormat="false" ht="15.75" hidden="false" customHeight="true" outlineLevel="0" collapsed="false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customFormat="false" ht="15.75" hidden="false" customHeight="true" outlineLevel="0" collapsed="false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customFormat="false" ht="15.75" hidden="false" customHeight="true" outlineLevel="0" collapsed="false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customFormat="false" ht="15.75" hidden="false" customHeight="true" outlineLevel="0" collapsed="false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customFormat="false" ht="15.75" hidden="false" customHeight="true" outlineLevel="0" collapsed="false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customFormat="false" ht="15.75" hidden="false" customHeight="true" outlineLevel="0" collapsed="false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customFormat="false" ht="15.75" hidden="false" customHeight="true" outlineLevel="0" collapsed="false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customFormat="false" ht="15.75" hidden="false" customHeight="true" outlineLevel="0" collapsed="false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customFormat="false" ht="15.75" hidden="false" customHeight="true" outlineLevel="0" collapsed="false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customFormat="false" ht="15.75" hidden="false" customHeight="true" outlineLevel="0" collapsed="false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customFormat="false" ht="15.75" hidden="false" customHeight="true" outlineLevel="0" collapsed="false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customFormat="false" ht="15.75" hidden="false" customHeight="true" outlineLevel="0" collapsed="false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customFormat="false" ht="15.75" hidden="false" customHeight="true" outlineLevel="0" collapsed="false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customFormat="false" ht="15.75" hidden="false" customHeight="true" outlineLevel="0" collapsed="false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customFormat="false" ht="15.75" hidden="false" customHeight="true" outlineLevel="0" collapsed="false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customFormat="false" ht="15.75" hidden="false" customHeight="true" outlineLevel="0" collapsed="false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customFormat="false" ht="15.75" hidden="false" customHeight="true" outlineLevel="0" collapsed="false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customFormat="false" ht="15.75" hidden="false" customHeight="true" outlineLevel="0" collapsed="false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customFormat="false" ht="15.75" hidden="false" customHeight="true" outlineLevel="0" collapsed="false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customFormat="false" ht="15.75" hidden="false" customHeight="true" outlineLevel="0" collapsed="false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customFormat="false" ht="15.75" hidden="false" customHeight="true" outlineLevel="0" collapsed="false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customFormat="false" ht="15.75" hidden="false" customHeight="true" outlineLevel="0" collapsed="false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customFormat="false" ht="15.75" hidden="false" customHeight="true" outlineLevel="0" collapsed="false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customFormat="false" ht="15.75" hidden="false" customHeight="true" outlineLevel="0" collapsed="false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customFormat="false" ht="15.75" hidden="false" customHeight="true" outlineLevel="0" collapsed="false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customFormat="false" ht="15.75" hidden="false" customHeight="true" outlineLevel="0" collapsed="false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customFormat="false" ht="15.75" hidden="false" customHeight="true" outlineLevel="0" collapsed="false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customFormat="false" ht="15.75" hidden="false" customHeight="true" outlineLevel="0" collapsed="false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customFormat="false" ht="15.75" hidden="false" customHeight="true" outlineLevel="0" collapsed="false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customFormat="false" ht="15.75" hidden="false" customHeight="true" outlineLevel="0" collapsed="false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customFormat="false" ht="15.75" hidden="false" customHeight="true" outlineLevel="0" collapsed="false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customFormat="false" ht="15.75" hidden="false" customHeight="true" outlineLevel="0" collapsed="false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customFormat="false" ht="15.75" hidden="false" customHeight="true" outlineLevel="0" collapsed="false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customFormat="false" ht="15.75" hidden="false" customHeight="true" outlineLevel="0" collapsed="false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customFormat="false" ht="15.75" hidden="false" customHeight="true" outlineLevel="0" collapsed="false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customFormat="false" ht="15.75" hidden="false" customHeight="true" outlineLevel="0" collapsed="false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customFormat="false" ht="15.75" hidden="false" customHeight="true" outlineLevel="0" collapsed="false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customFormat="false" ht="15.75" hidden="false" customHeight="true" outlineLevel="0" collapsed="false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customFormat="false" ht="15.75" hidden="false" customHeight="true" outlineLevel="0" collapsed="false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customFormat="false" ht="15.75" hidden="false" customHeight="true" outlineLevel="0" collapsed="false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customFormat="false" ht="15.75" hidden="false" customHeight="true" outlineLevel="0" collapsed="false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customFormat="false" ht="15.75" hidden="false" customHeight="true" outlineLevel="0" collapsed="false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customFormat="false" ht="15.75" hidden="false" customHeight="true" outlineLevel="0" collapsed="false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customFormat="false" ht="15.75" hidden="false" customHeight="true" outlineLevel="0" collapsed="false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customFormat="false" ht="15.75" hidden="false" customHeight="true" outlineLevel="0" collapsed="false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customFormat="false" ht="15.75" hidden="false" customHeight="true" outlineLevel="0" collapsed="false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customFormat="false" ht="15.75" hidden="false" customHeight="true" outlineLevel="0" collapsed="false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customFormat="false" ht="15.75" hidden="false" customHeight="true" outlineLevel="0" collapsed="false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customFormat="false" ht="15.75" hidden="false" customHeight="true" outlineLevel="0" collapsed="false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customFormat="false" ht="15.75" hidden="false" customHeight="true" outlineLevel="0" collapsed="false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customFormat="false" ht="15.75" hidden="false" customHeight="true" outlineLevel="0" collapsed="false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customFormat="false" ht="15.75" hidden="false" customHeight="true" outlineLevel="0" collapsed="false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customFormat="false" ht="15.75" hidden="false" customHeight="true" outlineLevel="0" collapsed="false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customFormat="false" ht="15.75" hidden="false" customHeight="true" outlineLevel="0" collapsed="false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customFormat="false" ht="15.75" hidden="false" customHeight="true" outlineLevel="0" collapsed="false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customFormat="false" ht="15.75" hidden="false" customHeight="true" outlineLevel="0" collapsed="false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customFormat="false" ht="15.75" hidden="false" customHeight="true" outlineLevel="0" collapsed="false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customFormat="false" ht="15.75" hidden="false" customHeight="true" outlineLevel="0" collapsed="false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customFormat="false" ht="15.75" hidden="false" customHeight="true" outlineLevel="0" collapsed="false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customFormat="false" ht="15.75" hidden="false" customHeight="true" outlineLevel="0" collapsed="false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customFormat="false" ht="15.75" hidden="false" customHeight="true" outlineLevel="0" collapsed="false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customFormat="false" ht="15.75" hidden="false" customHeight="true" outlineLevel="0" collapsed="false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customFormat="false" ht="15.75" hidden="false" customHeight="true" outlineLevel="0" collapsed="false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customFormat="false" ht="15.75" hidden="false" customHeight="true" outlineLevel="0" collapsed="false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customFormat="false" ht="15.75" hidden="false" customHeight="true" outlineLevel="0" collapsed="false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customFormat="false" ht="15.75" hidden="false" customHeight="true" outlineLevel="0" collapsed="false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customFormat="false" ht="15.75" hidden="false" customHeight="true" outlineLevel="0" collapsed="false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customFormat="false" ht="15.75" hidden="false" customHeight="true" outlineLevel="0" collapsed="false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customFormat="false" ht="15.75" hidden="false" customHeight="true" outlineLevel="0" collapsed="false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customFormat="false" ht="15.75" hidden="false" customHeight="true" outlineLevel="0" collapsed="false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customFormat="false" ht="15.75" hidden="false" customHeight="true" outlineLevel="0" collapsed="false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customFormat="false" ht="15.75" hidden="false" customHeight="true" outlineLevel="0" collapsed="false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customFormat="false" ht="15.75" hidden="false" customHeight="true" outlineLevel="0" collapsed="false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customFormat="false" ht="15.75" hidden="false" customHeight="true" outlineLevel="0" collapsed="false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customFormat="false" ht="15.75" hidden="false" customHeight="true" outlineLevel="0" collapsed="false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customFormat="false" ht="15.75" hidden="false" customHeight="true" outlineLevel="0" collapsed="false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customFormat="false" ht="15.75" hidden="false" customHeight="true" outlineLevel="0" collapsed="false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customFormat="false" ht="15.75" hidden="false" customHeight="true" outlineLevel="0" collapsed="false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customFormat="false" ht="15.75" hidden="false" customHeight="true" outlineLevel="0" collapsed="false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customFormat="false" ht="15.75" hidden="false" customHeight="true" outlineLevel="0" collapsed="false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customFormat="false" ht="15.75" hidden="false" customHeight="true" outlineLevel="0" collapsed="false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customFormat="false" ht="15.75" hidden="false" customHeight="true" outlineLevel="0" collapsed="false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customFormat="false" ht="15.75" hidden="false" customHeight="true" outlineLevel="0" collapsed="false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customFormat="false" ht="15.75" hidden="false" customHeight="true" outlineLevel="0" collapsed="false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customFormat="false" ht="15.75" hidden="false" customHeight="true" outlineLevel="0" collapsed="false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customFormat="false" ht="15.75" hidden="false" customHeight="true" outlineLevel="0" collapsed="false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customFormat="false" ht="15.75" hidden="false" customHeight="true" outlineLevel="0" collapsed="false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customFormat="false" ht="15.75" hidden="false" customHeight="true" outlineLevel="0" collapsed="false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customFormat="false" ht="15.75" hidden="false" customHeight="true" outlineLevel="0" collapsed="false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customFormat="false" ht="15.75" hidden="false" customHeight="true" outlineLevel="0" collapsed="false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customFormat="false" ht="15.75" hidden="false" customHeight="true" outlineLevel="0" collapsed="false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customFormat="false" ht="15.75" hidden="false" customHeight="true" outlineLevel="0" collapsed="false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customFormat="false" ht="15.75" hidden="false" customHeight="true" outlineLevel="0" collapsed="false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customFormat="false" ht="15.75" hidden="false" customHeight="true" outlineLevel="0" collapsed="false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customFormat="false" ht="15.75" hidden="false" customHeight="true" outlineLevel="0" collapsed="false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customFormat="false" ht="15.75" hidden="false" customHeight="true" outlineLevel="0" collapsed="false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customFormat="false" ht="15.75" hidden="false" customHeight="true" outlineLevel="0" collapsed="false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customFormat="false" ht="15.75" hidden="false" customHeight="true" outlineLevel="0" collapsed="false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customFormat="false" ht="15.75" hidden="false" customHeight="true" outlineLevel="0" collapsed="false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customFormat="false" ht="15.75" hidden="false" customHeight="true" outlineLevel="0" collapsed="false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customFormat="false" ht="15.75" hidden="false" customHeight="true" outlineLevel="0" collapsed="false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customFormat="false" ht="15.75" hidden="false" customHeight="true" outlineLevel="0" collapsed="false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customFormat="false" ht="15.75" hidden="false" customHeight="true" outlineLevel="0" collapsed="false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customFormat="false" ht="15.75" hidden="false" customHeight="true" outlineLevel="0" collapsed="false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customFormat="false" ht="15.75" hidden="false" customHeight="true" outlineLevel="0" collapsed="false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customFormat="false" ht="15.75" hidden="false" customHeight="true" outlineLevel="0" collapsed="false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customFormat="false" ht="15.75" hidden="false" customHeight="true" outlineLevel="0" collapsed="false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customFormat="false" ht="15.75" hidden="false" customHeight="true" outlineLevel="0" collapsed="false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customFormat="false" ht="15.75" hidden="false" customHeight="true" outlineLevel="0" collapsed="false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customFormat="false" ht="15.75" hidden="false" customHeight="true" outlineLevel="0" collapsed="false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customFormat="false" ht="15.75" hidden="false" customHeight="true" outlineLevel="0" collapsed="false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customFormat="false" ht="15.75" hidden="false" customHeight="true" outlineLevel="0" collapsed="false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customFormat="false" ht="15.75" hidden="false" customHeight="true" outlineLevel="0" collapsed="false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customFormat="false" ht="15.75" hidden="false" customHeight="true" outlineLevel="0" collapsed="false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customFormat="false" ht="15.75" hidden="false" customHeight="true" outlineLevel="0" collapsed="false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customFormat="false" ht="15.75" hidden="false" customHeight="true" outlineLevel="0" collapsed="false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customFormat="false" ht="15.75" hidden="false" customHeight="true" outlineLevel="0" collapsed="false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customFormat="false" ht="15.75" hidden="false" customHeight="true" outlineLevel="0" collapsed="false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customFormat="false" ht="15.75" hidden="false" customHeight="true" outlineLevel="0" collapsed="false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customFormat="false" ht="15.75" hidden="false" customHeight="true" outlineLevel="0" collapsed="false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customFormat="false" ht="15.75" hidden="false" customHeight="true" outlineLevel="0" collapsed="false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customFormat="false" ht="15.75" hidden="false" customHeight="true" outlineLevel="0" collapsed="false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customFormat="false" ht="15.75" hidden="false" customHeight="true" outlineLevel="0" collapsed="false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customFormat="false" ht="15.75" hidden="false" customHeight="true" outlineLevel="0" collapsed="false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customFormat="false" ht="15.75" hidden="false" customHeight="true" outlineLevel="0" collapsed="false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customFormat="false" ht="15.75" hidden="false" customHeight="true" outlineLevel="0" collapsed="false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customFormat="false" ht="15.75" hidden="false" customHeight="true" outlineLevel="0" collapsed="false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customFormat="false" ht="15.75" hidden="false" customHeight="true" outlineLevel="0" collapsed="false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customFormat="false" ht="15.75" hidden="false" customHeight="true" outlineLevel="0" collapsed="false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customFormat="false" ht="15.75" hidden="false" customHeight="true" outlineLevel="0" collapsed="false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customFormat="false" ht="15.75" hidden="false" customHeight="true" outlineLevel="0" collapsed="false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customFormat="false" ht="15.75" hidden="false" customHeight="true" outlineLevel="0" collapsed="false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customFormat="false" ht="15.75" hidden="false" customHeight="true" outlineLevel="0" collapsed="false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customFormat="false" ht="15.75" hidden="false" customHeight="true" outlineLevel="0" collapsed="false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customFormat="false" ht="15.75" hidden="false" customHeight="true" outlineLevel="0" collapsed="false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customFormat="false" ht="15.75" hidden="false" customHeight="true" outlineLevel="0" collapsed="false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customFormat="false" ht="15.75" hidden="false" customHeight="true" outlineLevel="0" collapsed="false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customFormat="false" ht="15.75" hidden="false" customHeight="true" outlineLevel="0" collapsed="false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customFormat="false" ht="15.75" hidden="false" customHeight="true" outlineLevel="0" collapsed="false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customFormat="false" ht="15.75" hidden="false" customHeight="true" outlineLevel="0" collapsed="false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customFormat="false" ht="15.75" hidden="false" customHeight="true" outlineLevel="0" collapsed="false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customFormat="false" ht="15.75" hidden="false" customHeight="true" outlineLevel="0" collapsed="false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customFormat="false" ht="15.75" hidden="false" customHeight="true" outlineLevel="0" collapsed="false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customFormat="false" ht="15.75" hidden="false" customHeight="true" outlineLevel="0" collapsed="false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customFormat="false" ht="15.75" hidden="false" customHeight="true" outlineLevel="0" collapsed="false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customFormat="false" ht="15.75" hidden="false" customHeight="true" outlineLevel="0" collapsed="false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customFormat="false" ht="15.75" hidden="false" customHeight="true" outlineLevel="0" collapsed="false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customFormat="false" ht="15.75" hidden="false" customHeight="true" outlineLevel="0" collapsed="false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customFormat="false" ht="15.75" hidden="false" customHeight="true" outlineLevel="0" collapsed="false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customFormat="false" ht="15.75" hidden="false" customHeight="true" outlineLevel="0" collapsed="false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customFormat="false" ht="15.75" hidden="false" customHeight="true" outlineLevel="0" collapsed="false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customFormat="false" ht="15.75" hidden="false" customHeight="true" outlineLevel="0" collapsed="false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customFormat="false" ht="15.75" hidden="false" customHeight="true" outlineLevel="0" collapsed="false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customFormat="false" ht="15.75" hidden="false" customHeight="true" outlineLevel="0" collapsed="false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customFormat="false" ht="15.75" hidden="false" customHeight="true" outlineLevel="0" collapsed="false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customFormat="false" ht="15.75" hidden="false" customHeight="true" outlineLevel="0" collapsed="false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customFormat="false" ht="15.75" hidden="false" customHeight="true" outlineLevel="0" collapsed="false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customFormat="false" ht="15.75" hidden="false" customHeight="true" outlineLevel="0" collapsed="false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customFormat="false" ht="15.75" hidden="false" customHeight="true" outlineLevel="0" collapsed="false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customFormat="false" ht="15.75" hidden="false" customHeight="true" outlineLevel="0" collapsed="false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customFormat="false" ht="15.75" hidden="false" customHeight="true" outlineLevel="0" collapsed="false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customFormat="false" ht="15.75" hidden="false" customHeight="true" outlineLevel="0" collapsed="false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customFormat="false" ht="15.75" hidden="false" customHeight="true" outlineLevel="0" collapsed="false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customFormat="false" ht="15.75" hidden="false" customHeight="true" outlineLevel="0" collapsed="false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customFormat="false" ht="15.75" hidden="false" customHeight="true" outlineLevel="0" collapsed="false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customFormat="false" ht="15.75" hidden="false" customHeight="true" outlineLevel="0" collapsed="false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customFormat="false" ht="15.75" hidden="false" customHeight="true" outlineLevel="0" collapsed="false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customFormat="false" ht="15.75" hidden="false" customHeight="true" outlineLevel="0" collapsed="false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customFormat="false" ht="15.75" hidden="false" customHeight="true" outlineLevel="0" collapsed="false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customFormat="false" ht="15.75" hidden="false" customHeight="true" outlineLevel="0" collapsed="false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customFormat="false" ht="15.75" hidden="false" customHeight="true" outlineLevel="0" collapsed="false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customFormat="false" ht="15.75" hidden="false" customHeight="true" outlineLevel="0" collapsed="false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customFormat="false" ht="15.75" hidden="false" customHeight="true" outlineLevel="0" collapsed="false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customFormat="false" ht="15.75" hidden="false" customHeight="true" outlineLevel="0" collapsed="false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customFormat="false" ht="15.75" hidden="false" customHeight="true" outlineLevel="0" collapsed="false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customFormat="false" ht="15.75" hidden="false" customHeight="true" outlineLevel="0" collapsed="false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customFormat="false" ht="15.75" hidden="false" customHeight="true" outlineLevel="0" collapsed="false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customFormat="false" ht="15.75" hidden="false" customHeight="true" outlineLevel="0" collapsed="false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customFormat="false" ht="15.75" hidden="false" customHeight="true" outlineLevel="0" collapsed="false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customFormat="false" ht="15.75" hidden="false" customHeight="true" outlineLevel="0" collapsed="false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customFormat="false" ht="15.75" hidden="false" customHeight="true" outlineLevel="0" collapsed="false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customFormat="false" ht="15.75" hidden="false" customHeight="true" outlineLevel="0" collapsed="false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customFormat="false" ht="15.75" hidden="false" customHeight="true" outlineLevel="0" collapsed="false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customFormat="false" ht="15.75" hidden="false" customHeight="true" outlineLevel="0" collapsed="false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customFormat="false" ht="15.75" hidden="false" customHeight="true" outlineLevel="0" collapsed="false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customFormat="false" ht="15.75" hidden="false" customHeight="true" outlineLevel="0" collapsed="false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customFormat="false" ht="15.75" hidden="false" customHeight="true" outlineLevel="0" collapsed="false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customFormat="false" ht="15.75" hidden="false" customHeight="true" outlineLevel="0" collapsed="false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customFormat="false" ht="15.75" hidden="false" customHeight="true" outlineLevel="0" collapsed="false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customFormat="false" ht="15.75" hidden="false" customHeight="true" outlineLevel="0" collapsed="false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customFormat="false" ht="15.75" hidden="false" customHeight="true" outlineLevel="0" collapsed="false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customFormat="false" ht="15.75" hidden="false" customHeight="true" outlineLevel="0" collapsed="false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customFormat="false" ht="15.75" hidden="false" customHeight="true" outlineLevel="0" collapsed="false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customFormat="false" ht="15.75" hidden="false" customHeight="true" outlineLevel="0" collapsed="false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customFormat="false" ht="15.75" hidden="false" customHeight="true" outlineLevel="0" collapsed="false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customFormat="false" ht="15.75" hidden="false" customHeight="true" outlineLevel="0" collapsed="false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customFormat="false" ht="15.75" hidden="false" customHeight="true" outlineLevel="0" collapsed="false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customFormat="false" ht="15.75" hidden="false" customHeight="true" outlineLevel="0" collapsed="false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customFormat="false" ht="15.75" hidden="false" customHeight="true" outlineLevel="0" collapsed="false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customFormat="false" ht="15.75" hidden="false" customHeight="true" outlineLevel="0" collapsed="false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customFormat="false" ht="15.75" hidden="false" customHeight="true" outlineLevel="0" collapsed="false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customFormat="false" ht="15.75" hidden="false" customHeight="true" outlineLevel="0" collapsed="false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customFormat="false" ht="15.75" hidden="false" customHeight="true" outlineLevel="0" collapsed="false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customFormat="false" ht="15.75" hidden="false" customHeight="true" outlineLevel="0" collapsed="false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customFormat="false" ht="15.75" hidden="false" customHeight="true" outlineLevel="0" collapsed="false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customFormat="false" ht="15.75" hidden="false" customHeight="true" outlineLevel="0" collapsed="false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customFormat="false" ht="15.75" hidden="false" customHeight="true" outlineLevel="0" collapsed="false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customFormat="false" ht="15.75" hidden="false" customHeight="true" outlineLevel="0" collapsed="false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customFormat="false" ht="15.75" hidden="false" customHeight="true" outlineLevel="0" collapsed="false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customFormat="false" ht="15.75" hidden="false" customHeight="true" outlineLevel="0" collapsed="false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customFormat="false" ht="15.75" hidden="false" customHeight="true" outlineLevel="0" collapsed="false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customFormat="false" ht="15.75" hidden="false" customHeight="true" outlineLevel="0" collapsed="false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customFormat="false" ht="15.75" hidden="false" customHeight="true" outlineLevel="0" collapsed="false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customFormat="false" ht="15.75" hidden="false" customHeight="true" outlineLevel="0" collapsed="false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customFormat="false" ht="15.75" hidden="false" customHeight="true" outlineLevel="0" collapsed="false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customFormat="false" ht="15.75" hidden="false" customHeight="true" outlineLevel="0" collapsed="false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customFormat="false" ht="15.75" hidden="false" customHeight="true" outlineLevel="0" collapsed="false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customFormat="false" ht="15.75" hidden="false" customHeight="true" outlineLevel="0" collapsed="false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customFormat="false" ht="15.75" hidden="false" customHeight="true" outlineLevel="0" collapsed="false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customFormat="false" ht="15.75" hidden="false" customHeight="true" outlineLevel="0" collapsed="false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customFormat="false" ht="15.75" hidden="false" customHeight="true" outlineLevel="0" collapsed="false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customFormat="false" ht="15.75" hidden="false" customHeight="true" outlineLevel="0" collapsed="false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customFormat="false" ht="15.75" hidden="false" customHeight="true" outlineLevel="0" collapsed="false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customFormat="false" ht="15.75" hidden="false" customHeight="true" outlineLevel="0" collapsed="false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customFormat="false" ht="15.75" hidden="false" customHeight="true" outlineLevel="0" collapsed="false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customFormat="false" ht="15.75" hidden="false" customHeight="true" outlineLevel="0" collapsed="false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customFormat="false" ht="15.75" hidden="false" customHeight="true" outlineLevel="0" collapsed="false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customFormat="false" ht="15.75" hidden="false" customHeight="true" outlineLevel="0" collapsed="false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customFormat="false" ht="15.75" hidden="false" customHeight="true" outlineLevel="0" collapsed="false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customFormat="false" ht="15.75" hidden="false" customHeight="true" outlineLevel="0" collapsed="false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customFormat="false" ht="15.75" hidden="false" customHeight="true" outlineLevel="0" collapsed="false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customFormat="false" ht="15.75" hidden="false" customHeight="true" outlineLevel="0" collapsed="false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customFormat="false" ht="15.75" hidden="false" customHeight="true" outlineLevel="0" collapsed="false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customFormat="false" ht="15.75" hidden="false" customHeight="true" outlineLevel="0" collapsed="false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customFormat="false" ht="15.75" hidden="false" customHeight="true" outlineLevel="0" collapsed="false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customFormat="false" ht="15.75" hidden="false" customHeight="true" outlineLevel="0" collapsed="false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customFormat="false" ht="15.75" hidden="false" customHeight="true" outlineLevel="0" collapsed="false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customFormat="false" ht="15.75" hidden="false" customHeight="true" outlineLevel="0" collapsed="false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customFormat="false" ht="15.75" hidden="false" customHeight="true" outlineLevel="0" collapsed="false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customFormat="false" ht="15.75" hidden="false" customHeight="true" outlineLevel="0" collapsed="false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customFormat="false" ht="15.75" hidden="false" customHeight="true" outlineLevel="0" collapsed="false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customFormat="false" ht="15.75" hidden="false" customHeight="true" outlineLevel="0" collapsed="false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customFormat="false" ht="15.75" hidden="false" customHeight="true" outlineLevel="0" collapsed="false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customFormat="false" ht="15.75" hidden="false" customHeight="true" outlineLevel="0" collapsed="false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customFormat="false" ht="15.75" hidden="false" customHeight="true" outlineLevel="0" collapsed="false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customFormat="false" ht="15.75" hidden="false" customHeight="true" outlineLevel="0" collapsed="false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customFormat="false" ht="15.75" hidden="false" customHeight="true" outlineLevel="0" collapsed="false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customFormat="false" ht="15.75" hidden="false" customHeight="true" outlineLevel="0" collapsed="false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customFormat="false" ht="15.75" hidden="false" customHeight="true" outlineLevel="0" collapsed="false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customFormat="false" ht="15.75" hidden="false" customHeight="true" outlineLevel="0" collapsed="false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customFormat="false" ht="15.75" hidden="false" customHeight="true" outlineLevel="0" collapsed="false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customFormat="false" ht="15.75" hidden="false" customHeight="true" outlineLevel="0" collapsed="false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customFormat="false" ht="15.75" hidden="false" customHeight="true" outlineLevel="0" collapsed="false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customFormat="false" ht="15.75" hidden="false" customHeight="true" outlineLevel="0" collapsed="false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customFormat="false" ht="15.75" hidden="false" customHeight="true" outlineLevel="0" collapsed="false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customFormat="false" ht="15.75" hidden="false" customHeight="true" outlineLevel="0" collapsed="false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customFormat="false" ht="15.75" hidden="false" customHeight="true" outlineLevel="0" collapsed="false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customFormat="false" ht="15.75" hidden="false" customHeight="true" outlineLevel="0" collapsed="false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customFormat="false" ht="15.75" hidden="false" customHeight="true" outlineLevel="0" collapsed="false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customFormat="false" ht="15.75" hidden="false" customHeight="true" outlineLevel="0" collapsed="false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customFormat="false" ht="15.75" hidden="false" customHeight="true" outlineLevel="0" collapsed="false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customFormat="false" ht="15.75" hidden="false" customHeight="true" outlineLevel="0" collapsed="false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customFormat="false" ht="15.75" hidden="false" customHeight="true" outlineLevel="0" collapsed="false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customFormat="false" ht="15.75" hidden="false" customHeight="true" outlineLevel="0" collapsed="false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customFormat="false" ht="15.75" hidden="false" customHeight="true" outlineLevel="0" collapsed="false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customFormat="false" ht="15.75" hidden="false" customHeight="true" outlineLevel="0" collapsed="false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customFormat="false" ht="15.75" hidden="false" customHeight="true" outlineLevel="0" collapsed="false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customFormat="false" ht="15.75" hidden="false" customHeight="true" outlineLevel="0" collapsed="false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customFormat="false" ht="15.75" hidden="false" customHeight="true" outlineLevel="0" collapsed="false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customFormat="false" ht="15.75" hidden="false" customHeight="true" outlineLevel="0" collapsed="false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customFormat="false" ht="15.75" hidden="false" customHeight="true" outlineLevel="0" collapsed="false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customFormat="false" ht="15.75" hidden="false" customHeight="true" outlineLevel="0" collapsed="false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customFormat="false" ht="15.75" hidden="false" customHeight="true" outlineLevel="0" collapsed="false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customFormat="false" ht="15.75" hidden="false" customHeight="true" outlineLevel="0" collapsed="false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customFormat="false" ht="15.75" hidden="false" customHeight="true" outlineLevel="0" collapsed="false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customFormat="false" ht="15.75" hidden="false" customHeight="true" outlineLevel="0" collapsed="false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customFormat="false" ht="15.75" hidden="false" customHeight="true" outlineLevel="0" collapsed="false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customFormat="false" ht="15.75" hidden="false" customHeight="true" outlineLevel="0" collapsed="false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customFormat="false" ht="15.75" hidden="false" customHeight="true" outlineLevel="0" collapsed="false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customFormat="false" ht="15.75" hidden="false" customHeight="true" outlineLevel="0" collapsed="false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customFormat="false" ht="15.75" hidden="false" customHeight="true" outlineLevel="0" collapsed="false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customFormat="false" ht="15.75" hidden="false" customHeight="true" outlineLevel="0" collapsed="false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customFormat="false" ht="15.75" hidden="false" customHeight="true" outlineLevel="0" collapsed="false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customFormat="false" ht="15.75" hidden="false" customHeight="true" outlineLevel="0" collapsed="false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customFormat="false" ht="15.75" hidden="false" customHeight="true" outlineLevel="0" collapsed="false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customFormat="false" ht="15.75" hidden="false" customHeight="true" outlineLevel="0" collapsed="false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customFormat="false" ht="15.75" hidden="false" customHeight="true" outlineLevel="0" collapsed="false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customFormat="false" ht="15.75" hidden="false" customHeight="true" outlineLevel="0" collapsed="false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customFormat="false" ht="15.75" hidden="false" customHeight="true" outlineLevel="0" collapsed="false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customFormat="false" ht="15.75" hidden="false" customHeight="true" outlineLevel="0" collapsed="false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customFormat="false" ht="15.75" hidden="false" customHeight="true" outlineLevel="0" collapsed="false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customFormat="false" ht="15.75" hidden="false" customHeight="true" outlineLevel="0" collapsed="false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customFormat="false" ht="15.75" hidden="false" customHeight="true" outlineLevel="0" collapsed="false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customFormat="false" ht="15.75" hidden="false" customHeight="true" outlineLevel="0" collapsed="false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customFormat="false" ht="15.75" hidden="false" customHeight="true" outlineLevel="0" collapsed="false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customFormat="false" ht="15.75" hidden="false" customHeight="true" outlineLevel="0" collapsed="false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customFormat="false" ht="15.75" hidden="false" customHeight="true" outlineLevel="0" collapsed="false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customFormat="false" ht="15.75" hidden="false" customHeight="true" outlineLevel="0" collapsed="false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customFormat="false" ht="15.75" hidden="false" customHeight="true" outlineLevel="0" collapsed="false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customFormat="false" ht="15.75" hidden="false" customHeight="true" outlineLevel="0" collapsed="false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customFormat="false" ht="15.75" hidden="false" customHeight="true" outlineLevel="0" collapsed="false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customFormat="false" ht="15.75" hidden="false" customHeight="true" outlineLevel="0" collapsed="false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customFormat="false" ht="15.75" hidden="false" customHeight="true" outlineLevel="0" collapsed="false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customFormat="false" ht="15.75" hidden="false" customHeight="true" outlineLevel="0" collapsed="false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customFormat="false" ht="15.75" hidden="false" customHeight="true" outlineLevel="0" collapsed="false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customFormat="false" ht="15.75" hidden="false" customHeight="true" outlineLevel="0" collapsed="false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customFormat="false" ht="15.75" hidden="false" customHeight="true" outlineLevel="0" collapsed="false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customFormat="false" ht="15.75" hidden="false" customHeight="true" outlineLevel="0" collapsed="false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customFormat="false" ht="15.75" hidden="false" customHeight="true" outlineLevel="0" collapsed="false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customFormat="false" ht="15.75" hidden="false" customHeight="true" outlineLevel="0" collapsed="false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customFormat="false" ht="15.75" hidden="false" customHeight="true" outlineLevel="0" collapsed="false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customFormat="false" ht="15.75" hidden="false" customHeight="true" outlineLevel="0" collapsed="false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customFormat="false" ht="15.75" hidden="false" customHeight="true" outlineLevel="0" collapsed="false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customFormat="false" ht="15.75" hidden="false" customHeight="true" outlineLevel="0" collapsed="false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customFormat="false" ht="15.75" hidden="false" customHeight="true" outlineLevel="0" collapsed="false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customFormat="false" ht="15.75" hidden="false" customHeight="true" outlineLevel="0" collapsed="false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customFormat="false" ht="15.75" hidden="false" customHeight="true" outlineLevel="0" collapsed="false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customFormat="false" ht="15.75" hidden="false" customHeight="true" outlineLevel="0" collapsed="false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customFormat="false" ht="15.75" hidden="false" customHeight="true" outlineLevel="0" collapsed="false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customFormat="false" ht="15.75" hidden="false" customHeight="true" outlineLevel="0" collapsed="false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customFormat="false" ht="15.75" hidden="false" customHeight="true" outlineLevel="0" collapsed="false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customFormat="false" ht="15.75" hidden="false" customHeight="true" outlineLevel="0" collapsed="false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customFormat="false" ht="15.75" hidden="false" customHeight="true" outlineLevel="0" collapsed="false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customFormat="false" ht="15.75" hidden="false" customHeight="true" outlineLevel="0" collapsed="false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customFormat="false" ht="15.75" hidden="false" customHeight="true" outlineLevel="0" collapsed="false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customFormat="false" ht="15.75" hidden="false" customHeight="true" outlineLevel="0" collapsed="false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customFormat="false" ht="15.75" hidden="false" customHeight="true" outlineLevel="0" collapsed="false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customFormat="false" ht="15.75" hidden="false" customHeight="true" outlineLevel="0" collapsed="false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customFormat="false" ht="15.75" hidden="false" customHeight="true" outlineLevel="0" collapsed="false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customFormat="false" ht="15.75" hidden="false" customHeight="true" outlineLevel="0" collapsed="false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customFormat="false" ht="15.75" hidden="false" customHeight="true" outlineLevel="0" collapsed="false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customFormat="false" ht="15.75" hidden="false" customHeight="true" outlineLevel="0" collapsed="false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customFormat="false" ht="15.75" hidden="false" customHeight="true" outlineLevel="0" collapsed="false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customFormat="false" ht="15.75" hidden="false" customHeight="true" outlineLevel="0" collapsed="false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customFormat="false" ht="15.75" hidden="false" customHeight="true" outlineLevel="0" collapsed="false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customFormat="false" ht="15.75" hidden="false" customHeight="true" outlineLevel="0" collapsed="false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customFormat="false" ht="15.75" hidden="false" customHeight="true" outlineLevel="0" collapsed="false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customFormat="false" ht="15.75" hidden="false" customHeight="true" outlineLevel="0" collapsed="false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customFormat="false" ht="15.75" hidden="false" customHeight="true" outlineLevel="0" collapsed="false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customFormat="false" ht="15.75" hidden="false" customHeight="true" outlineLevel="0" collapsed="false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customFormat="false" ht="15.75" hidden="false" customHeight="true" outlineLevel="0" collapsed="false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customFormat="false" ht="15.75" hidden="false" customHeight="true" outlineLevel="0" collapsed="false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customFormat="false" ht="15.75" hidden="false" customHeight="true" outlineLevel="0" collapsed="false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customFormat="false" ht="15.75" hidden="false" customHeight="true" outlineLevel="0" collapsed="false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customFormat="false" ht="15.75" hidden="false" customHeight="true" outlineLevel="0" collapsed="false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customFormat="false" ht="15.75" hidden="false" customHeight="true" outlineLevel="0" collapsed="false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customFormat="false" ht="15.75" hidden="false" customHeight="true" outlineLevel="0" collapsed="false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customFormat="false" ht="15.75" hidden="false" customHeight="true" outlineLevel="0" collapsed="false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customFormat="false" ht="15.75" hidden="false" customHeight="true" outlineLevel="0" collapsed="false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customFormat="false" ht="15.75" hidden="false" customHeight="true" outlineLevel="0" collapsed="false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customFormat="false" ht="15.75" hidden="false" customHeight="true" outlineLevel="0" collapsed="false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customFormat="false" ht="15.75" hidden="false" customHeight="true" outlineLevel="0" collapsed="false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customFormat="false" ht="15.75" hidden="false" customHeight="true" outlineLevel="0" collapsed="false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customFormat="false" ht="15.75" hidden="false" customHeight="true" outlineLevel="0" collapsed="false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customFormat="false" ht="15.75" hidden="false" customHeight="true" outlineLevel="0" collapsed="false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customFormat="false" ht="15.75" hidden="false" customHeight="true" outlineLevel="0" collapsed="false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customFormat="false" ht="15.75" hidden="false" customHeight="true" outlineLevel="0" collapsed="false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customFormat="false" ht="15.75" hidden="false" customHeight="true" outlineLevel="0" collapsed="false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customFormat="false" ht="15.75" hidden="false" customHeight="true" outlineLevel="0" collapsed="false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customFormat="false" ht="15.75" hidden="false" customHeight="true" outlineLevel="0" collapsed="false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customFormat="false" ht="15.75" hidden="false" customHeight="true" outlineLevel="0" collapsed="false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customFormat="false" ht="15.75" hidden="false" customHeight="true" outlineLevel="0" collapsed="false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customFormat="false" ht="15.75" hidden="false" customHeight="true" outlineLevel="0" collapsed="false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customFormat="false" ht="15.75" hidden="false" customHeight="true" outlineLevel="0" collapsed="false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customFormat="false" ht="15.75" hidden="false" customHeight="true" outlineLevel="0" collapsed="false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customFormat="false" ht="15.75" hidden="false" customHeight="true" outlineLevel="0" collapsed="false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customFormat="false" ht="15.75" hidden="false" customHeight="true" outlineLevel="0" collapsed="false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customFormat="false" ht="15.75" hidden="false" customHeight="true" outlineLevel="0" collapsed="false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customFormat="false" ht="15.75" hidden="false" customHeight="true" outlineLevel="0" collapsed="false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customFormat="false" ht="15.75" hidden="false" customHeight="true" outlineLevel="0" collapsed="false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customFormat="false" ht="15.75" hidden="false" customHeight="true" outlineLevel="0" collapsed="false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customFormat="false" ht="15.75" hidden="false" customHeight="true" outlineLevel="0" collapsed="false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customFormat="false" ht="15.75" hidden="false" customHeight="true" outlineLevel="0" collapsed="false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customFormat="false" ht="15.75" hidden="false" customHeight="true" outlineLevel="0" collapsed="false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customFormat="false" ht="15.75" hidden="false" customHeight="true" outlineLevel="0" collapsed="false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customFormat="false" ht="15.75" hidden="false" customHeight="true" outlineLevel="0" collapsed="false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customFormat="false" ht="15.75" hidden="false" customHeight="true" outlineLevel="0" collapsed="false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customFormat="false" ht="15.75" hidden="false" customHeight="true" outlineLevel="0" collapsed="false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customFormat="false" ht="15.75" hidden="false" customHeight="true" outlineLevel="0" collapsed="false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customFormat="false" ht="15.75" hidden="false" customHeight="true" outlineLevel="0" collapsed="false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customFormat="false" ht="15.75" hidden="false" customHeight="true" outlineLevel="0" collapsed="false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customFormat="false" ht="15.75" hidden="false" customHeight="true" outlineLevel="0" collapsed="false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customFormat="false" ht="15.75" hidden="false" customHeight="true" outlineLevel="0" collapsed="false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customFormat="false" ht="15.75" hidden="false" customHeight="true" outlineLevel="0" collapsed="false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customFormat="false" ht="15.75" hidden="false" customHeight="true" outlineLevel="0" collapsed="false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customFormat="false" ht="15.75" hidden="false" customHeight="true" outlineLevel="0" collapsed="false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customFormat="false" ht="15.75" hidden="false" customHeight="true" outlineLevel="0" collapsed="false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customFormat="false" ht="15.75" hidden="false" customHeight="true" outlineLevel="0" collapsed="false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customFormat="false" ht="15.75" hidden="false" customHeight="true" outlineLevel="0" collapsed="false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customFormat="false" ht="15.75" hidden="false" customHeight="true" outlineLevel="0" collapsed="false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customFormat="false" ht="15.75" hidden="false" customHeight="true" outlineLevel="0" collapsed="false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customFormat="false" ht="15.75" hidden="false" customHeight="true" outlineLevel="0" collapsed="false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customFormat="false" ht="15.75" hidden="false" customHeight="true" outlineLevel="0" collapsed="false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customFormat="false" ht="15.75" hidden="false" customHeight="true" outlineLevel="0" collapsed="false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customFormat="false" ht="15.75" hidden="false" customHeight="true" outlineLevel="0" collapsed="false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customFormat="false" ht="15.75" hidden="false" customHeight="true" outlineLevel="0" collapsed="false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customFormat="false" ht="15.75" hidden="false" customHeight="true" outlineLevel="0" collapsed="false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customFormat="false" ht="15.75" hidden="false" customHeight="true" outlineLevel="0" collapsed="false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customFormat="false" ht="15.75" hidden="false" customHeight="true" outlineLevel="0" collapsed="false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customFormat="false" ht="15.75" hidden="false" customHeight="true" outlineLevel="0" collapsed="false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customFormat="false" ht="15.75" hidden="false" customHeight="true" outlineLevel="0" collapsed="false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customFormat="false" ht="15.75" hidden="false" customHeight="true" outlineLevel="0" collapsed="false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customFormat="false" ht="15.75" hidden="false" customHeight="true" outlineLevel="0" collapsed="false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customFormat="false" ht="15.75" hidden="false" customHeight="true" outlineLevel="0" collapsed="false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customFormat="false" ht="15.75" hidden="false" customHeight="true" outlineLevel="0" collapsed="false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customFormat="false" ht="15.75" hidden="false" customHeight="true" outlineLevel="0" collapsed="false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customFormat="false" ht="15.75" hidden="false" customHeight="true" outlineLevel="0" collapsed="false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customFormat="false" ht="15.75" hidden="false" customHeight="true" outlineLevel="0" collapsed="false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customFormat="false" ht="15.75" hidden="false" customHeight="true" outlineLevel="0" collapsed="false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customFormat="false" ht="15.75" hidden="false" customHeight="true" outlineLevel="0" collapsed="false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customFormat="false" ht="15.75" hidden="false" customHeight="true" outlineLevel="0" collapsed="false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customFormat="false" ht="15.75" hidden="false" customHeight="true" outlineLevel="0" collapsed="false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customFormat="false" ht="15.75" hidden="false" customHeight="true" outlineLevel="0" collapsed="false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customFormat="false" ht="15.75" hidden="false" customHeight="true" outlineLevel="0" collapsed="false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customFormat="false" ht="15.75" hidden="false" customHeight="true" outlineLevel="0" collapsed="false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customFormat="false" ht="15.75" hidden="false" customHeight="true" outlineLevel="0" collapsed="false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customFormat="false" ht="15.75" hidden="false" customHeight="true" outlineLevel="0" collapsed="false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customFormat="false" ht="15.75" hidden="false" customHeight="true" outlineLevel="0" collapsed="false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customFormat="false" ht="15.75" hidden="false" customHeight="true" outlineLevel="0" collapsed="false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customFormat="false" ht="15.75" hidden="false" customHeight="true" outlineLevel="0" collapsed="false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customFormat="false" ht="15.75" hidden="false" customHeight="true" outlineLevel="0" collapsed="false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customFormat="false" ht="15.75" hidden="false" customHeight="true" outlineLevel="0" collapsed="false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customFormat="false" ht="15.75" hidden="false" customHeight="true" outlineLevel="0" collapsed="false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customFormat="false" ht="15.75" hidden="false" customHeight="true" outlineLevel="0" collapsed="false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customFormat="false" ht="15.75" hidden="false" customHeight="true" outlineLevel="0" collapsed="false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customFormat="false" ht="15.75" hidden="false" customHeight="true" outlineLevel="0" collapsed="false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customFormat="false" ht="15.75" hidden="false" customHeight="true" outlineLevel="0" collapsed="false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customFormat="false" ht="15.75" hidden="false" customHeight="true" outlineLevel="0" collapsed="false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customFormat="false" ht="15.75" hidden="false" customHeight="true" outlineLevel="0" collapsed="false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customFormat="false" ht="15.75" hidden="false" customHeight="true" outlineLevel="0" collapsed="false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customFormat="false" ht="15.75" hidden="false" customHeight="true" outlineLevel="0" collapsed="false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customFormat="false" ht="15.75" hidden="false" customHeight="true" outlineLevel="0" collapsed="false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customFormat="false" ht="15.75" hidden="false" customHeight="true" outlineLevel="0" collapsed="false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customFormat="false" ht="15.75" hidden="false" customHeight="true" outlineLevel="0" collapsed="false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customFormat="false" ht="15.75" hidden="false" customHeight="true" outlineLevel="0" collapsed="false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customFormat="false" ht="15.75" hidden="false" customHeight="true" outlineLevel="0" collapsed="false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customFormat="false" ht="15.75" hidden="false" customHeight="true" outlineLevel="0" collapsed="false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customFormat="false" ht="15.75" hidden="false" customHeight="true" outlineLevel="0" collapsed="false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customFormat="false" ht="15.75" hidden="false" customHeight="true" outlineLevel="0" collapsed="false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customFormat="false" ht="15.75" hidden="false" customHeight="true" outlineLevel="0" collapsed="false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customFormat="false" ht="15.75" hidden="false" customHeight="true" outlineLevel="0" collapsed="false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customFormat="false" ht="15.75" hidden="false" customHeight="true" outlineLevel="0" collapsed="false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customFormat="false" ht="15.75" hidden="false" customHeight="true" outlineLevel="0" collapsed="false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customFormat="false" ht="15.75" hidden="false" customHeight="true" outlineLevel="0" collapsed="false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customFormat="false" ht="15.75" hidden="false" customHeight="true" outlineLevel="0" collapsed="false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customFormat="false" ht="15.75" hidden="false" customHeight="true" outlineLevel="0" collapsed="false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customFormat="false" ht="15.75" hidden="false" customHeight="true" outlineLevel="0" collapsed="false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customFormat="false" ht="15.75" hidden="false" customHeight="true" outlineLevel="0" collapsed="false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customFormat="false" ht="15.75" hidden="false" customHeight="true" outlineLevel="0" collapsed="false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customFormat="false" ht="15.75" hidden="false" customHeight="true" outlineLevel="0" collapsed="false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customFormat="false" ht="15.75" hidden="false" customHeight="true" outlineLevel="0" collapsed="false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customFormat="false" ht="15.75" hidden="false" customHeight="true" outlineLevel="0" collapsed="false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customFormat="false" ht="15.75" hidden="false" customHeight="true" outlineLevel="0" collapsed="false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customFormat="false" ht="15.75" hidden="false" customHeight="true" outlineLevel="0" collapsed="false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customFormat="false" ht="15.75" hidden="false" customHeight="true" outlineLevel="0" collapsed="false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customFormat="false" ht="15.75" hidden="false" customHeight="true" outlineLevel="0" collapsed="false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customFormat="false" ht="15.75" hidden="false" customHeight="true" outlineLevel="0" collapsed="false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customFormat="false" ht="15.75" hidden="false" customHeight="true" outlineLevel="0" collapsed="false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customFormat="false" ht="15.75" hidden="false" customHeight="true" outlineLevel="0" collapsed="false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customFormat="false" ht="15.75" hidden="false" customHeight="true" outlineLevel="0" collapsed="false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customFormat="false" ht="15.75" hidden="false" customHeight="true" outlineLevel="0" collapsed="false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customFormat="false" ht="15.75" hidden="false" customHeight="true" outlineLevel="0" collapsed="false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customFormat="false" ht="15.75" hidden="false" customHeight="true" outlineLevel="0" collapsed="false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customFormat="false" ht="15.75" hidden="false" customHeight="true" outlineLevel="0" collapsed="false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customFormat="false" ht="15.75" hidden="false" customHeight="true" outlineLevel="0" collapsed="false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customFormat="false" ht="15.75" hidden="false" customHeight="true" outlineLevel="0" collapsed="false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customFormat="false" ht="15.75" hidden="false" customHeight="true" outlineLevel="0" collapsed="false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customFormat="false" ht="15.75" hidden="false" customHeight="true" outlineLevel="0" collapsed="false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customFormat="false" ht="15.75" hidden="false" customHeight="true" outlineLevel="0" collapsed="false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customFormat="false" ht="15.75" hidden="false" customHeight="true" outlineLevel="0" collapsed="false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customFormat="false" ht="15.75" hidden="false" customHeight="true" outlineLevel="0" collapsed="false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customFormat="false" ht="15.75" hidden="false" customHeight="true" outlineLevel="0" collapsed="false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customFormat="false" ht="15.75" hidden="false" customHeight="true" outlineLevel="0" collapsed="false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customFormat="false" ht="15.75" hidden="false" customHeight="true" outlineLevel="0" collapsed="false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customFormat="false" ht="15.75" hidden="false" customHeight="true" outlineLevel="0" collapsed="false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customFormat="false" ht="15.75" hidden="false" customHeight="true" outlineLevel="0" collapsed="false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customFormat="false" ht="15.75" hidden="false" customHeight="true" outlineLevel="0" collapsed="false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customFormat="false" ht="15.75" hidden="false" customHeight="true" outlineLevel="0" collapsed="false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customFormat="false" ht="15.75" hidden="false" customHeight="true" outlineLevel="0" collapsed="false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customFormat="false" ht="15.75" hidden="false" customHeight="true" outlineLevel="0" collapsed="false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customFormat="false" ht="15.75" hidden="false" customHeight="true" outlineLevel="0" collapsed="false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customFormat="false" ht="15.75" hidden="false" customHeight="true" outlineLevel="0" collapsed="false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customFormat="false" ht="15.75" hidden="false" customHeight="true" outlineLevel="0" collapsed="false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customFormat="false" ht="15.75" hidden="false" customHeight="true" outlineLevel="0" collapsed="false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customFormat="false" ht="15.75" hidden="false" customHeight="true" outlineLevel="0" collapsed="false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customFormat="false" ht="15.75" hidden="false" customHeight="true" outlineLevel="0" collapsed="false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customFormat="false" ht="15.75" hidden="false" customHeight="true" outlineLevel="0" collapsed="false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customFormat="false" ht="15.75" hidden="false" customHeight="true" outlineLevel="0" collapsed="false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customFormat="false" ht="15.75" hidden="false" customHeight="true" outlineLevel="0" collapsed="false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customFormat="false" ht="15.75" hidden="false" customHeight="true" outlineLevel="0" collapsed="false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customFormat="false" ht="15.75" hidden="false" customHeight="true" outlineLevel="0" collapsed="false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customFormat="false" ht="15.75" hidden="false" customHeight="true" outlineLevel="0" collapsed="false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customFormat="false" ht="15.75" hidden="false" customHeight="true" outlineLevel="0" collapsed="false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customFormat="false" ht="15.75" hidden="false" customHeight="true" outlineLevel="0" collapsed="false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customFormat="false" ht="15.75" hidden="false" customHeight="true" outlineLevel="0" collapsed="false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customFormat="false" ht="15.75" hidden="false" customHeight="true" outlineLevel="0" collapsed="false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customFormat="false" ht="15.75" hidden="false" customHeight="true" outlineLevel="0" collapsed="false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customFormat="false" ht="15.75" hidden="false" customHeight="true" outlineLevel="0" collapsed="false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customFormat="false" ht="15.75" hidden="false" customHeight="true" outlineLevel="0" collapsed="false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customFormat="false" ht="15.75" hidden="false" customHeight="true" outlineLevel="0" collapsed="false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customFormat="false" ht="15.75" hidden="false" customHeight="true" outlineLevel="0" collapsed="false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customFormat="false" ht="15.75" hidden="false" customHeight="true" outlineLevel="0" collapsed="false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customFormat="false" ht="15.75" hidden="false" customHeight="true" outlineLevel="0" collapsed="false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customFormat="false" ht="15.75" hidden="false" customHeight="true" outlineLevel="0" collapsed="false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customFormat="false" ht="15.75" hidden="false" customHeight="true" outlineLevel="0" collapsed="false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customFormat="false" ht="15.75" hidden="false" customHeight="true" outlineLevel="0" collapsed="false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customFormat="false" ht="15.75" hidden="false" customHeight="true" outlineLevel="0" collapsed="false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customFormat="false" ht="15.75" hidden="false" customHeight="true" outlineLevel="0" collapsed="false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customFormat="false" ht="15.75" hidden="false" customHeight="true" outlineLevel="0" collapsed="false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customFormat="false" ht="15.75" hidden="false" customHeight="true" outlineLevel="0" collapsed="false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customFormat="false" ht="15.75" hidden="false" customHeight="true" outlineLevel="0" collapsed="false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customFormat="false" ht="15.75" hidden="false" customHeight="true" outlineLevel="0" collapsed="false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customFormat="false" ht="15.75" hidden="false" customHeight="true" outlineLevel="0" collapsed="false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customFormat="false" ht="15.75" hidden="false" customHeight="true" outlineLevel="0" collapsed="false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customFormat="false" ht="15.75" hidden="false" customHeight="true" outlineLevel="0" collapsed="false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customFormat="false" ht="15.75" hidden="false" customHeight="true" outlineLevel="0" collapsed="false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customFormat="false" ht="15.75" hidden="false" customHeight="true" outlineLevel="0" collapsed="false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customFormat="false" ht="15.75" hidden="false" customHeight="true" outlineLevel="0" collapsed="false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customFormat="false" ht="15.75" hidden="false" customHeight="true" outlineLevel="0" collapsed="false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customFormat="false" ht="15.75" hidden="false" customHeight="true" outlineLevel="0" collapsed="false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customFormat="false" ht="15.75" hidden="false" customHeight="true" outlineLevel="0" collapsed="false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customFormat="false" ht="15.75" hidden="false" customHeight="true" outlineLevel="0" collapsed="false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customFormat="false" ht="15.75" hidden="false" customHeight="true" outlineLevel="0" collapsed="false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customFormat="false" ht="15.75" hidden="false" customHeight="true" outlineLevel="0" collapsed="false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customFormat="false" ht="15.75" hidden="false" customHeight="true" outlineLevel="0" collapsed="false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customFormat="false" ht="15.75" hidden="false" customHeight="true" outlineLevel="0" collapsed="false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customFormat="false" ht="15.75" hidden="false" customHeight="true" outlineLevel="0" collapsed="false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customFormat="false" ht="15.75" hidden="false" customHeight="true" outlineLevel="0" collapsed="false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customFormat="false" ht="15.75" hidden="false" customHeight="true" outlineLevel="0" collapsed="false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customFormat="false" ht="15.75" hidden="false" customHeight="true" outlineLevel="0" collapsed="false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customFormat="false" ht="15.75" hidden="false" customHeight="true" outlineLevel="0" collapsed="false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customFormat="false" ht="15.75" hidden="false" customHeight="true" outlineLevel="0" collapsed="false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customFormat="false" ht="15.75" hidden="false" customHeight="true" outlineLevel="0" collapsed="false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customFormat="false" ht="15.75" hidden="false" customHeight="true" outlineLevel="0" collapsed="false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customFormat="false" ht="15.75" hidden="false" customHeight="true" outlineLevel="0" collapsed="false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customFormat="false" ht="15.75" hidden="false" customHeight="true" outlineLevel="0" collapsed="false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customFormat="false" ht="15.75" hidden="false" customHeight="true" outlineLevel="0" collapsed="false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customFormat="false" ht="15.75" hidden="false" customHeight="true" outlineLevel="0" collapsed="false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customFormat="false" ht="15.75" hidden="false" customHeight="true" outlineLevel="0" collapsed="false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customFormat="false" ht="15.75" hidden="false" customHeight="true" outlineLevel="0" collapsed="false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customFormat="false" ht="15.75" hidden="false" customHeight="true" outlineLevel="0" collapsed="false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customFormat="false" ht="15.75" hidden="false" customHeight="true" outlineLevel="0" collapsed="false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customFormat="false" ht="15.75" hidden="false" customHeight="true" outlineLevel="0" collapsed="false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customFormat="false" ht="15.75" hidden="false" customHeight="true" outlineLevel="0" collapsed="false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customFormat="false" ht="15.75" hidden="false" customHeight="true" outlineLevel="0" collapsed="false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customFormat="false" ht="15.75" hidden="false" customHeight="true" outlineLevel="0" collapsed="false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customFormat="false" ht="15.75" hidden="false" customHeight="true" outlineLevel="0" collapsed="false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customFormat="false" ht="15.75" hidden="false" customHeight="true" outlineLevel="0" collapsed="false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customFormat="false" ht="15.75" hidden="false" customHeight="true" outlineLevel="0" collapsed="false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customFormat="false" ht="15.75" hidden="false" customHeight="true" outlineLevel="0" collapsed="false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customFormat="false" ht="15.75" hidden="false" customHeight="true" outlineLevel="0" collapsed="false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customFormat="false" ht="15.75" hidden="false" customHeight="true" outlineLevel="0" collapsed="false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customFormat="false" ht="15.75" hidden="false" customHeight="true" outlineLevel="0" collapsed="false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customFormat="false" ht="15.75" hidden="false" customHeight="true" outlineLevel="0" collapsed="false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customFormat="false" ht="15.75" hidden="false" customHeight="true" outlineLevel="0" collapsed="false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customFormat="false" ht="15.75" hidden="false" customHeight="true" outlineLevel="0" collapsed="false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customFormat="false" ht="15.75" hidden="false" customHeight="true" outlineLevel="0" collapsed="false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customFormat="false" ht="15.75" hidden="false" customHeight="true" outlineLevel="0" collapsed="false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customFormat="false" ht="15.75" hidden="false" customHeight="true" outlineLevel="0" collapsed="false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customFormat="false" ht="15.75" hidden="false" customHeight="true" outlineLevel="0" collapsed="false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customFormat="false" ht="15.75" hidden="false" customHeight="true" outlineLevel="0" collapsed="false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customFormat="false" ht="15.75" hidden="false" customHeight="true" outlineLevel="0" collapsed="false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customFormat="false" ht="15.75" hidden="false" customHeight="true" outlineLevel="0" collapsed="false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customFormat="false" ht="15.75" hidden="false" customHeight="true" outlineLevel="0" collapsed="false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customFormat="false" ht="15.75" hidden="false" customHeight="true" outlineLevel="0" collapsed="false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customFormat="false" ht="15.75" hidden="false" customHeight="true" outlineLevel="0" collapsed="false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customFormat="false" ht="15.75" hidden="false" customHeight="true" outlineLevel="0" collapsed="false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customFormat="false" ht="15.75" hidden="false" customHeight="true" outlineLevel="0" collapsed="false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customFormat="false" ht="15.75" hidden="false" customHeight="true" outlineLevel="0" collapsed="false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customFormat="false" ht="15.75" hidden="false" customHeight="true" outlineLevel="0" collapsed="false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customFormat="false" ht="15.75" hidden="false" customHeight="true" outlineLevel="0" collapsed="false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customFormat="false" ht="15.75" hidden="false" customHeight="true" outlineLevel="0" collapsed="false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customFormat="false" ht="15.75" hidden="false" customHeight="true" outlineLevel="0" collapsed="false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customFormat="false" ht="15.75" hidden="false" customHeight="true" outlineLevel="0" collapsed="false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customFormat="false" ht="15.75" hidden="false" customHeight="true" outlineLevel="0" collapsed="false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customFormat="false" ht="15.75" hidden="false" customHeight="true" outlineLevel="0" collapsed="false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customFormat="false" ht="15.75" hidden="false" customHeight="true" outlineLevel="0" collapsed="false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customFormat="false" ht="15.75" hidden="false" customHeight="true" outlineLevel="0" collapsed="false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customFormat="false" ht="15.75" hidden="false" customHeight="true" outlineLevel="0" collapsed="false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customFormat="false" ht="15.75" hidden="false" customHeight="true" outlineLevel="0" collapsed="false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customFormat="false" ht="15.75" hidden="false" customHeight="true" outlineLevel="0" collapsed="false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customFormat="false" ht="15.75" hidden="false" customHeight="true" outlineLevel="0" collapsed="false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customFormat="false" ht="15.75" hidden="false" customHeight="true" outlineLevel="0" collapsed="false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customFormat="false" ht="15.75" hidden="false" customHeight="true" outlineLevel="0" collapsed="false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customFormat="false" ht="15.75" hidden="false" customHeight="true" outlineLevel="0" collapsed="false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customFormat="false" ht="15.75" hidden="false" customHeight="true" outlineLevel="0" collapsed="false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customFormat="false" ht="15.75" hidden="false" customHeight="true" outlineLevel="0" collapsed="false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customFormat="false" ht="15.75" hidden="false" customHeight="true" outlineLevel="0" collapsed="false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customFormat="false" ht="15.75" hidden="false" customHeight="true" outlineLevel="0" collapsed="false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customFormat="false" ht="15.75" hidden="false" customHeight="true" outlineLevel="0" collapsed="false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customFormat="false" ht="15.75" hidden="false" customHeight="true" outlineLevel="0" collapsed="false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customFormat="false" ht="15.75" hidden="false" customHeight="true" outlineLevel="0" collapsed="false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customFormat="false" ht="15.75" hidden="false" customHeight="true" outlineLevel="0" collapsed="false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customFormat="false" ht="15.75" hidden="false" customHeight="true" outlineLevel="0" collapsed="false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customFormat="false" ht="15.75" hidden="false" customHeight="true" outlineLevel="0" collapsed="false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customFormat="false" ht="15.75" hidden="false" customHeight="true" outlineLevel="0" collapsed="false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customFormat="false" ht="15.75" hidden="false" customHeight="true" outlineLevel="0" collapsed="false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customFormat="false" ht="15.75" hidden="false" customHeight="true" outlineLevel="0" collapsed="false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customFormat="false" ht="15.75" hidden="false" customHeight="true" outlineLevel="0" collapsed="false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customFormat="false" ht="15.75" hidden="false" customHeight="true" outlineLevel="0" collapsed="false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customFormat="false" ht="15.75" hidden="false" customHeight="true" outlineLevel="0" collapsed="false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customFormat="false" ht="15.75" hidden="false" customHeight="true" outlineLevel="0" collapsed="false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customFormat="false" ht="15.75" hidden="false" customHeight="true" outlineLevel="0" collapsed="false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customFormat="false" ht="15.75" hidden="false" customHeight="true" outlineLevel="0" collapsed="false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customFormat="false" ht="15.75" hidden="false" customHeight="true" outlineLevel="0" collapsed="false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customFormat="false" ht="15.75" hidden="false" customHeight="true" outlineLevel="0" collapsed="false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customFormat="false" ht="15.75" hidden="false" customHeight="true" outlineLevel="0" collapsed="false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2">
    <mergeCell ref="A1:K2"/>
    <mergeCell ref="A65:P6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4B4B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3.71"/>
    <col collapsed="false" customWidth="true" hidden="false" outlineLevel="0" max="2" min="2" style="0" width="9.43"/>
    <col collapsed="false" customWidth="true" hidden="false" outlineLevel="0" max="3" min="3" style="0" width="40.14"/>
    <col collapsed="false" customWidth="true" hidden="false" outlineLevel="0" max="4" min="4" style="0" width="10.85"/>
    <col collapsed="false" customWidth="true" hidden="false" outlineLevel="0" max="5" min="5" style="0" width="9.43"/>
    <col collapsed="false" customWidth="true" hidden="false" outlineLevel="0" max="7" min="6" style="0" width="10.85"/>
    <col collapsed="false" customWidth="true" hidden="false" outlineLevel="0" max="8" min="8" style="0" width="12.29"/>
    <col collapsed="false" customWidth="true" hidden="false" outlineLevel="0" max="9" min="9" style="0" width="10.14"/>
    <col collapsed="false" customWidth="true" hidden="false" outlineLevel="0" max="11" min="10" style="0" width="10.85"/>
    <col collapsed="false" customWidth="true" hidden="false" outlineLevel="0" max="14" min="12" style="0" width="9.43"/>
    <col collapsed="false" customWidth="true" hidden="false" outlineLevel="0" max="15" min="15" style="0" width="10.85"/>
    <col collapsed="false" customWidth="true" hidden="false" outlineLevel="0" max="17" min="16" style="0" width="13.71"/>
    <col collapsed="false" customWidth="true" hidden="false" outlineLevel="0" max="26" min="18" style="0" width="8.71"/>
  </cols>
  <sheetData>
    <row r="1" customFormat="false" ht="15" hidden="false" customHeight="true" outlineLevel="0" collapsed="false">
      <c r="A1" s="93" t="s">
        <v>257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53"/>
      <c r="S1" s="53"/>
      <c r="T1" s="53"/>
      <c r="U1" s="53"/>
      <c r="V1" s="53"/>
      <c r="W1" s="53"/>
      <c r="X1" s="53"/>
      <c r="Y1" s="53"/>
      <c r="Z1" s="53"/>
    </row>
    <row r="2" customFormat="false" ht="15" hidden="false" customHeight="true" outlineLevel="0" collapsed="false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53"/>
      <c r="S2" s="53"/>
      <c r="T2" s="53"/>
      <c r="U2" s="53"/>
      <c r="V2" s="53"/>
      <c r="W2" s="53"/>
      <c r="X2" s="53"/>
      <c r="Y2" s="53"/>
      <c r="Z2" s="53"/>
    </row>
    <row r="3" customFormat="false" ht="34.5" hidden="false" customHeight="true" outlineLevel="0" collapsed="false">
      <c r="A3" s="73" t="s">
        <v>100</v>
      </c>
      <c r="B3" s="74" t="s">
        <v>102</v>
      </c>
      <c r="C3" s="74" t="s">
        <v>103</v>
      </c>
      <c r="D3" s="73" t="s">
        <v>209</v>
      </c>
      <c r="E3" s="73" t="s">
        <v>258</v>
      </c>
      <c r="F3" s="73" t="s">
        <v>259</v>
      </c>
      <c r="G3" s="73" t="s">
        <v>260</v>
      </c>
      <c r="H3" s="73" t="s">
        <v>261</v>
      </c>
      <c r="I3" s="73" t="s">
        <v>214</v>
      </c>
      <c r="J3" s="73" t="s">
        <v>215</v>
      </c>
      <c r="K3" s="73" t="s">
        <v>216</v>
      </c>
      <c r="L3" s="73" t="s">
        <v>262</v>
      </c>
      <c r="M3" s="73" t="s">
        <v>210</v>
      </c>
      <c r="N3" s="73" t="s">
        <v>212</v>
      </c>
      <c r="O3" s="73" t="s">
        <v>263</v>
      </c>
      <c r="P3" s="73" t="s">
        <v>264</v>
      </c>
      <c r="Q3" s="73" t="s">
        <v>265</v>
      </c>
      <c r="R3" s="53"/>
      <c r="S3" s="53"/>
      <c r="T3" s="53"/>
      <c r="U3" s="53"/>
      <c r="V3" s="53"/>
      <c r="W3" s="53"/>
      <c r="X3" s="53"/>
      <c r="Y3" s="53"/>
      <c r="Z3" s="53"/>
    </row>
    <row r="4" customFormat="false" ht="15" hidden="false" customHeight="true" outlineLevel="0" collapsed="false">
      <c r="A4" s="78" t="s">
        <v>117</v>
      </c>
      <c r="B4" s="78"/>
      <c r="C4" s="78"/>
      <c r="D4" s="77"/>
      <c r="E4" s="77"/>
      <c r="F4" s="78"/>
      <c r="G4" s="94"/>
      <c r="H4" s="77"/>
      <c r="I4" s="78"/>
      <c r="J4" s="78"/>
      <c r="K4" s="78"/>
      <c r="L4" s="77"/>
      <c r="M4" s="77"/>
      <c r="N4" s="77"/>
      <c r="O4" s="77"/>
      <c r="P4" s="77"/>
      <c r="Q4" s="77"/>
      <c r="R4" s="53"/>
      <c r="S4" s="53"/>
      <c r="T4" s="53"/>
      <c r="U4" s="53"/>
      <c r="V4" s="53"/>
      <c r="W4" s="53"/>
      <c r="X4" s="53"/>
      <c r="Y4" s="53"/>
      <c r="Z4" s="53"/>
    </row>
    <row r="5" customFormat="false" ht="15" hidden="false" customHeight="true" outlineLevel="0" collapsed="false">
      <c r="A5" s="79" t="s">
        <v>118</v>
      </c>
      <c r="B5" s="79" t="s">
        <v>119</v>
      </c>
      <c r="C5" s="79" t="s">
        <v>120</v>
      </c>
      <c r="D5" s="80" t="n">
        <f aca="false">'Divisão dos Circuitos'!K5</f>
        <v>10.8402203856749</v>
      </c>
      <c r="E5" s="80" t="n">
        <f aca="false">'Divisão dos Circuitos'!M5</f>
        <v>16</v>
      </c>
      <c r="F5" s="79" t="n">
        <v>30</v>
      </c>
      <c r="G5" s="95" t="n">
        <f aca="false">E5</f>
        <v>16</v>
      </c>
      <c r="H5" s="80" t="n">
        <f aca="false">MAX('Divisão dos Circuitos'!E5, 'Capac.Cond.Corre.'!L5, 'Queda de Tensão'!K5)</f>
        <v>4</v>
      </c>
      <c r="I5" s="79" t="str">
        <f aca="false">'Capac.Cond.Corre.'!I5</f>
        <v>B2</v>
      </c>
      <c r="J5" s="79" t="str">
        <f aca="false">'Capac.Cond.Corre.'!J5</f>
        <v>PVC</v>
      </c>
      <c r="K5" s="79" t="n">
        <f aca="false">'Capac.Cond.Corre.'!K5</f>
        <v>2</v>
      </c>
      <c r="L5" s="80" t="n">
        <v>30</v>
      </c>
      <c r="M5" s="80" t="n">
        <v>1</v>
      </c>
      <c r="N5" s="80" t="n">
        <f aca="false">'Capac.Cond.Corre.'!G5</f>
        <v>1</v>
      </c>
      <c r="O5" s="80" t="n">
        <f aca="false">L5*M5*N5</f>
        <v>30</v>
      </c>
      <c r="P5" s="80" t="str">
        <f aca="false">IF(O5&gt;=E5, "SIM", "NÃO")</f>
        <v>SIM</v>
      </c>
      <c r="Q5" s="80" t="n">
        <f aca="false">IF(P5="SIM", H5, IF(H5=1.5, 2.5, IF(H5=2.5, 4, 6)))</f>
        <v>4</v>
      </c>
      <c r="R5" s="53"/>
      <c r="S5" s="53"/>
      <c r="T5" s="53"/>
      <c r="U5" s="53"/>
      <c r="V5" s="53"/>
      <c r="W5" s="53"/>
      <c r="X5" s="53"/>
      <c r="Y5" s="53"/>
      <c r="Z5" s="53"/>
    </row>
    <row r="6" customFormat="false" ht="15" hidden="false" customHeight="true" outlineLevel="0" collapsed="false">
      <c r="A6" s="79" t="s">
        <v>121</v>
      </c>
      <c r="B6" s="79" t="s">
        <v>119</v>
      </c>
      <c r="C6" s="79" t="s">
        <v>122</v>
      </c>
      <c r="D6" s="80" t="n">
        <f aca="false">'Divisão dos Circuitos'!K6</f>
        <v>10.9090909090909</v>
      </c>
      <c r="E6" s="80" t="n">
        <f aca="false">'Divisão dos Circuitos'!M6</f>
        <v>16</v>
      </c>
      <c r="F6" s="79" t="n">
        <v>30</v>
      </c>
      <c r="G6" s="95" t="n">
        <f aca="false">E6</f>
        <v>16</v>
      </c>
      <c r="H6" s="80" t="n">
        <f aca="false">MAX('Divisão dos Circuitos'!E6, 'Capac.Cond.Corre.'!L6, 'Queda de Tensão'!K6)</f>
        <v>2.5</v>
      </c>
      <c r="I6" s="79" t="str">
        <f aca="false">'Capac.Cond.Corre.'!I6</f>
        <v>B2</v>
      </c>
      <c r="J6" s="79" t="str">
        <f aca="false">'Capac.Cond.Corre.'!J6</f>
        <v>PVC</v>
      </c>
      <c r="K6" s="79" t="n">
        <f aca="false">'Capac.Cond.Corre.'!K6</f>
        <v>2</v>
      </c>
      <c r="L6" s="80" t="n">
        <v>23</v>
      </c>
      <c r="M6" s="80" t="n">
        <v>1</v>
      </c>
      <c r="N6" s="80" t="n">
        <f aca="false">'Capac.Cond.Corre.'!G6</f>
        <v>1</v>
      </c>
      <c r="O6" s="80" t="n">
        <f aca="false">L6*M6*N6</f>
        <v>23</v>
      </c>
      <c r="P6" s="80" t="str">
        <f aca="false">IF(O6&gt;=E6, "SIM", "NÃO")</f>
        <v>SIM</v>
      </c>
      <c r="Q6" s="80" t="n">
        <f aca="false">IF(P6="SIM", H6, IF(H6=1.5, 2.5, IF(H6=2.5, 4, 6)))</f>
        <v>2.5</v>
      </c>
      <c r="R6" s="53"/>
      <c r="S6" s="53"/>
      <c r="T6" s="53"/>
      <c r="U6" s="53"/>
      <c r="V6" s="53"/>
      <c r="W6" s="53"/>
      <c r="X6" s="53"/>
      <c r="Y6" s="53"/>
      <c r="Z6" s="53"/>
    </row>
    <row r="7" customFormat="false" ht="15" hidden="false" customHeight="true" outlineLevel="0" collapsed="false">
      <c r="A7" s="79" t="s">
        <v>123</v>
      </c>
      <c r="B7" s="79" t="s">
        <v>119</v>
      </c>
      <c r="C7" s="79" t="s">
        <v>124</v>
      </c>
      <c r="D7" s="80" t="n">
        <f aca="false">'Divisão dos Circuitos'!K7</f>
        <v>8.18181818181818</v>
      </c>
      <c r="E7" s="80" t="n">
        <f aca="false">'Divisão dos Circuitos'!M7</f>
        <v>10</v>
      </c>
      <c r="F7" s="79" t="n">
        <v>30</v>
      </c>
      <c r="G7" s="95" t="n">
        <f aca="false">E7</f>
        <v>10</v>
      </c>
      <c r="H7" s="80" t="n">
        <f aca="false">MAX('Divisão dos Circuitos'!E7, 'Capac.Cond.Corre.'!L7, 'Queda de Tensão'!K7)</f>
        <v>2.5</v>
      </c>
      <c r="I7" s="79" t="str">
        <f aca="false">'Capac.Cond.Corre.'!I7</f>
        <v>B2</v>
      </c>
      <c r="J7" s="79" t="str">
        <f aca="false">'Capac.Cond.Corre.'!J7</f>
        <v>PVC</v>
      </c>
      <c r="K7" s="79" t="n">
        <f aca="false">'Capac.Cond.Corre.'!K7</f>
        <v>2</v>
      </c>
      <c r="L7" s="80" t="n">
        <v>23</v>
      </c>
      <c r="M7" s="80" t="n">
        <v>1</v>
      </c>
      <c r="N7" s="80" t="n">
        <f aca="false">'Capac.Cond.Corre.'!G7</f>
        <v>1</v>
      </c>
      <c r="O7" s="80" t="n">
        <f aca="false">L7*M7*N7</f>
        <v>23</v>
      </c>
      <c r="P7" s="80" t="str">
        <f aca="false">IF(O7&gt;=E7, "SIM", "NÃO")</f>
        <v>SIM</v>
      </c>
      <c r="Q7" s="80" t="n">
        <f aca="false">IF(P7="SIM", H7, IF(H7=1.5, 2.5, IF(H7=2.5, 4, 6)))</f>
        <v>2.5</v>
      </c>
      <c r="R7" s="53"/>
      <c r="S7" s="53"/>
      <c r="T7" s="53"/>
      <c r="U7" s="53"/>
      <c r="V7" s="53"/>
      <c r="W7" s="53"/>
      <c r="X7" s="53"/>
      <c r="Y7" s="53"/>
      <c r="Z7" s="53"/>
    </row>
    <row r="8" customFormat="false" ht="15" hidden="false" customHeight="true" outlineLevel="0" collapsed="false">
      <c r="A8" s="79" t="s">
        <v>125</v>
      </c>
      <c r="B8" s="79" t="s">
        <v>119</v>
      </c>
      <c r="C8" s="79" t="s">
        <v>126</v>
      </c>
      <c r="D8" s="80" t="n">
        <f aca="false">'Divisão dos Circuitos'!K8</f>
        <v>10.9090909090909</v>
      </c>
      <c r="E8" s="80" t="n">
        <f aca="false">'Divisão dos Circuitos'!M8</f>
        <v>16</v>
      </c>
      <c r="F8" s="79" t="n">
        <v>30</v>
      </c>
      <c r="G8" s="95" t="n">
        <f aca="false">E8</f>
        <v>16</v>
      </c>
      <c r="H8" s="80" t="n">
        <f aca="false">MAX('Divisão dos Circuitos'!E8, 'Capac.Cond.Corre.'!L8, 'Queda de Tensão'!K8)</f>
        <v>4</v>
      </c>
      <c r="I8" s="79" t="str">
        <f aca="false">'Capac.Cond.Corre.'!I8</f>
        <v>B2</v>
      </c>
      <c r="J8" s="79" t="str">
        <f aca="false">'Capac.Cond.Corre.'!J8</f>
        <v>PVC</v>
      </c>
      <c r="K8" s="79" t="n">
        <f aca="false">'Capac.Cond.Corre.'!K8</f>
        <v>2</v>
      </c>
      <c r="L8" s="80" t="n">
        <v>30</v>
      </c>
      <c r="M8" s="80" t="n">
        <v>1</v>
      </c>
      <c r="N8" s="80" t="n">
        <f aca="false">'Capac.Cond.Corre.'!G8</f>
        <v>1</v>
      </c>
      <c r="O8" s="80" t="n">
        <f aca="false">L8*M8*N8</f>
        <v>30</v>
      </c>
      <c r="P8" s="80" t="str">
        <f aca="false">IF(O8&gt;=E8, "SIM", "NÃO")</f>
        <v>SIM</v>
      </c>
      <c r="Q8" s="80" t="n">
        <f aca="false">IF(P8="SIM", H8, IF(H8=1.5, 2.5, IF(H8=2.5, 4, 6)))</f>
        <v>4</v>
      </c>
      <c r="R8" s="53"/>
      <c r="S8" s="53"/>
      <c r="T8" s="53"/>
      <c r="U8" s="53"/>
      <c r="V8" s="53"/>
      <c r="W8" s="53"/>
      <c r="X8" s="53"/>
      <c r="Y8" s="53"/>
      <c r="Z8" s="53"/>
    </row>
    <row r="9" customFormat="false" ht="15" hidden="false" customHeight="true" outlineLevel="0" collapsed="false">
      <c r="A9" s="79" t="s">
        <v>127</v>
      </c>
      <c r="B9" s="79" t="s">
        <v>119</v>
      </c>
      <c r="C9" s="79" t="s">
        <v>128</v>
      </c>
      <c r="D9" s="80" t="n">
        <f aca="false">'Divisão dos Circuitos'!K9</f>
        <v>8.18181818181818</v>
      </c>
      <c r="E9" s="80" t="n">
        <f aca="false">'Divisão dos Circuitos'!M9</f>
        <v>10</v>
      </c>
      <c r="F9" s="79" t="n">
        <v>30</v>
      </c>
      <c r="G9" s="95" t="n">
        <f aca="false">E9</f>
        <v>10</v>
      </c>
      <c r="H9" s="80" t="n">
        <f aca="false">MAX('Divisão dos Circuitos'!E9, 'Capac.Cond.Corre.'!L9, 'Queda de Tensão'!K9)</f>
        <v>4</v>
      </c>
      <c r="I9" s="79" t="str">
        <f aca="false">'Capac.Cond.Corre.'!I9</f>
        <v>B2</v>
      </c>
      <c r="J9" s="79" t="str">
        <f aca="false">'Capac.Cond.Corre.'!J9</f>
        <v>PVC</v>
      </c>
      <c r="K9" s="79" t="n">
        <f aca="false">'Capac.Cond.Corre.'!K9</f>
        <v>2</v>
      </c>
      <c r="L9" s="80" t="n">
        <v>30</v>
      </c>
      <c r="M9" s="80" t="n">
        <v>1</v>
      </c>
      <c r="N9" s="80" t="n">
        <f aca="false">'Capac.Cond.Corre.'!G9</f>
        <v>1</v>
      </c>
      <c r="O9" s="80" t="n">
        <f aca="false">L9*M9*N9</f>
        <v>30</v>
      </c>
      <c r="P9" s="80" t="str">
        <f aca="false">IF(O9&gt;=E9, "SIM", "NÃO")</f>
        <v>SIM</v>
      </c>
      <c r="Q9" s="80" t="n">
        <f aca="false">IF(P9="SIM", H9, IF(H9=1.5, 2.5, IF(H9=2.5, 4, 6)))</f>
        <v>4</v>
      </c>
      <c r="R9" s="53"/>
      <c r="S9" s="53"/>
      <c r="T9" s="53"/>
      <c r="U9" s="53"/>
      <c r="V9" s="53"/>
      <c r="W9" s="53"/>
      <c r="X9" s="53"/>
      <c r="Y9" s="53"/>
      <c r="Z9" s="53"/>
    </row>
    <row r="10" customFormat="false" ht="15" hidden="false" customHeight="true" outlineLevel="0" collapsed="false">
      <c r="A10" s="79" t="s">
        <v>129</v>
      </c>
      <c r="B10" s="79" t="s">
        <v>119</v>
      </c>
      <c r="C10" s="79" t="s">
        <v>122</v>
      </c>
      <c r="D10" s="80" t="n">
        <f aca="false">'Divisão dos Circuitos'!K10</f>
        <v>18.2321137638829</v>
      </c>
      <c r="E10" s="80" t="n">
        <f aca="false">'Divisão dos Circuitos'!M10</f>
        <v>20</v>
      </c>
      <c r="F10" s="79" t="n">
        <v>30</v>
      </c>
      <c r="G10" s="95" t="n">
        <f aca="false">E10</f>
        <v>20</v>
      </c>
      <c r="H10" s="80" t="n">
        <f aca="false">MAX('Divisão dos Circuitos'!E10, 'Capac.Cond.Corre.'!L10, 'Queda de Tensão'!K10)</f>
        <v>2.5</v>
      </c>
      <c r="I10" s="79" t="str">
        <f aca="false">'Capac.Cond.Corre.'!I10</f>
        <v>B2</v>
      </c>
      <c r="J10" s="79" t="str">
        <f aca="false">'Capac.Cond.Corre.'!J10</f>
        <v>PVC</v>
      </c>
      <c r="K10" s="79" t="n">
        <f aca="false">'Capac.Cond.Corre.'!K10</f>
        <v>3</v>
      </c>
      <c r="L10" s="80" t="n">
        <v>20</v>
      </c>
      <c r="M10" s="80" t="n">
        <v>1</v>
      </c>
      <c r="N10" s="80" t="n">
        <f aca="false">'Capac.Cond.Corre.'!G10</f>
        <v>1</v>
      </c>
      <c r="O10" s="80" t="n">
        <f aca="false">L10*M10*N10</f>
        <v>20</v>
      </c>
      <c r="P10" s="80" t="str">
        <f aca="false">IF(O10&gt;=E10, "SIM", "NÃO")</f>
        <v>SIM</v>
      </c>
      <c r="Q10" s="80" t="n">
        <f aca="false">IF(P10="SIM", H10, IF(H10=1.5, 2.5, IF(H10=2.5, 4, 6)))</f>
        <v>2.5</v>
      </c>
      <c r="R10" s="53"/>
      <c r="S10" s="53"/>
      <c r="T10" s="53"/>
      <c r="U10" s="53"/>
      <c r="V10" s="53"/>
      <c r="W10" s="53"/>
      <c r="X10" s="53"/>
      <c r="Y10" s="53"/>
      <c r="Z10" s="53"/>
    </row>
    <row r="11" customFormat="false" ht="15" hidden="false" customHeight="true" outlineLevel="0" collapsed="false">
      <c r="A11" s="79" t="s">
        <v>130</v>
      </c>
      <c r="B11" s="79" t="s">
        <v>119</v>
      </c>
      <c r="C11" s="79" t="s">
        <v>126</v>
      </c>
      <c r="D11" s="80" t="n">
        <f aca="false">'Divisão dos Circuitos'!K11</f>
        <v>18.2321137638829</v>
      </c>
      <c r="E11" s="80" t="n">
        <f aca="false">'Divisão dos Circuitos'!M11</f>
        <v>20</v>
      </c>
      <c r="F11" s="79" t="n">
        <v>30</v>
      </c>
      <c r="G11" s="95" t="n">
        <f aca="false">E11</f>
        <v>20</v>
      </c>
      <c r="H11" s="80" t="n">
        <f aca="false">MAX('Divisão dos Circuitos'!E11, 'Capac.Cond.Corre.'!L11, 'Queda de Tensão'!K11)</f>
        <v>2.5</v>
      </c>
      <c r="I11" s="79" t="str">
        <f aca="false">'Capac.Cond.Corre.'!I11</f>
        <v>B2</v>
      </c>
      <c r="J11" s="79" t="str">
        <f aca="false">'Capac.Cond.Corre.'!J11</f>
        <v>PVC</v>
      </c>
      <c r="K11" s="79" t="n">
        <f aca="false">'Capac.Cond.Corre.'!K11</f>
        <v>3</v>
      </c>
      <c r="L11" s="80" t="n">
        <v>20</v>
      </c>
      <c r="M11" s="80" t="n">
        <v>1</v>
      </c>
      <c r="N11" s="80" t="n">
        <f aca="false">'Capac.Cond.Corre.'!G11</f>
        <v>1</v>
      </c>
      <c r="O11" s="80" t="n">
        <f aca="false">L11*M11*N11</f>
        <v>20</v>
      </c>
      <c r="P11" s="80" t="str">
        <f aca="false">IF(O11&gt;=E11, "SIM", "NÃO")</f>
        <v>SIM</v>
      </c>
      <c r="Q11" s="80" t="n">
        <f aca="false">IF(P11="SIM", H11, IF(H11=1.5, 2.5, IF(H11=2.5, 4, 6)))</f>
        <v>2.5</v>
      </c>
      <c r="R11" s="53"/>
      <c r="S11" s="53"/>
      <c r="T11" s="53"/>
      <c r="U11" s="53"/>
      <c r="V11" s="53"/>
      <c r="W11" s="53"/>
      <c r="X11" s="53"/>
      <c r="Y11" s="53"/>
      <c r="Z11" s="53"/>
    </row>
    <row r="12" customFormat="false" ht="15" hidden="false" customHeight="true" outlineLevel="0" collapsed="false">
      <c r="A12" s="79" t="s">
        <v>131</v>
      </c>
      <c r="B12" s="79" t="s">
        <v>119</v>
      </c>
      <c r="C12" s="79" t="s">
        <v>124</v>
      </c>
      <c r="D12" s="80" t="n">
        <f aca="false">'Divisão dos Circuitos'!K12</f>
        <v>18.2321137638829</v>
      </c>
      <c r="E12" s="80" t="n">
        <f aca="false">'Divisão dos Circuitos'!M12</f>
        <v>20</v>
      </c>
      <c r="F12" s="79" t="n">
        <v>30</v>
      </c>
      <c r="G12" s="95" t="n">
        <f aca="false">E12</f>
        <v>20</v>
      </c>
      <c r="H12" s="80" t="n">
        <f aca="false">MAX('Divisão dos Circuitos'!E12, 'Capac.Cond.Corre.'!L12, 'Queda de Tensão'!K12)</f>
        <v>2.5</v>
      </c>
      <c r="I12" s="79" t="str">
        <f aca="false">'Capac.Cond.Corre.'!I12</f>
        <v>B2</v>
      </c>
      <c r="J12" s="79" t="str">
        <f aca="false">'Capac.Cond.Corre.'!J12</f>
        <v>PVC</v>
      </c>
      <c r="K12" s="79" t="n">
        <f aca="false">'Capac.Cond.Corre.'!K12</f>
        <v>3</v>
      </c>
      <c r="L12" s="80" t="n">
        <v>20</v>
      </c>
      <c r="M12" s="80" t="n">
        <v>1</v>
      </c>
      <c r="N12" s="80" t="n">
        <f aca="false">'Capac.Cond.Corre.'!G12</f>
        <v>1</v>
      </c>
      <c r="O12" s="80" t="n">
        <f aca="false">L12*M12*N12</f>
        <v>20</v>
      </c>
      <c r="P12" s="80" t="str">
        <f aca="false">IF(O12&gt;=E12, "SIM", "NÃO")</f>
        <v>SIM</v>
      </c>
      <c r="Q12" s="80" t="n">
        <f aca="false">IF(P12="SIM", H12, IF(H12=1.5, 2.5, IF(H12=2.5, 4, 6)))</f>
        <v>2.5</v>
      </c>
      <c r="R12" s="53"/>
      <c r="S12" s="53"/>
      <c r="T12" s="53"/>
      <c r="U12" s="53"/>
      <c r="V12" s="53"/>
      <c r="W12" s="53"/>
      <c r="X12" s="53"/>
      <c r="Y12" s="53"/>
      <c r="Z12" s="53"/>
    </row>
    <row r="13" customFormat="false" ht="15" hidden="false" customHeight="true" outlineLevel="0" collapsed="false">
      <c r="A13" s="79" t="s">
        <v>132</v>
      </c>
      <c r="B13" s="79" t="s">
        <v>119</v>
      </c>
      <c r="C13" s="79" t="s">
        <v>128</v>
      </c>
      <c r="D13" s="80" t="n">
        <f aca="false">'Divisão dos Circuitos'!K13</f>
        <v>18.2321137638829</v>
      </c>
      <c r="E13" s="80" t="n">
        <f aca="false">'Divisão dos Circuitos'!M13</f>
        <v>20</v>
      </c>
      <c r="F13" s="79" t="n">
        <v>30</v>
      </c>
      <c r="G13" s="95" t="n">
        <f aca="false">E13</f>
        <v>20</v>
      </c>
      <c r="H13" s="80" t="n">
        <f aca="false">MAX('Divisão dos Circuitos'!E13, 'Capac.Cond.Corre.'!L13, 'Queda de Tensão'!K13)</f>
        <v>4</v>
      </c>
      <c r="I13" s="79" t="str">
        <f aca="false">'Capac.Cond.Corre.'!I13</f>
        <v>B2</v>
      </c>
      <c r="J13" s="79" t="str">
        <f aca="false">'Capac.Cond.Corre.'!J13</f>
        <v>PVC</v>
      </c>
      <c r="K13" s="79" t="n">
        <f aca="false">'Capac.Cond.Corre.'!K13</f>
        <v>3</v>
      </c>
      <c r="L13" s="80" t="n">
        <v>27</v>
      </c>
      <c r="M13" s="80" t="n">
        <v>1</v>
      </c>
      <c r="N13" s="80" t="n">
        <f aca="false">'Capac.Cond.Corre.'!G13</f>
        <v>1</v>
      </c>
      <c r="O13" s="80" t="n">
        <f aca="false">L13*M13*N13</f>
        <v>27</v>
      </c>
      <c r="P13" s="80" t="str">
        <f aca="false">IF(O13&gt;=E13, "SIM", "NÃO")</f>
        <v>SIM</v>
      </c>
      <c r="Q13" s="80" t="n">
        <f aca="false">IF(P13="SIM", H13, IF(H13=1.5, 2.5, IF(H13=2.5, 4, 6)))</f>
        <v>4</v>
      </c>
      <c r="R13" s="53"/>
      <c r="S13" s="53"/>
      <c r="T13" s="53"/>
      <c r="U13" s="53"/>
      <c r="V13" s="53"/>
      <c r="W13" s="53"/>
      <c r="X13" s="53"/>
      <c r="Y13" s="53"/>
      <c r="Z13" s="53"/>
    </row>
    <row r="14" customFormat="false" ht="15" hidden="false" customHeight="true" outlineLevel="0" collapsed="false">
      <c r="A14" s="79" t="s">
        <v>133</v>
      </c>
      <c r="B14" s="79" t="s">
        <v>119</v>
      </c>
      <c r="C14" s="79" t="s">
        <v>134</v>
      </c>
      <c r="D14" s="80" t="n">
        <f aca="false">'Divisão dos Circuitos'!K14</f>
        <v>13.6363636363636</v>
      </c>
      <c r="E14" s="80" t="n">
        <f aca="false">'Divisão dos Circuitos'!M14</f>
        <v>16</v>
      </c>
      <c r="F14" s="79" t="n">
        <v>30</v>
      </c>
      <c r="G14" s="95" t="n">
        <f aca="false">E14</f>
        <v>16</v>
      </c>
      <c r="H14" s="80" t="n">
        <f aca="false">MAX('Divisão dos Circuitos'!E14, 'Capac.Cond.Corre.'!L14, 'Queda de Tensão'!K14)</f>
        <v>2.5</v>
      </c>
      <c r="I14" s="79" t="str">
        <f aca="false">'Capac.Cond.Corre.'!I14</f>
        <v>B2</v>
      </c>
      <c r="J14" s="79" t="str">
        <f aca="false">'Capac.Cond.Corre.'!J14</f>
        <v>PVC</v>
      </c>
      <c r="K14" s="79" t="n">
        <f aca="false">'Capac.Cond.Corre.'!K14</f>
        <v>2</v>
      </c>
      <c r="L14" s="80" t="n">
        <v>23</v>
      </c>
      <c r="M14" s="80" t="n">
        <v>1</v>
      </c>
      <c r="N14" s="80" t="n">
        <f aca="false">'Capac.Cond.Corre.'!G14</f>
        <v>1</v>
      </c>
      <c r="O14" s="80" t="n">
        <f aca="false">L14*M14*N14</f>
        <v>23</v>
      </c>
      <c r="P14" s="80" t="str">
        <f aca="false">IF(O14&gt;=E14, "SIM", "NÃO")</f>
        <v>SIM</v>
      </c>
      <c r="Q14" s="80" t="n">
        <f aca="false">IF(P14="SIM", H14, IF(H14=1.5, 2.5, IF(H14=2.5, 4, 6)))</f>
        <v>2.5</v>
      </c>
      <c r="R14" s="53"/>
      <c r="S14" s="53"/>
      <c r="T14" s="53"/>
      <c r="U14" s="53"/>
      <c r="V14" s="53"/>
      <c r="W14" s="53"/>
      <c r="X14" s="53"/>
      <c r="Y14" s="53"/>
      <c r="Z14" s="53"/>
    </row>
    <row r="15" customFormat="false" ht="15" hidden="false" customHeight="true" outlineLevel="0" collapsed="false">
      <c r="A15" s="79" t="s">
        <v>135</v>
      </c>
      <c r="B15" s="79" t="s">
        <v>119</v>
      </c>
      <c r="C15" s="79" t="s">
        <v>136</v>
      </c>
      <c r="D15" s="80" t="n">
        <f aca="false">'Divisão dos Circuitos'!K15</f>
        <v>10</v>
      </c>
      <c r="E15" s="80" t="n">
        <f aca="false">'Divisão dos Circuitos'!M15</f>
        <v>16</v>
      </c>
      <c r="F15" s="79" t="n">
        <v>30</v>
      </c>
      <c r="G15" s="95" t="n">
        <f aca="false">E15</f>
        <v>16</v>
      </c>
      <c r="H15" s="80" t="n">
        <f aca="false">MAX('Divisão dos Circuitos'!E15, 'Capac.Cond.Corre.'!L15, 'Queda de Tensão'!K15)</f>
        <v>2.5</v>
      </c>
      <c r="I15" s="79" t="str">
        <f aca="false">'Capac.Cond.Corre.'!I15</f>
        <v>B2</v>
      </c>
      <c r="J15" s="79" t="str">
        <f aca="false">'Capac.Cond.Corre.'!J15</f>
        <v>PVC</v>
      </c>
      <c r="K15" s="79" t="n">
        <f aca="false">'Capac.Cond.Corre.'!K15</f>
        <v>2</v>
      </c>
      <c r="L15" s="80" t="n">
        <v>23</v>
      </c>
      <c r="M15" s="80" t="n">
        <v>1</v>
      </c>
      <c r="N15" s="80" t="n">
        <f aca="false">'Capac.Cond.Corre.'!G15</f>
        <v>1</v>
      </c>
      <c r="O15" s="80" t="n">
        <f aca="false">L15*M15*N15</f>
        <v>23</v>
      </c>
      <c r="P15" s="80" t="str">
        <f aca="false">IF(O15&gt;=E15, "SIM", "NÃO")</f>
        <v>SIM</v>
      </c>
      <c r="Q15" s="80" t="n">
        <f aca="false">IF(P15="SIM", H15, IF(H15=1.5, 2.5, IF(H15=2.5, 4, 6)))</f>
        <v>2.5</v>
      </c>
      <c r="R15" s="53"/>
      <c r="S15" s="53"/>
      <c r="T15" s="53"/>
      <c r="U15" s="53"/>
      <c r="V15" s="53"/>
      <c r="W15" s="53"/>
      <c r="X15" s="53"/>
      <c r="Y15" s="53"/>
      <c r="Z15" s="53"/>
    </row>
    <row r="16" customFormat="false" ht="15" hidden="false" customHeight="true" outlineLevel="0" collapsed="false">
      <c r="A16" s="79" t="s">
        <v>137</v>
      </c>
      <c r="B16" s="79" t="s">
        <v>119</v>
      </c>
      <c r="C16" s="79" t="s">
        <v>138</v>
      </c>
      <c r="D16" s="80" t="n">
        <f aca="false">'Divisão dos Circuitos'!K16</f>
        <v>9.09090909090909</v>
      </c>
      <c r="E16" s="80" t="n">
        <f aca="false">'Divisão dos Circuitos'!M16</f>
        <v>10</v>
      </c>
      <c r="F16" s="79" t="n">
        <v>30</v>
      </c>
      <c r="G16" s="95" t="n">
        <f aca="false">E16</f>
        <v>10</v>
      </c>
      <c r="H16" s="80" t="n">
        <f aca="false">MAX('Divisão dos Circuitos'!E16, 'Capac.Cond.Corre.'!L16, 'Queda de Tensão'!K16)</f>
        <v>2.5</v>
      </c>
      <c r="I16" s="79" t="str">
        <f aca="false">'Capac.Cond.Corre.'!I16</f>
        <v>B2</v>
      </c>
      <c r="J16" s="79" t="str">
        <f aca="false">'Capac.Cond.Corre.'!J16</f>
        <v>PVC</v>
      </c>
      <c r="K16" s="79" t="n">
        <f aca="false">'Capac.Cond.Corre.'!K16</f>
        <v>2</v>
      </c>
      <c r="L16" s="80" t="n">
        <v>23</v>
      </c>
      <c r="M16" s="80" t="n">
        <v>1</v>
      </c>
      <c r="N16" s="80" t="n">
        <f aca="false">'Capac.Cond.Corre.'!G16</f>
        <v>1</v>
      </c>
      <c r="O16" s="80" t="n">
        <f aca="false">L16*M16*N16</f>
        <v>23</v>
      </c>
      <c r="P16" s="80" t="str">
        <f aca="false">IF(O16&gt;=E16, "SIM", "NÃO")</f>
        <v>SIM</v>
      </c>
      <c r="Q16" s="80" t="n">
        <f aca="false">IF(P16="SIM", H16, IF(H16=1.5, 2.5, IF(H16=2.5, 4, 6)))</f>
        <v>2.5</v>
      </c>
      <c r="R16" s="53"/>
      <c r="S16" s="53"/>
      <c r="T16" s="53"/>
      <c r="U16" s="53"/>
      <c r="V16" s="53"/>
      <c r="W16" s="53"/>
      <c r="X16" s="53"/>
      <c r="Y16" s="53"/>
      <c r="Z16" s="53"/>
    </row>
    <row r="17" customFormat="false" ht="15" hidden="false" customHeight="true" outlineLevel="0" collapsed="false">
      <c r="A17" s="79" t="s">
        <v>139</v>
      </c>
      <c r="B17" s="79" t="s">
        <v>119</v>
      </c>
      <c r="C17" s="79" t="s">
        <v>140</v>
      </c>
      <c r="D17" s="80" t="n">
        <f aca="false">'Divisão dos Circuitos'!K17</f>
        <v>15.4545454545455</v>
      </c>
      <c r="E17" s="80" t="n">
        <f aca="false">'Divisão dos Circuitos'!M17</f>
        <v>16</v>
      </c>
      <c r="F17" s="79" t="n">
        <v>30</v>
      </c>
      <c r="G17" s="95" t="n">
        <f aca="false">E17</f>
        <v>16</v>
      </c>
      <c r="H17" s="80" t="n">
        <f aca="false">MAX('Divisão dos Circuitos'!E17, 'Capac.Cond.Corre.'!L17, 'Queda de Tensão'!K17)</f>
        <v>4</v>
      </c>
      <c r="I17" s="79" t="str">
        <f aca="false">'Capac.Cond.Corre.'!I17</f>
        <v>B2</v>
      </c>
      <c r="J17" s="79" t="str">
        <f aca="false">'Capac.Cond.Corre.'!J17</f>
        <v>PVC</v>
      </c>
      <c r="K17" s="79" t="n">
        <f aca="false">'Capac.Cond.Corre.'!K17</f>
        <v>2</v>
      </c>
      <c r="L17" s="80" t="n">
        <v>30</v>
      </c>
      <c r="M17" s="80" t="n">
        <v>1</v>
      </c>
      <c r="N17" s="80" t="n">
        <f aca="false">'Capac.Cond.Corre.'!G17</f>
        <v>1</v>
      </c>
      <c r="O17" s="80" t="n">
        <f aca="false">L17*M17*N17</f>
        <v>30</v>
      </c>
      <c r="P17" s="80" t="str">
        <f aca="false">IF(O17&gt;=E17, "SIM", "NÃO")</f>
        <v>SIM</v>
      </c>
      <c r="Q17" s="80" t="n">
        <f aca="false">IF(P17="SIM", H17, IF(H17=1.5, 2.5, IF(H17=2.5, 4, 6)))</f>
        <v>4</v>
      </c>
      <c r="R17" s="53"/>
      <c r="S17" s="53"/>
      <c r="T17" s="53"/>
      <c r="U17" s="53"/>
      <c r="V17" s="53"/>
      <c r="W17" s="53"/>
      <c r="X17" s="53"/>
      <c r="Y17" s="53"/>
      <c r="Z17" s="53"/>
    </row>
    <row r="18" customFormat="false" ht="15" hidden="false" customHeight="true" outlineLevel="0" collapsed="false">
      <c r="A18" s="78" t="s">
        <v>141</v>
      </c>
      <c r="B18" s="78"/>
      <c r="C18" s="78"/>
      <c r="D18" s="77"/>
      <c r="E18" s="77"/>
      <c r="F18" s="78"/>
      <c r="G18" s="94"/>
      <c r="H18" s="77"/>
      <c r="I18" s="78"/>
      <c r="J18" s="78"/>
      <c r="K18" s="78"/>
      <c r="L18" s="77"/>
      <c r="M18" s="77"/>
      <c r="N18" s="77"/>
      <c r="O18" s="77"/>
      <c r="P18" s="77"/>
      <c r="Q18" s="77"/>
      <c r="R18" s="53"/>
      <c r="S18" s="53"/>
      <c r="T18" s="53"/>
      <c r="U18" s="53"/>
      <c r="V18" s="53"/>
      <c r="W18" s="53"/>
      <c r="X18" s="53"/>
      <c r="Y18" s="53"/>
      <c r="Z18" s="53"/>
    </row>
    <row r="19" customFormat="false" ht="15" hidden="false" customHeight="true" outlineLevel="0" collapsed="false">
      <c r="A19" s="79" t="s">
        <v>142</v>
      </c>
      <c r="B19" s="79" t="s">
        <v>143</v>
      </c>
      <c r="C19" s="79" t="s">
        <v>144</v>
      </c>
      <c r="D19" s="80" t="n">
        <f aca="false">'Divisão dos Circuitos'!K19</f>
        <v>8.87235996326905</v>
      </c>
      <c r="E19" s="80" t="n">
        <f aca="false">'Divisão dos Circuitos'!M19</f>
        <v>10</v>
      </c>
      <c r="F19" s="79" t="n">
        <v>30</v>
      </c>
      <c r="G19" s="80" t="n">
        <f aca="false">E19</f>
        <v>10</v>
      </c>
      <c r="H19" s="80" t="n">
        <f aca="false">MAX('Divisão dos Circuitos'!E19, 'Capac.Cond.Corre.'!L19, 'Queda de Tensão'!K19)</f>
        <v>4</v>
      </c>
      <c r="I19" s="79" t="str">
        <f aca="false">'Capac.Cond.Corre.'!I19</f>
        <v>B2</v>
      </c>
      <c r="J19" s="79" t="str">
        <f aca="false">'Capac.Cond.Corre.'!J19</f>
        <v>PVC</v>
      </c>
      <c r="K19" s="79" t="n">
        <f aca="false">'Capac.Cond.Corre.'!K19</f>
        <v>2</v>
      </c>
      <c r="L19" s="80" t="n">
        <v>30</v>
      </c>
      <c r="M19" s="80" t="n">
        <v>1</v>
      </c>
      <c r="N19" s="80" t="n">
        <f aca="false">'Capac.Cond.Corre.'!G19</f>
        <v>0.7</v>
      </c>
      <c r="O19" s="80" t="n">
        <f aca="false">L19*M19*N19</f>
        <v>21</v>
      </c>
      <c r="P19" s="80" t="str">
        <f aca="false">IF(O19&gt;=E19, "SIM", "NÃO")</f>
        <v>SIM</v>
      </c>
      <c r="Q19" s="80" t="n">
        <f aca="false">IF(P19="SIM", H19, IF(H19=1.5, 2.5, IF(H19=2.5, 4, 6)))</f>
        <v>4</v>
      </c>
      <c r="R19" s="53"/>
      <c r="S19" s="53"/>
      <c r="T19" s="53"/>
      <c r="U19" s="53"/>
      <c r="V19" s="53"/>
      <c r="W19" s="53"/>
      <c r="X19" s="53"/>
      <c r="Y19" s="53"/>
      <c r="Z19" s="53"/>
    </row>
    <row r="20" customFormat="false" ht="15.75" hidden="false" customHeight="true" outlineLevel="0" collapsed="false">
      <c r="A20" s="79" t="s">
        <v>145</v>
      </c>
      <c r="B20" s="79" t="s">
        <v>143</v>
      </c>
      <c r="C20" s="79" t="s">
        <v>53</v>
      </c>
      <c r="D20" s="80" t="n">
        <f aca="false">'Divisão dos Circuitos'!K20</f>
        <v>7.58815426997245</v>
      </c>
      <c r="E20" s="80" t="n">
        <f aca="false">'Divisão dos Circuitos'!M20</f>
        <v>10</v>
      </c>
      <c r="F20" s="79" t="n">
        <v>30</v>
      </c>
      <c r="G20" s="80" t="n">
        <f aca="false">E20</f>
        <v>10</v>
      </c>
      <c r="H20" s="80" t="n">
        <f aca="false">MAX('Divisão dos Circuitos'!E20, 'Capac.Cond.Corre.'!L20, 'Queda de Tensão'!K20)</f>
        <v>2.5</v>
      </c>
      <c r="I20" s="79" t="str">
        <f aca="false">'Capac.Cond.Corre.'!I20</f>
        <v>B2</v>
      </c>
      <c r="J20" s="79" t="str">
        <f aca="false">'Capac.Cond.Corre.'!J20</f>
        <v>PVC</v>
      </c>
      <c r="K20" s="79" t="n">
        <f aca="false">'Capac.Cond.Corre.'!K20</f>
        <v>2</v>
      </c>
      <c r="L20" s="80" t="n">
        <v>23</v>
      </c>
      <c r="M20" s="80" t="n">
        <v>1</v>
      </c>
      <c r="N20" s="80" t="n">
        <f aca="false">'Capac.Cond.Corre.'!G20</f>
        <v>1</v>
      </c>
      <c r="O20" s="80" t="n">
        <f aca="false">L20*M20*N20</f>
        <v>23</v>
      </c>
      <c r="P20" s="79" t="str">
        <f aca="false">IF(O20&gt;=E20, "SIM", "NÃO")</f>
        <v>SIM</v>
      </c>
      <c r="Q20" s="80" t="n">
        <f aca="false">IF(P20="SIM", H20, IF(H20=1.5, 2.5, IF(H20=2.5, 4, 6)))</f>
        <v>2.5</v>
      </c>
      <c r="R20" s="53"/>
      <c r="S20" s="53"/>
      <c r="T20" s="53"/>
      <c r="U20" s="53"/>
      <c r="V20" s="53"/>
      <c r="W20" s="53"/>
      <c r="X20" s="53"/>
      <c r="Y20" s="53"/>
      <c r="Z20" s="53"/>
    </row>
    <row r="21" customFormat="false" ht="15" hidden="false" customHeight="true" outlineLevel="0" collapsed="false">
      <c r="A21" s="79" t="s">
        <v>146</v>
      </c>
      <c r="B21" s="79" t="s">
        <v>143</v>
      </c>
      <c r="C21" s="79" t="s">
        <v>147</v>
      </c>
      <c r="D21" s="80" t="n">
        <f aca="false">'Divisão dos Circuitos'!K21</f>
        <v>5.45454545454545</v>
      </c>
      <c r="E21" s="80" t="n">
        <f aca="false">'Divisão dos Circuitos'!M21</f>
        <v>10</v>
      </c>
      <c r="F21" s="79" t="n">
        <v>30</v>
      </c>
      <c r="G21" s="80" t="n">
        <f aca="false">E21</f>
        <v>10</v>
      </c>
      <c r="H21" s="80" t="n">
        <f aca="false">MAX('Divisão dos Circuitos'!E21, 'Capac.Cond.Corre.'!L21, 'Queda de Tensão'!K21)</f>
        <v>2.5</v>
      </c>
      <c r="I21" s="79" t="str">
        <f aca="false">'Capac.Cond.Corre.'!I21</f>
        <v>B1</v>
      </c>
      <c r="J21" s="79" t="str">
        <f aca="false">'Capac.Cond.Corre.'!J21</f>
        <v>PVC</v>
      </c>
      <c r="K21" s="79" t="n">
        <f aca="false">'Capac.Cond.Corre.'!K21</f>
        <v>2</v>
      </c>
      <c r="L21" s="80" t="n">
        <v>24</v>
      </c>
      <c r="M21" s="80" t="n">
        <v>1</v>
      </c>
      <c r="N21" s="80" t="n">
        <f aca="false">'Capac.Cond.Corre.'!G21</f>
        <v>0.7</v>
      </c>
      <c r="O21" s="80" t="n">
        <f aca="false">L21*M21*N21</f>
        <v>16.8</v>
      </c>
      <c r="P21" s="80" t="str">
        <f aca="false">IF(O21&gt;=E21, "SIM", "NÃO")</f>
        <v>SIM</v>
      </c>
      <c r="Q21" s="80" t="n">
        <f aca="false">IF(P21="SIM", H21, IF(H21=1.5, 2.5, IF(H21=2.5, 4, 6)))</f>
        <v>2.5</v>
      </c>
      <c r="R21" s="53"/>
      <c r="S21" s="53"/>
      <c r="T21" s="53"/>
      <c r="U21" s="53"/>
      <c r="V21" s="53"/>
      <c r="W21" s="53"/>
      <c r="X21" s="53"/>
      <c r="Y21" s="53"/>
      <c r="Z21" s="53"/>
    </row>
    <row r="22" customFormat="false" ht="15" hidden="false" customHeight="true" outlineLevel="0" collapsed="false">
      <c r="A22" s="79" t="s">
        <v>148</v>
      </c>
      <c r="B22" s="79" t="s">
        <v>143</v>
      </c>
      <c r="C22" s="79" t="s">
        <v>149</v>
      </c>
      <c r="D22" s="80" t="n">
        <f aca="false">'Divisão dos Circuitos'!K22</f>
        <v>10.9090909090909</v>
      </c>
      <c r="E22" s="80" t="n">
        <f aca="false">'Divisão dos Circuitos'!M22</f>
        <v>16</v>
      </c>
      <c r="F22" s="79" t="n">
        <v>30</v>
      </c>
      <c r="G22" s="80" t="n">
        <f aca="false">E22</f>
        <v>16</v>
      </c>
      <c r="H22" s="80" t="n">
        <f aca="false">MAX('Divisão dos Circuitos'!E22, 'Capac.Cond.Corre.'!L22, 'Queda de Tensão'!K22)</f>
        <v>2.5</v>
      </c>
      <c r="I22" s="79" t="str">
        <f aca="false">'Capac.Cond.Corre.'!I22</f>
        <v>B2</v>
      </c>
      <c r="J22" s="79" t="str">
        <f aca="false">'Capac.Cond.Corre.'!J22</f>
        <v>PVC</v>
      </c>
      <c r="K22" s="79" t="n">
        <f aca="false">'Capac.Cond.Corre.'!K22</f>
        <v>2</v>
      </c>
      <c r="L22" s="80" t="n">
        <v>23</v>
      </c>
      <c r="M22" s="80" t="n">
        <v>1</v>
      </c>
      <c r="N22" s="80" t="n">
        <f aca="false">'Capac.Cond.Corre.'!G22</f>
        <v>1</v>
      </c>
      <c r="O22" s="80" t="n">
        <f aca="false">L22*M22*N22</f>
        <v>23</v>
      </c>
      <c r="P22" s="80" t="str">
        <f aca="false">IF(O22&gt;=E22, "SIM", "NÃO")</f>
        <v>SIM</v>
      </c>
      <c r="Q22" s="80" t="n">
        <f aca="false">IF(P22="SIM", H22, IF(H22=1.5, 2.5, IF(H22=2.5, 4, 6)))</f>
        <v>2.5</v>
      </c>
      <c r="R22" s="53"/>
      <c r="S22" s="53"/>
      <c r="T22" s="53"/>
      <c r="U22" s="53"/>
      <c r="V22" s="53"/>
      <c r="W22" s="53"/>
      <c r="X22" s="53"/>
      <c r="Y22" s="53"/>
      <c r="Z22" s="53"/>
    </row>
    <row r="23" customFormat="false" ht="15" hidden="false" customHeight="true" outlineLevel="0" collapsed="false">
      <c r="A23" s="79" t="s">
        <v>150</v>
      </c>
      <c r="B23" s="79" t="s">
        <v>143</v>
      </c>
      <c r="C23" s="79" t="s">
        <v>151</v>
      </c>
      <c r="D23" s="80" t="n">
        <f aca="false">'Divisão dos Circuitos'!K23</f>
        <v>8.18181818181818</v>
      </c>
      <c r="E23" s="80" t="n">
        <f aca="false">'Divisão dos Circuitos'!M23</f>
        <v>10</v>
      </c>
      <c r="F23" s="79" t="n">
        <v>30</v>
      </c>
      <c r="G23" s="80" t="n">
        <f aca="false">E23</f>
        <v>10</v>
      </c>
      <c r="H23" s="80" t="n">
        <f aca="false">MAX('Divisão dos Circuitos'!E23, 'Capac.Cond.Corre.'!L23, 'Queda de Tensão'!K23)</f>
        <v>2.5</v>
      </c>
      <c r="I23" s="79" t="str">
        <f aca="false">'Capac.Cond.Corre.'!I23</f>
        <v>B2</v>
      </c>
      <c r="J23" s="79" t="str">
        <f aca="false">'Capac.Cond.Corre.'!J23</f>
        <v>PVC</v>
      </c>
      <c r="K23" s="79" t="n">
        <f aca="false">'Capac.Cond.Corre.'!K23</f>
        <v>2</v>
      </c>
      <c r="L23" s="80" t="n">
        <v>23</v>
      </c>
      <c r="M23" s="80" t="n">
        <v>1</v>
      </c>
      <c r="N23" s="80" t="n">
        <f aca="false">'Capac.Cond.Corre.'!G23</f>
        <v>1</v>
      </c>
      <c r="O23" s="80" t="n">
        <f aca="false">L23*M23*N23</f>
        <v>23</v>
      </c>
      <c r="P23" s="80" t="str">
        <f aca="false">IF(O23&gt;=E23, "SIM", "NÃO")</f>
        <v>SIM</v>
      </c>
      <c r="Q23" s="80" t="n">
        <f aca="false">IF(P23="SIM", H23, IF(H23=1.5, 2.5, IF(H23=2.5, 4, 6)))</f>
        <v>2.5</v>
      </c>
      <c r="R23" s="53"/>
      <c r="S23" s="53"/>
      <c r="T23" s="53"/>
      <c r="U23" s="53"/>
      <c r="V23" s="53"/>
      <c r="W23" s="53"/>
      <c r="X23" s="53"/>
      <c r="Y23" s="53"/>
      <c r="Z23" s="53"/>
    </row>
    <row r="24" customFormat="false" ht="15" hidden="false" customHeight="true" outlineLevel="0" collapsed="false">
      <c r="A24" s="79" t="s">
        <v>152</v>
      </c>
      <c r="B24" s="79" t="s">
        <v>143</v>
      </c>
      <c r="C24" s="79" t="s">
        <v>153</v>
      </c>
      <c r="D24" s="80" t="n">
        <f aca="false">'Divisão dos Circuitos'!K24</f>
        <v>10.9090909090909</v>
      </c>
      <c r="E24" s="80" t="n">
        <f aca="false">'Divisão dos Circuitos'!M24</f>
        <v>16</v>
      </c>
      <c r="F24" s="79" t="n">
        <v>30</v>
      </c>
      <c r="G24" s="80" t="n">
        <f aca="false">E24</f>
        <v>16</v>
      </c>
      <c r="H24" s="80" t="n">
        <f aca="false">MAX('Divisão dos Circuitos'!E24, 'Capac.Cond.Corre.'!L24, 'Queda de Tensão'!K24)</f>
        <v>4</v>
      </c>
      <c r="I24" s="79" t="str">
        <f aca="false">'Capac.Cond.Corre.'!I24</f>
        <v>B2</v>
      </c>
      <c r="J24" s="79" t="str">
        <f aca="false">'Capac.Cond.Corre.'!J24</f>
        <v>PVC</v>
      </c>
      <c r="K24" s="79" t="n">
        <f aca="false">'Capac.Cond.Corre.'!K24</f>
        <v>2</v>
      </c>
      <c r="L24" s="80" t="n">
        <v>30</v>
      </c>
      <c r="M24" s="80" t="n">
        <v>1</v>
      </c>
      <c r="N24" s="80" t="n">
        <f aca="false">'Capac.Cond.Corre.'!G24</f>
        <v>1</v>
      </c>
      <c r="O24" s="80" t="n">
        <f aca="false">L24*M24*N24</f>
        <v>30</v>
      </c>
      <c r="P24" s="80" t="str">
        <f aca="false">IF(O24&gt;=E24, "SIM", "NÃO")</f>
        <v>SIM</v>
      </c>
      <c r="Q24" s="80" t="n">
        <f aca="false">IF(P24="SIM", H24, IF(H24=1.5, 2.5, IF(H24=2.5, 4, 6)))</f>
        <v>4</v>
      </c>
      <c r="R24" s="53"/>
      <c r="S24" s="53"/>
      <c r="T24" s="53"/>
      <c r="U24" s="53"/>
      <c r="V24" s="53"/>
      <c r="W24" s="53"/>
      <c r="X24" s="53"/>
      <c r="Y24" s="53"/>
      <c r="Z24" s="53"/>
    </row>
    <row r="25" customFormat="false" ht="15" hidden="false" customHeight="true" outlineLevel="0" collapsed="false">
      <c r="A25" s="79" t="s">
        <v>154</v>
      </c>
      <c r="B25" s="79" t="s">
        <v>143</v>
      </c>
      <c r="C25" s="79" t="s">
        <v>155</v>
      </c>
      <c r="D25" s="80" t="n">
        <f aca="false">'Divisão dos Circuitos'!K25</f>
        <v>8.18181818181818</v>
      </c>
      <c r="E25" s="80" t="n">
        <f aca="false">'Divisão dos Circuitos'!M25</f>
        <v>10</v>
      </c>
      <c r="F25" s="79" t="n">
        <v>30</v>
      </c>
      <c r="G25" s="80" t="n">
        <f aca="false">E25</f>
        <v>10</v>
      </c>
      <c r="H25" s="80" t="n">
        <f aca="false">MAX('Divisão dos Circuitos'!E25, 'Capac.Cond.Corre.'!L25, 'Queda de Tensão'!K25)</f>
        <v>2.5</v>
      </c>
      <c r="I25" s="79" t="str">
        <f aca="false">'Capac.Cond.Corre.'!I25</f>
        <v>B2</v>
      </c>
      <c r="J25" s="79" t="str">
        <f aca="false">'Capac.Cond.Corre.'!J25</f>
        <v>PVC</v>
      </c>
      <c r="K25" s="79" t="n">
        <f aca="false">'Capac.Cond.Corre.'!K25</f>
        <v>2</v>
      </c>
      <c r="L25" s="80" t="n">
        <v>23</v>
      </c>
      <c r="M25" s="80" t="n">
        <v>1</v>
      </c>
      <c r="N25" s="80" t="n">
        <f aca="false">'Capac.Cond.Corre.'!G25</f>
        <v>1</v>
      </c>
      <c r="O25" s="80" t="n">
        <f aca="false">L25*M25*N25</f>
        <v>23</v>
      </c>
      <c r="P25" s="80" t="str">
        <f aca="false">IF(O25&gt;=E25, "SIM", "NÃO")</f>
        <v>SIM</v>
      </c>
      <c r="Q25" s="80" t="n">
        <f aca="false">IF(P25="SIM", H25, IF(H25=1.5, 2.5, IF(H25=2.5, 4, 6)))</f>
        <v>2.5</v>
      </c>
      <c r="R25" s="53"/>
      <c r="S25" s="53"/>
      <c r="T25" s="53"/>
      <c r="U25" s="53"/>
      <c r="V25" s="53"/>
      <c r="W25" s="53"/>
      <c r="X25" s="53"/>
      <c r="Y25" s="53"/>
      <c r="Z25" s="53"/>
    </row>
    <row r="26" customFormat="false" ht="15.75" hidden="false" customHeight="true" outlineLevel="0" collapsed="false">
      <c r="A26" s="79" t="s">
        <v>156</v>
      </c>
      <c r="B26" s="79" t="s">
        <v>143</v>
      </c>
      <c r="C26" s="79" t="s">
        <v>157</v>
      </c>
      <c r="D26" s="80" t="n">
        <f aca="false">'Divisão dos Circuitos'!K26</f>
        <v>8.18181818181818</v>
      </c>
      <c r="E26" s="80" t="n">
        <f aca="false">'Divisão dos Circuitos'!M26</f>
        <v>10</v>
      </c>
      <c r="F26" s="79" t="n">
        <v>30</v>
      </c>
      <c r="G26" s="80" t="n">
        <f aca="false">E26</f>
        <v>10</v>
      </c>
      <c r="H26" s="80" t="n">
        <f aca="false">MAX('Divisão dos Circuitos'!E26, 'Capac.Cond.Corre.'!L26, 'Queda de Tensão'!K26)</f>
        <v>2.5</v>
      </c>
      <c r="I26" s="79" t="str">
        <f aca="false">'Capac.Cond.Corre.'!I26</f>
        <v>B2</v>
      </c>
      <c r="J26" s="79" t="str">
        <f aca="false">'Capac.Cond.Corre.'!J26</f>
        <v>PVC</v>
      </c>
      <c r="K26" s="79" t="n">
        <f aca="false">'Capac.Cond.Corre.'!K26</f>
        <v>2</v>
      </c>
      <c r="L26" s="80" t="n">
        <v>23</v>
      </c>
      <c r="M26" s="80" t="n">
        <v>1</v>
      </c>
      <c r="N26" s="80" t="n">
        <f aca="false">'Capac.Cond.Corre.'!G26</f>
        <v>1</v>
      </c>
      <c r="O26" s="80" t="n">
        <f aca="false">L26*M26*N26</f>
        <v>23</v>
      </c>
      <c r="P26" s="79" t="str">
        <f aca="false">IF(O26&gt;=E26, "SIM", "NÃO")</f>
        <v>SIM</v>
      </c>
      <c r="Q26" s="80" t="n">
        <f aca="false">IF(P26="SIM", H26, IF(H26=1.5, 2.5, IF(H26=2.5, 4, 6)))</f>
        <v>2.5</v>
      </c>
      <c r="R26" s="53"/>
      <c r="S26" s="53"/>
      <c r="T26" s="53"/>
      <c r="U26" s="53"/>
      <c r="V26" s="53"/>
      <c r="W26" s="53"/>
      <c r="X26" s="53"/>
      <c r="Y26" s="53"/>
      <c r="Z26" s="53"/>
    </row>
    <row r="27" customFormat="false" ht="15.75" hidden="false" customHeight="true" outlineLevel="0" collapsed="false">
      <c r="A27" s="79" t="s">
        <v>158</v>
      </c>
      <c r="B27" s="79" t="s">
        <v>143</v>
      </c>
      <c r="C27" s="79" t="s">
        <v>159</v>
      </c>
      <c r="D27" s="80" t="n">
        <f aca="false">'Divisão dos Circuitos'!K27</f>
        <v>8.18181818181818</v>
      </c>
      <c r="E27" s="80" t="n">
        <f aca="false">'Divisão dos Circuitos'!M27</f>
        <v>10</v>
      </c>
      <c r="F27" s="79" t="n">
        <v>30</v>
      </c>
      <c r="G27" s="80" t="n">
        <f aca="false">E27</f>
        <v>10</v>
      </c>
      <c r="H27" s="80" t="n">
        <f aca="false">MAX('Divisão dos Circuitos'!E27, 'Capac.Cond.Corre.'!L27, 'Queda de Tensão'!K27)</f>
        <v>2.5</v>
      </c>
      <c r="I27" s="79" t="str">
        <f aca="false">'Capac.Cond.Corre.'!I27</f>
        <v>B2</v>
      </c>
      <c r="J27" s="79" t="str">
        <f aca="false">'Capac.Cond.Corre.'!J27</f>
        <v>PVC</v>
      </c>
      <c r="K27" s="79" t="n">
        <f aca="false">'Capac.Cond.Corre.'!K27</f>
        <v>2</v>
      </c>
      <c r="L27" s="80" t="n">
        <v>23</v>
      </c>
      <c r="M27" s="80" t="n">
        <v>1</v>
      </c>
      <c r="N27" s="80" t="n">
        <f aca="false">'Capac.Cond.Corre.'!G27</f>
        <v>1</v>
      </c>
      <c r="O27" s="80" t="n">
        <f aca="false">L27*M27*N27</f>
        <v>23</v>
      </c>
      <c r="P27" s="79" t="str">
        <f aca="false">IF(O27&gt;=E27, "SIM", "NÃO")</f>
        <v>SIM</v>
      </c>
      <c r="Q27" s="80" t="n">
        <f aca="false">IF(P27="SIM", H27, IF(H27=1.5, 2.5, IF(H27=2.5, 4, 6)))</f>
        <v>2.5</v>
      </c>
      <c r="R27" s="53"/>
      <c r="S27" s="53"/>
      <c r="T27" s="53"/>
      <c r="U27" s="53"/>
      <c r="V27" s="53"/>
      <c r="W27" s="53"/>
      <c r="X27" s="53"/>
      <c r="Y27" s="53"/>
      <c r="Z27" s="53"/>
    </row>
    <row r="28" customFormat="false" ht="15" hidden="false" customHeight="true" outlineLevel="0" collapsed="false">
      <c r="A28" s="79" t="s">
        <v>160</v>
      </c>
      <c r="B28" s="79" t="s">
        <v>143</v>
      </c>
      <c r="C28" s="79" t="s">
        <v>149</v>
      </c>
      <c r="D28" s="80" t="n">
        <f aca="false">'Divisão dos Circuitos'!K28</f>
        <v>18.2321137638829</v>
      </c>
      <c r="E28" s="80" t="n">
        <f aca="false">'Divisão dos Circuitos'!M28</f>
        <v>20</v>
      </c>
      <c r="F28" s="79" t="n">
        <v>30</v>
      </c>
      <c r="G28" s="80" t="n">
        <f aca="false">E28</f>
        <v>20</v>
      </c>
      <c r="H28" s="80" t="n">
        <f aca="false">MAX('Divisão dos Circuitos'!E28, 'Capac.Cond.Corre.'!L28, 'Queda de Tensão'!K28)</f>
        <v>2.5</v>
      </c>
      <c r="I28" s="79" t="str">
        <f aca="false">'Capac.Cond.Corre.'!I28</f>
        <v>B2</v>
      </c>
      <c r="J28" s="79" t="str">
        <f aca="false">'Capac.Cond.Corre.'!J28</f>
        <v>PVC</v>
      </c>
      <c r="K28" s="79" t="n">
        <f aca="false">'Capac.Cond.Corre.'!K28</f>
        <v>3</v>
      </c>
      <c r="L28" s="80" t="n">
        <v>20</v>
      </c>
      <c r="M28" s="80" t="n">
        <v>1</v>
      </c>
      <c r="N28" s="80" t="n">
        <f aca="false">'Capac.Cond.Corre.'!G28</f>
        <v>1</v>
      </c>
      <c r="O28" s="80" t="n">
        <f aca="false">L28*M28*N28</f>
        <v>20</v>
      </c>
      <c r="P28" s="80" t="str">
        <f aca="false">IF(O28&gt;=E28, "SIM", "NÃO")</f>
        <v>SIM</v>
      </c>
      <c r="Q28" s="80" t="n">
        <f aca="false">IF(P28="SIM", H28, IF(H28=1.5, 2.5, IF(H28=2.5, 4, 6)))</f>
        <v>2.5</v>
      </c>
      <c r="R28" s="53"/>
      <c r="S28" s="53"/>
      <c r="T28" s="53"/>
      <c r="U28" s="53"/>
      <c r="V28" s="53"/>
      <c r="W28" s="53"/>
      <c r="X28" s="53"/>
      <c r="Y28" s="53"/>
      <c r="Z28" s="53"/>
    </row>
    <row r="29" customFormat="false" ht="15" hidden="false" customHeight="true" outlineLevel="0" collapsed="false">
      <c r="A29" s="79" t="s">
        <v>161</v>
      </c>
      <c r="B29" s="79" t="s">
        <v>143</v>
      </c>
      <c r="C29" s="79" t="s">
        <v>151</v>
      </c>
      <c r="D29" s="80" t="n">
        <f aca="false">'Divisão dos Circuitos'!K29</f>
        <v>18.2321137638829</v>
      </c>
      <c r="E29" s="80" t="n">
        <f aca="false">'Divisão dos Circuitos'!M29</f>
        <v>20</v>
      </c>
      <c r="F29" s="79" t="n">
        <v>30</v>
      </c>
      <c r="G29" s="80" t="n">
        <f aca="false">E29</f>
        <v>20</v>
      </c>
      <c r="H29" s="80" t="n">
        <f aca="false">MAX('Divisão dos Circuitos'!E29, 'Capac.Cond.Corre.'!L29, 'Queda de Tensão'!K29)</f>
        <v>2.5</v>
      </c>
      <c r="I29" s="79" t="str">
        <f aca="false">'Capac.Cond.Corre.'!I29</f>
        <v>B2</v>
      </c>
      <c r="J29" s="79" t="str">
        <f aca="false">'Capac.Cond.Corre.'!J29</f>
        <v>PVC</v>
      </c>
      <c r="K29" s="79" t="n">
        <f aca="false">'Capac.Cond.Corre.'!K29</f>
        <v>3</v>
      </c>
      <c r="L29" s="80" t="n">
        <v>20</v>
      </c>
      <c r="M29" s="80" t="n">
        <v>1</v>
      </c>
      <c r="N29" s="80" t="n">
        <f aca="false">'Capac.Cond.Corre.'!G29</f>
        <v>1</v>
      </c>
      <c r="O29" s="80" t="n">
        <f aca="false">L29*M29*N29</f>
        <v>20</v>
      </c>
      <c r="P29" s="80" t="str">
        <f aca="false">IF(O29&gt;=E29, "SIM", "NÃO")</f>
        <v>SIM</v>
      </c>
      <c r="Q29" s="80" t="n">
        <f aca="false">IF(P29="SIM", H29, IF(H29=1.5, 2.5, IF(H29=2.5, 4, 6)))</f>
        <v>2.5</v>
      </c>
      <c r="R29" s="53"/>
      <c r="S29" s="53"/>
      <c r="T29" s="53"/>
      <c r="U29" s="53"/>
      <c r="V29" s="53"/>
      <c r="W29" s="53"/>
      <c r="X29" s="53"/>
      <c r="Y29" s="53"/>
      <c r="Z29" s="53"/>
    </row>
    <row r="30" customFormat="false" ht="15.75" hidden="false" customHeight="true" outlineLevel="0" collapsed="false">
      <c r="A30" s="79" t="s">
        <v>162</v>
      </c>
      <c r="B30" s="79" t="s">
        <v>143</v>
      </c>
      <c r="C30" s="79" t="s">
        <v>153</v>
      </c>
      <c r="D30" s="80" t="n">
        <f aca="false">'Divisão dos Circuitos'!K30</f>
        <v>18.2321137638829</v>
      </c>
      <c r="E30" s="80" t="n">
        <f aca="false">'Divisão dos Circuitos'!M30</f>
        <v>20</v>
      </c>
      <c r="F30" s="79" t="n">
        <v>30</v>
      </c>
      <c r="G30" s="80" t="n">
        <f aca="false">E30</f>
        <v>20</v>
      </c>
      <c r="H30" s="80" t="n">
        <f aca="false">MAX('Divisão dos Circuitos'!E30, 'Capac.Cond.Corre.'!L30, 'Queda de Tensão'!K30)</f>
        <v>4</v>
      </c>
      <c r="I30" s="79" t="str">
        <f aca="false">'Capac.Cond.Corre.'!I30</f>
        <v>B2</v>
      </c>
      <c r="J30" s="79" t="str">
        <f aca="false">'Capac.Cond.Corre.'!J30</f>
        <v>PVC</v>
      </c>
      <c r="K30" s="79" t="n">
        <f aca="false">'Capac.Cond.Corre.'!K30</f>
        <v>3</v>
      </c>
      <c r="L30" s="80" t="n">
        <v>27</v>
      </c>
      <c r="M30" s="80" t="n">
        <v>1</v>
      </c>
      <c r="N30" s="80" t="n">
        <f aca="false">'Capac.Cond.Corre.'!G30</f>
        <v>1</v>
      </c>
      <c r="O30" s="80" t="n">
        <f aca="false">L30*M30*N30</f>
        <v>27</v>
      </c>
      <c r="P30" s="79" t="str">
        <f aca="false">IF(O30&gt;=E30, "SIM", "NÃO")</f>
        <v>SIM</v>
      </c>
      <c r="Q30" s="80" t="n">
        <f aca="false">IF(P30="SIM", H30, IF(H30=1.5, 2.5, IF(H30=2.5, 4, 6)))</f>
        <v>4</v>
      </c>
      <c r="R30" s="53"/>
      <c r="S30" s="53"/>
      <c r="T30" s="53"/>
      <c r="U30" s="53"/>
      <c r="V30" s="53"/>
      <c r="W30" s="53"/>
      <c r="X30" s="53"/>
      <c r="Y30" s="53"/>
      <c r="Z30" s="53"/>
    </row>
    <row r="31" customFormat="false" ht="15.75" hidden="false" customHeight="true" outlineLevel="0" collapsed="false">
      <c r="A31" s="79" t="s">
        <v>163</v>
      </c>
      <c r="B31" s="79" t="s">
        <v>143</v>
      </c>
      <c r="C31" s="79" t="s">
        <v>53</v>
      </c>
      <c r="D31" s="80" t="n">
        <f aca="false">'Divisão dos Circuitos'!K31</f>
        <v>27.3481706458244</v>
      </c>
      <c r="E31" s="80" t="n">
        <f aca="false">'Divisão dos Circuitos'!M31</f>
        <v>32</v>
      </c>
      <c r="F31" s="79" t="n">
        <v>30</v>
      </c>
      <c r="G31" s="80" t="n">
        <f aca="false">E31</f>
        <v>32</v>
      </c>
      <c r="H31" s="80" t="n">
        <f aca="false">MAX('Divisão dos Circuitos'!E31, 'Capac.Cond.Corre.'!L31, 'Queda de Tensão'!K31)</f>
        <v>6</v>
      </c>
      <c r="I31" s="79" t="str">
        <f aca="false">'Capac.Cond.Corre.'!I31</f>
        <v>B2</v>
      </c>
      <c r="J31" s="79" t="str">
        <f aca="false">'Capac.Cond.Corre.'!J31</f>
        <v>PVC</v>
      </c>
      <c r="K31" s="79" t="n">
        <f aca="false">'Capac.Cond.Corre.'!K31</f>
        <v>3</v>
      </c>
      <c r="L31" s="80" t="n">
        <v>34</v>
      </c>
      <c r="M31" s="80" t="n">
        <v>1</v>
      </c>
      <c r="N31" s="80" t="n">
        <f aca="false">'Capac.Cond.Corre.'!G31</f>
        <v>1</v>
      </c>
      <c r="O31" s="80" t="n">
        <f aca="false">L31*M31*N31</f>
        <v>34</v>
      </c>
      <c r="P31" s="79" t="str">
        <f aca="false">IF(O31&gt;=E31, "SIM", "NÃO")</f>
        <v>SIM</v>
      </c>
      <c r="Q31" s="80" t="n">
        <f aca="false">IF(P31="SIM", H31, IF(H31=1.5, 2.5, IF(H31=2.5, 4, 6)))</f>
        <v>6</v>
      </c>
      <c r="R31" s="53"/>
      <c r="S31" s="53"/>
      <c r="T31" s="53"/>
      <c r="U31" s="53"/>
      <c r="V31" s="53"/>
      <c r="W31" s="53"/>
      <c r="X31" s="53"/>
      <c r="Y31" s="53"/>
      <c r="Z31" s="53"/>
    </row>
    <row r="32" customFormat="false" ht="15.75" hidden="false" customHeight="true" outlineLevel="0" collapsed="false">
      <c r="A32" s="79" t="s">
        <v>164</v>
      </c>
      <c r="B32" s="79" t="s">
        <v>143</v>
      </c>
      <c r="C32" s="79" t="s">
        <v>165</v>
      </c>
      <c r="D32" s="80" t="n">
        <f aca="false">'Divisão dos Circuitos'!K32</f>
        <v>13.9146567717996</v>
      </c>
      <c r="E32" s="80" t="n">
        <f aca="false">'Divisão dos Circuitos'!M32</f>
        <v>16</v>
      </c>
      <c r="F32" s="79" t="n">
        <v>30</v>
      </c>
      <c r="G32" s="80" t="n">
        <f aca="false">E32</f>
        <v>16</v>
      </c>
      <c r="H32" s="80" t="n">
        <f aca="false">MAX('Divisão dos Circuitos'!E32, 'Capac.Cond.Corre.'!L32, 'Queda de Tensão'!K32)</f>
        <v>2.5</v>
      </c>
      <c r="I32" s="79" t="str">
        <f aca="false">'Capac.Cond.Corre.'!I32</f>
        <v>B1</v>
      </c>
      <c r="J32" s="79" t="str">
        <f aca="false">'Capac.Cond.Corre.'!J32</f>
        <v>PVC</v>
      </c>
      <c r="K32" s="79" t="n">
        <f aca="false">'Capac.Cond.Corre.'!K32</f>
        <v>2</v>
      </c>
      <c r="L32" s="80" t="n">
        <v>24</v>
      </c>
      <c r="M32" s="80" t="n">
        <v>1</v>
      </c>
      <c r="N32" s="80" t="n">
        <f aca="false">'Capac.Cond.Corre.'!G32</f>
        <v>0.7</v>
      </c>
      <c r="O32" s="80" t="n">
        <f aca="false">L32*M32*N32</f>
        <v>16.8</v>
      </c>
      <c r="P32" s="79" t="str">
        <f aca="false">IF(O32&gt;=E32, "SIM", "NÃO")</f>
        <v>SIM</v>
      </c>
      <c r="Q32" s="80" t="n">
        <f aca="false">IF(P32="SIM", H32, IF(H32=1.5, 2.5, IF(H32=2.5, 4, 6)))</f>
        <v>2.5</v>
      </c>
      <c r="R32" s="53"/>
      <c r="S32" s="53"/>
      <c r="T32" s="53"/>
      <c r="U32" s="53"/>
      <c r="V32" s="53"/>
      <c r="W32" s="53"/>
      <c r="X32" s="53"/>
      <c r="Y32" s="53"/>
      <c r="Z32" s="53"/>
    </row>
    <row r="33" customFormat="false" ht="15.75" hidden="false" customHeight="true" outlineLevel="0" collapsed="false">
      <c r="A33" s="79" t="s">
        <v>166</v>
      </c>
      <c r="B33" s="79" t="s">
        <v>143</v>
      </c>
      <c r="C33" s="79" t="s">
        <v>155</v>
      </c>
      <c r="D33" s="80" t="n">
        <f aca="false">'Divisão dos Circuitos'!K33</f>
        <v>18.2321137638829</v>
      </c>
      <c r="E33" s="80" t="n">
        <f aca="false">'Divisão dos Circuitos'!M33</f>
        <v>20</v>
      </c>
      <c r="F33" s="79" t="n">
        <v>30</v>
      </c>
      <c r="G33" s="80" t="n">
        <f aca="false">E33</f>
        <v>20</v>
      </c>
      <c r="H33" s="80" t="n">
        <f aca="false">MAX('Divisão dos Circuitos'!E33, 'Capac.Cond.Corre.'!L33, 'Queda de Tensão'!K33)</f>
        <v>2.5</v>
      </c>
      <c r="I33" s="79" t="str">
        <f aca="false">'Capac.Cond.Corre.'!I33</f>
        <v>B2</v>
      </c>
      <c r="J33" s="79" t="str">
        <f aca="false">'Capac.Cond.Corre.'!J33</f>
        <v>PVC</v>
      </c>
      <c r="K33" s="79" t="n">
        <f aca="false">'Capac.Cond.Corre.'!K33</f>
        <v>3</v>
      </c>
      <c r="L33" s="80" t="n">
        <v>20</v>
      </c>
      <c r="M33" s="80" t="n">
        <v>1</v>
      </c>
      <c r="N33" s="80" t="n">
        <f aca="false">'Capac.Cond.Corre.'!G33</f>
        <v>1</v>
      </c>
      <c r="O33" s="80" t="n">
        <f aca="false">L33*M33*N33</f>
        <v>20</v>
      </c>
      <c r="P33" s="79" t="str">
        <f aca="false">IF(O33&gt;=E33, "SIM", "NÃO")</f>
        <v>SIM</v>
      </c>
      <c r="Q33" s="80" t="n">
        <f aca="false">IF(P33="SIM", H33, IF(H33=1.5, 2.5, IF(H33=2.5, 4, 6)))</f>
        <v>2.5</v>
      </c>
      <c r="R33" s="53"/>
      <c r="S33" s="53"/>
      <c r="T33" s="53"/>
      <c r="U33" s="53"/>
      <c r="V33" s="53"/>
      <c r="W33" s="53"/>
      <c r="X33" s="53"/>
      <c r="Y33" s="53"/>
      <c r="Z33" s="53"/>
    </row>
    <row r="34" customFormat="false" ht="15.75" hidden="false" customHeight="true" outlineLevel="0" collapsed="false">
      <c r="A34" s="79" t="s">
        <v>167</v>
      </c>
      <c r="B34" s="79" t="s">
        <v>143</v>
      </c>
      <c r="C34" s="79" t="s">
        <v>90</v>
      </c>
      <c r="D34" s="80" t="n">
        <f aca="false">'Divisão dos Circuitos'!K34</f>
        <v>12.7272727272727</v>
      </c>
      <c r="E34" s="80" t="n">
        <f aca="false">'Divisão dos Circuitos'!M34</f>
        <v>16</v>
      </c>
      <c r="F34" s="79" t="n">
        <v>30</v>
      </c>
      <c r="G34" s="80" t="n">
        <f aca="false">E34</f>
        <v>16</v>
      </c>
      <c r="H34" s="80" t="n">
        <f aca="false">MAX('Divisão dos Circuitos'!E34, 'Capac.Cond.Corre.'!L34, 'Queda de Tensão'!K34)</f>
        <v>4</v>
      </c>
      <c r="I34" s="79" t="str">
        <f aca="false">'Capac.Cond.Corre.'!I34</f>
        <v>B2</v>
      </c>
      <c r="J34" s="79" t="str">
        <f aca="false">'Capac.Cond.Corre.'!J34</f>
        <v>PVC</v>
      </c>
      <c r="K34" s="79" t="n">
        <f aca="false">'Capac.Cond.Corre.'!K34</f>
        <v>2</v>
      </c>
      <c r="L34" s="80" t="n">
        <v>30</v>
      </c>
      <c r="M34" s="80" t="n">
        <v>1</v>
      </c>
      <c r="N34" s="80" t="n">
        <f aca="false">'Capac.Cond.Corre.'!G34</f>
        <v>1</v>
      </c>
      <c r="O34" s="80" t="n">
        <f aca="false">L34*M34*N34</f>
        <v>30</v>
      </c>
      <c r="P34" s="79" t="str">
        <f aca="false">IF(O34&gt;=E34, "SIM", "NÃO")</f>
        <v>SIM</v>
      </c>
      <c r="Q34" s="80" t="n">
        <f aca="false">IF(P34="SIM", H34, IF(H34=1.5, 2.5, IF(H34=2.5, 4, 6)))</f>
        <v>4</v>
      </c>
      <c r="R34" s="53"/>
      <c r="S34" s="53"/>
      <c r="T34" s="53"/>
      <c r="U34" s="53"/>
      <c r="V34" s="53"/>
      <c r="W34" s="53"/>
      <c r="X34" s="53"/>
      <c r="Y34" s="53"/>
      <c r="Z34" s="53"/>
    </row>
    <row r="35" customFormat="false" ht="15.75" hidden="false" customHeight="true" outlineLevel="0" collapsed="false">
      <c r="A35" s="79" t="s">
        <v>168</v>
      </c>
      <c r="B35" s="79" t="s">
        <v>143</v>
      </c>
      <c r="C35" s="79" t="s">
        <v>91</v>
      </c>
      <c r="D35" s="80" t="n">
        <f aca="false">'Divisão dos Circuitos'!K35</f>
        <v>17.8947368421053</v>
      </c>
      <c r="E35" s="80" t="n">
        <f aca="false">'Divisão dos Circuitos'!M35</f>
        <v>20</v>
      </c>
      <c r="F35" s="79" t="n">
        <v>30</v>
      </c>
      <c r="G35" s="80" t="n">
        <f aca="false">E35</f>
        <v>20</v>
      </c>
      <c r="H35" s="80" t="n">
        <f aca="false">MAX('Divisão dos Circuitos'!E35, 'Capac.Cond.Corre.'!L35, 'Queda de Tensão'!K35)</f>
        <v>2.5</v>
      </c>
      <c r="I35" s="79" t="str">
        <f aca="false">'Capac.Cond.Corre.'!I35</f>
        <v>B2</v>
      </c>
      <c r="J35" s="79" t="str">
        <f aca="false">'Capac.Cond.Corre.'!J35</f>
        <v>PVC</v>
      </c>
      <c r="K35" s="79" t="n">
        <f aca="false">'Capac.Cond.Corre.'!K35</f>
        <v>2</v>
      </c>
      <c r="L35" s="80" t="n">
        <v>23</v>
      </c>
      <c r="M35" s="80" t="n">
        <v>1</v>
      </c>
      <c r="N35" s="80" t="n">
        <f aca="false">'Capac.Cond.Corre.'!G35</f>
        <v>1</v>
      </c>
      <c r="O35" s="80" t="n">
        <f aca="false">L35*M35*N35</f>
        <v>23</v>
      </c>
      <c r="P35" s="79" t="str">
        <f aca="false">IF(O35&gt;=E35, "SIM", "NÃO")</f>
        <v>SIM</v>
      </c>
      <c r="Q35" s="80" t="n">
        <f aca="false">IF(P35="SIM", H35, IF(H35=1.5, 2.5, IF(H35=2.5, 4, 6)))</f>
        <v>2.5</v>
      </c>
      <c r="R35" s="53"/>
      <c r="S35" s="53"/>
      <c r="T35" s="53"/>
      <c r="U35" s="53"/>
      <c r="V35" s="53"/>
      <c r="W35" s="53"/>
      <c r="X35" s="53"/>
      <c r="Y35" s="53"/>
      <c r="Z35" s="53"/>
    </row>
    <row r="36" customFormat="false" ht="15.75" hidden="false" customHeight="true" outlineLevel="0" collapsed="false">
      <c r="A36" s="78" t="s">
        <v>169</v>
      </c>
      <c r="B36" s="78"/>
      <c r="C36" s="78"/>
      <c r="D36" s="77"/>
      <c r="E36" s="77"/>
      <c r="F36" s="78"/>
      <c r="G36" s="78"/>
      <c r="H36" s="77"/>
      <c r="I36" s="78"/>
      <c r="J36" s="78"/>
      <c r="K36" s="78"/>
      <c r="L36" s="77"/>
      <c r="M36" s="77"/>
      <c r="N36" s="77"/>
      <c r="O36" s="77"/>
      <c r="P36" s="78"/>
      <c r="Q36" s="77"/>
      <c r="R36" s="53"/>
      <c r="S36" s="53"/>
      <c r="T36" s="53"/>
      <c r="U36" s="53"/>
      <c r="V36" s="53"/>
      <c r="W36" s="53"/>
      <c r="X36" s="53"/>
      <c r="Y36" s="53"/>
      <c r="Z36" s="53"/>
    </row>
    <row r="37" customFormat="false" ht="15.75" hidden="false" customHeight="true" outlineLevel="0" collapsed="false">
      <c r="A37" s="79" t="s">
        <v>170</v>
      </c>
      <c r="B37" s="79" t="s">
        <v>171</v>
      </c>
      <c r="C37" s="79" t="s">
        <v>172</v>
      </c>
      <c r="D37" s="80" t="n">
        <f aca="false">'Divisão dos Circuitos'!K37</f>
        <v>8.90909090909091</v>
      </c>
      <c r="E37" s="80" t="n">
        <f aca="false">'Divisão dos Circuitos'!M37</f>
        <v>10</v>
      </c>
      <c r="F37" s="79" t="n">
        <v>30</v>
      </c>
      <c r="G37" s="80" t="n">
        <f aca="false">E37</f>
        <v>10</v>
      </c>
      <c r="H37" s="80" t="n">
        <f aca="false">MAX('Divisão dos Circuitos'!E37, 'Capac.Cond.Corre.'!L37, 'Queda de Tensão'!K37)</f>
        <v>1.5</v>
      </c>
      <c r="I37" s="79" t="str">
        <f aca="false">'Capac.Cond.Corre.'!I37</f>
        <v>B1</v>
      </c>
      <c r="J37" s="79" t="str">
        <f aca="false">'Capac.Cond.Corre.'!J37</f>
        <v>PVC</v>
      </c>
      <c r="K37" s="79" t="n">
        <f aca="false">'Capac.Cond.Corre.'!K37</f>
        <v>2</v>
      </c>
      <c r="L37" s="80" t="n">
        <v>17.5</v>
      </c>
      <c r="M37" s="80" t="n">
        <v>1</v>
      </c>
      <c r="N37" s="80" t="n">
        <f aca="false">'Capac.Cond.Corre.'!G37</f>
        <v>0.7</v>
      </c>
      <c r="O37" s="80" t="n">
        <f aca="false">L37*M37*N37</f>
        <v>12.25</v>
      </c>
      <c r="P37" s="79" t="str">
        <f aca="false">IF(O37&gt;=E37, "SIM", "NÃO")</f>
        <v>SIM</v>
      </c>
      <c r="Q37" s="80" t="n">
        <f aca="false">IF(P37="SIM", H37, IF(H37=1.5, 2.5, IF(H37=2.5, 4, 6)))</f>
        <v>1.5</v>
      </c>
      <c r="R37" s="53"/>
      <c r="S37" s="53"/>
      <c r="T37" s="53"/>
      <c r="U37" s="53"/>
      <c r="V37" s="53"/>
      <c r="W37" s="53"/>
      <c r="X37" s="53"/>
      <c r="Y37" s="53"/>
      <c r="Z37" s="53"/>
    </row>
    <row r="38" customFormat="false" ht="15.75" hidden="false" customHeight="true" outlineLevel="0" collapsed="false">
      <c r="A38" s="79" t="s">
        <v>173</v>
      </c>
      <c r="B38" s="79" t="s">
        <v>171</v>
      </c>
      <c r="C38" s="79" t="s">
        <v>61</v>
      </c>
      <c r="D38" s="80" t="n">
        <f aca="false">'Divisão dos Circuitos'!K38</f>
        <v>9.09090909090909</v>
      </c>
      <c r="E38" s="80" t="n">
        <f aca="false">'Divisão dos Circuitos'!M38</f>
        <v>10</v>
      </c>
      <c r="F38" s="79" t="n">
        <v>30</v>
      </c>
      <c r="G38" s="80" t="n">
        <f aca="false">E38</f>
        <v>10</v>
      </c>
      <c r="H38" s="80" t="n">
        <f aca="false">MAX('Divisão dos Circuitos'!E38, 'Capac.Cond.Corre.'!L38, 'Queda de Tensão'!K38)</f>
        <v>2.5</v>
      </c>
      <c r="I38" s="79" t="str">
        <f aca="false">'Capac.Cond.Corre.'!I38</f>
        <v>B1</v>
      </c>
      <c r="J38" s="79" t="str">
        <f aca="false">'Capac.Cond.Corre.'!J38</f>
        <v>PVC</v>
      </c>
      <c r="K38" s="79" t="n">
        <f aca="false">'Capac.Cond.Corre.'!K38</f>
        <v>2</v>
      </c>
      <c r="L38" s="80" t="n">
        <v>24</v>
      </c>
      <c r="M38" s="80" t="n">
        <v>1</v>
      </c>
      <c r="N38" s="80" t="n">
        <f aca="false">'Capac.Cond.Corre.'!G38</f>
        <v>0.8</v>
      </c>
      <c r="O38" s="80" t="n">
        <f aca="false">L38*M38*N38</f>
        <v>19.2</v>
      </c>
      <c r="P38" s="79" t="str">
        <f aca="false">IF(O38&gt;=E38, "SIM", "NÃO")</f>
        <v>SIM</v>
      </c>
      <c r="Q38" s="80" t="n">
        <f aca="false">IF(P38="SIM", H38, IF(H38=1.5, 2.5, IF(H38=2.5, 4, 6)))</f>
        <v>2.5</v>
      </c>
      <c r="R38" s="53"/>
      <c r="S38" s="53"/>
      <c r="T38" s="53"/>
      <c r="U38" s="53"/>
      <c r="V38" s="53"/>
      <c r="W38" s="53"/>
      <c r="X38" s="53"/>
      <c r="Y38" s="53"/>
      <c r="Z38" s="53"/>
    </row>
    <row r="39" customFormat="false" ht="15.75" hidden="false" customHeight="true" outlineLevel="0" collapsed="false">
      <c r="A39" s="79" t="s">
        <v>174</v>
      </c>
      <c r="B39" s="79" t="s">
        <v>171</v>
      </c>
      <c r="C39" s="79" t="s">
        <v>175</v>
      </c>
      <c r="D39" s="80" t="n">
        <f aca="false">'Divisão dos Circuitos'!K39</f>
        <v>5.45454545454545</v>
      </c>
      <c r="E39" s="80" t="n">
        <f aca="false">'Divisão dos Circuitos'!M39</f>
        <v>10</v>
      </c>
      <c r="F39" s="79" t="n">
        <v>30</v>
      </c>
      <c r="G39" s="80" t="n">
        <f aca="false">E39</f>
        <v>10</v>
      </c>
      <c r="H39" s="80" t="n">
        <f aca="false">MAX('Divisão dos Circuitos'!E39, 'Capac.Cond.Corre.'!L39, 'Queda de Tensão'!K39)</f>
        <v>2.5</v>
      </c>
      <c r="I39" s="79" t="str">
        <f aca="false">'Capac.Cond.Corre.'!I39</f>
        <v>B1</v>
      </c>
      <c r="J39" s="79" t="str">
        <f aca="false">'Capac.Cond.Corre.'!J39</f>
        <v>PVC</v>
      </c>
      <c r="K39" s="79" t="n">
        <f aca="false">'Capac.Cond.Corre.'!K39</f>
        <v>2</v>
      </c>
      <c r="L39" s="80" t="n">
        <v>24</v>
      </c>
      <c r="M39" s="80" t="n">
        <v>1</v>
      </c>
      <c r="N39" s="80" t="n">
        <f aca="false">'Capac.Cond.Corre.'!G39</f>
        <v>0.7</v>
      </c>
      <c r="O39" s="80" t="n">
        <f aca="false">L39*M39*N39</f>
        <v>16.8</v>
      </c>
      <c r="P39" s="79" t="str">
        <f aca="false">IF(O39&gt;=E39, "SIM", "NÃO")</f>
        <v>SIM</v>
      </c>
      <c r="Q39" s="80" t="n">
        <f aca="false">IF(P39="SIM", H39, IF(H39=1.5, 2.5, IF(H39=2.5, 4, 6)))</f>
        <v>2.5</v>
      </c>
      <c r="R39" s="53"/>
      <c r="S39" s="53"/>
      <c r="T39" s="53"/>
      <c r="U39" s="53"/>
      <c r="V39" s="53"/>
      <c r="W39" s="53"/>
      <c r="X39" s="53"/>
      <c r="Y39" s="53"/>
      <c r="Z39" s="53"/>
    </row>
    <row r="40" customFormat="false" ht="15.75" hidden="false" customHeight="true" outlineLevel="0" collapsed="false">
      <c r="A40" s="79" t="s">
        <v>176</v>
      </c>
      <c r="B40" s="79" t="s">
        <v>171</v>
      </c>
      <c r="C40" s="79" t="s">
        <v>177</v>
      </c>
      <c r="D40" s="80" t="n">
        <f aca="false">'Divisão dos Circuitos'!K40</f>
        <v>13.1818181818182</v>
      </c>
      <c r="E40" s="80" t="n">
        <f aca="false">'Divisão dos Circuitos'!M40</f>
        <v>16</v>
      </c>
      <c r="F40" s="79" t="n">
        <v>30</v>
      </c>
      <c r="G40" s="80" t="n">
        <f aca="false">E40</f>
        <v>16</v>
      </c>
      <c r="H40" s="80" t="n">
        <f aca="false">MAX('Divisão dos Circuitos'!E40, 'Capac.Cond.Corre.'!L40, 'Queda de Tensão'!K40)</f>
        <v>4</v>
      </c>
      <c r="I40" s="79" t="str">
        <f aca="false">'Capac.Cond.Corre.'!I40</f>
        <v>B1</v>
      </c>
      <c r="J40" s="79" t="str">
        <f aca="false">'Capac.Cond.Corre.'!J40</f>
        <v>PVC</v>
      </c>
      <c r="K40" s="79" t="n">
        <f aca="false">'Capac.Cond.Corre.'!K40</f>
        <v>2</v>
      </c>
      <c r="L40" s="80" t="n">
        <v>32</v>
      </c>
      <c r="M40" s="80" t="n">
        <v>1</v>
      </c>
      <c r="N40" s="80" t="n">
        <f aca="false">'Capac.Cond.Corre.'!G40</f>
        <v>0.7</v>
      </c>
      <c r="O40" s="80" t="n">
        <f aca="false">L40*M40*N40</f>
        <v>22.4</v>
      </c>
      <c r="P40" s="79" t="str">
        <f aca="false">IF(O40&gt;=E40, "SIM", "NÃO")</f>
        <v>SIM</v>
      </c>
      <c r="Q40" s="80" t="n">
        <f aca="false">IF(P40="SIM", H40, IF(H40=1.5, 2.5, IF(H40=2.5, 4, 6)))</f>
        <v>4</v>
      </c>
      <c r="R40" s="53"/>
      <c r="S40" s="53"/>
      <c r="T40" s="53"/>
      <c r="U40" s="53"/>
      <c r="V40" s="53"/>
      <c r="W40" s="53"/>
      <c r="X40" s="53"/>
      <c r="Y40" s="53"/>
      <c r="Z40" s="53"/>
    </row>
    <row r="41" customFormat="false" ht="15.75" hidden="false" customHeight="true" outlineLevel="0" collapsed="false">
      <c r="A41" s="79" t="s">
        <v>178</v>
      </c>
      <c r="B41" s="79" t="s">
        <v>171</v>
      </c>
      <c r="C41" s="79" t="s">
        <v>179</v>
      </c>
      <c r="D41" s="80" t="n">
        <f aca="false">'Divisão dos Circuitos'!K41</f>
        <v>6.36363636363636</v>
      </c>
      <c r="E41" s="80" t="n">
        <f aca="false">'Divisão dos Circuitos'!M41</f>
        <v>10</v>
      </c>
      <c r="F41" s="79" t="n">
        <v>30</v>
      </c>
      <c r="G41" s="80" t="n">
        <f aca="false">E41</f>
        <v>10</v>
      </c>
      <c r="H41" s="80" t="n">
        <f aca="false">MAX('Divisão dos Circuitos'!E41, 'Capac.Cond.Corre.'!L41, 'Queda de Tensão'!K41)</f>
        <v>2.5</v>
      </c>
      <c r="I41" s="79" t="str">
        <f aca="false">'Capac.Cond.Corre.'!I41</f>
        <v>B1</v>
      </c>
      <c r="J41" s="79" t="str">
        <f aca="false">'Capac.Cond.Corre.'!J41</f>
        <v>PVC</v>
      </c>
      <c r="K41" s="79" t="n">
        <f aca="false">'Capac.Cond.Corre.'!K41</f>
        <v>2</v>
      </c>
      <c r="L41" s="80" t="n">
        <v>24</v>
      </c>
      <c r="M41" s="80" t="n">
        <v>1</v>
      </c>
      <c r="N41" s="80" t="n">
        <f aca="false">'Capac.Cond.Corre.'!G41</f>
        <v>0.7</v>
      </c>
      <c r="O41" s="80" t="n">
        <f aca="false">L41*M41*N41</f>
        <v>16.8</v>
      </c>
      <c r="P41" s="79" t="str">
        <f aca="false">IF(O41&gt;=E41, "SIM", "NÃO")</f>
        <v>SIM</v>
      </c>
      <c r="Q41" s="80" t="n">
        <f aca="false">IF(P41="SIM", H41, IF(H41=1.5, 2.5, IF(H41=2.5, 4, 6)))</f>
        <v>2.5</v>
      </c>
      <c r="R41" s="53"/>
      <c r="S41" s="53"/>
      <c r="T41" s="53"/>
      <c r="U41" s="53"/>
      <c r="V41" s="53"/>
      <c r="W41" s="53"/>
      <c r="X41" s="53"/>
      <c r="Y41" s="53"/>
      <c r="Z41" s="53"/>
    </row>
    <row r="42" customFormat="false" ht="15.75" hidden="false" customHeight="true" outlineLevel="0" collapsed="false">
      <c r="A42" s="79" t="s">
        <v>180</v>
      </c>
      <c r="B42" s="79" t="s">
        <v>171</v>
      </c>
      <c r="C42" s="79" t="s">
        <v>181</v>
      </c>
      <c r="D42" s="80" t="n">
        <f aca="false">'Divisão dos Circuitos'!K42</f>
        <v>13.9146567717996</v>
      </c>
      <c r="E42" s="80" t="n">
        <f aca="false">'Divisão dos Circuitos'!M42</f>
        <v>16</v>
      </c>
      <c r="F42" s="79" t="n">
        <v>30</v>
      </c>
      <c r="G42" s="80" t="n">
        <f aca="false">E42</f>
        <v>16</v>
      </c>
      <c r="H42" s="80" t="n">
        <f aca="false">MAX('Divisão dos Circuitos'!E42, 'Capac.Cond.Corre.'!L42, 'Queda de Tensão'!K42)</f>
        <v>4</v>
      </c>
      <c r="I42" s="79" t="str">
        <f aca="false">'Capac.Cond.Corre.'!I42</f>
        <v>B1</v>
      </c>
      <c r="J42" s="79" t="str">
        <f aca="false">'Capac.Cond.Corre.'!J42</f>
        <v>PVC</v>
      </c>
      <c r="K42" s="79" t="n">
        <f aca="false">'Capac.Cond.Corre.'!K42</f>
        <v>2</v>
      </c>
      <c r="L42" s="80" t="n">
        <v>32</v>
      </c>
      <c r="M42" s="80" t="n">
        <v>1</v>
      </c>
      <c r="N42" s="80" t="n">
        <f aca="false">'Capac.Cond.Corre.'!G42</f>
        <v>0.7</v>
      </c>
      <c r="O42" s="80" t="n">
        <f aca="false">L42*M42*N42</f>
        <v>22.4</v>
      </c>
      <c r="P42" s="79" t="str">
        <f aca="false">IF(O42&gt;=E42, "SIM", "NÃO")</f>
        <v>SIM</v>
      </c>
      <c r="Q42" s="80" t="n">
        <f aca="false">IF(P42="SIM", H42, IF(H42=1.5, 2.5, IF(H42=2.5, 4, 6)))</f>
        <v>4</v>
      </c>
      <c r="R42" s="53"/>
      <c r="S42" s="53"/>
      <c r="T42" s="53"/>
      <c r="U42" s="53"/>
      <c r="V42" s="53"/>
      <c r="W42" s="53"/>
      <c r="X42" s="53"/>
      <c r="Y42" s="53"/>
      <c r="Z42" s="53"/>
    </row>
    <row r="43" customFormat="false" ht="15.75" hidden="false" customHeight="true" outlineLevel="0" collapsed="false">
      <c r="A43" s="79" t="s">
        <v>182</v>
      </c>
      <c r="B43" s="79" t="s">
        <v>171</v>
      </c>
      <c r="C43" s="79" t="s">
        <v>183</v>
      </c>
      <c r="D43" s="80" t="n">
        <f aca="false">'Divisão dos Circuitos'!K43</f>
        <v>9.38735177865613</v>
      </c>
      <c r="E43" s="80" t="n">
        <f aca="false">'Divisão dos Circuitos'!M43</f>
        <v>10</v>
      </c>
      <c r="F43" s="79" t="n">
        <v>30</v>
      </c>
      <c r="G43" s="80" t="n">
        <f aca="false">E43</f>
        <v>10</v>
      </c>
      <c r="H43" s="80" t="n">
        <f aca="false">MAX('Divisão dos Circuitos'!E43, 'Capac.Cond.Corre.'!L43, 'Queda de Tensão'!K43)</f>
        <v>2.5</v>
      </c>
      <c r="I43" s="79" t="str">
        <f aca="false">'Capac.Cond.Corre.'!I43</f>
        <v>B1</v>
      </c>
      <c r="J43" s="79" t="str">
        <f aca="false">'Capac.Cond.Corre.'!J43</f>
        <v>PVC</v>
      </c>
      <c r="K43" s="79" t="n">
        <f aca="false">'Capac.Cond.Corre.'!K43</f>
        <v>2</v>
      </c>
      <c r="L43" s="80" t="n">
        <v>24</v>
      </c>
      <c r="M43" s="80" t="n">
        <v>1</v>
      </c>
      <c r="N43" s="80" t="n">
        <f aca="false">'Capac.Cond.Corre.'!G43</f>
        <v>0.7</v>
      </c>
      <c r="O43" s="80" t="n">
        <f aca="false">L43*M43*N43</f>
        <v>16.8</v>
      </c>
      <c r="P43" s="79" t="str">
        <f aca="false">IF(O43&gt;=E43, "SIM", "NÃO")</f>
        <v>SIM</v>
      </c>
      <c r="Q43" s="80" t="n">
        <f aca="false">IF(P43="SIM", H43, IF(H43=1.5, 2.5, IF(H43=2.5, 4, 6)))</f>
        <v>2.5</v>
      </c>
      <c r="R43" s="53"/>
      <c r="S43" s="53"/>
      <c r="T43" s="53"/>
      <c r="U43" s="53"/>
      <c r="V43" s="53"/>
      <c r="W43" s="53"/>
      <c r="X43" s="53"/>
      <c r="Y43" s="53"/>
      <c r="Z43" s="53"/>
    </row>
    <row r="44" customFormat="false" ht="15.75" hidden="false" customHeight="true" outlineLevel="0" collapsed="false">
      <c r="A44" s="79" t="s">
        <v>184</v>
      </c>
      <c r="B44" s="79" t="s">
        <v>171</v>
      </c>
      <c r="C44" s="79" t="s">
        <v>185</v>
      </c>
      <c r="D44" s="80" t="n">
        <f aca="false">'Divisão dos Circuitos'!K44</f>
        <v>12.3517786561265</v>
      </c>
      <c r="E44" s="80" t="n">
        <f aca="false">'Divisão dos Circuitos'!M44</f>
        <v>16</v>
      </c>
      <c r="F44" s="79" t="n">
        <v>30</v>
      </c>
      <c r="G44" s="80" t="n">
        <f aca="false">E44</f>
        <v>16</v>
      </c>
      <c r="H44" s="80" t="n">
        <f aca="false">MAX('Divisão dos Circuitos'!E44, 'Capac.Cond.Corre.'!L44, 'Queda de Tensão'!K44)</f>
        <v>2.5</v>
      </c>
      <c r="I44" s="79" t="str">
        <f aca="false">'Capac.Cond.Corre.'!I44</f>
        <v>B1</v>
      </c>
      <c r="J44" s="79" t="str">
        <f aca="false">'Capac.Cond.Corre.'!J44</f>
        <v>PVC</v>
      </c>
      <c r="K44" s="79" t="n">
        <f aca="false">'Capac.Cond.Corre.'!K44</f>
        <v>2</v>
      </c>
      <c r="L44" s="80" t="n">
        <v>24</v>
      </c>
      <c r="M44" s="80" t="n">
        <v>1</v>
      </c>
      <c r="N44" s="80" t="n">
        <f aca="false">'Capac.Cond.Corre.'!G44</f>
        <v>0.7</v>
      </c>
      <c r="O44" s="80" t="n">
        <f aca="false">L44*M44*N44</f>
        <v>16.8</v>
      </c>
      <c r="P44" s="79" t="str">
        <f aca="false">IF(O44&gt;=E44, "SIM", "NÃO")</f>
        <v>SIM</v>
      </c>
      <c r="Q44" s="80" t="n">
        <f aca="false">IF(P44="SIM", H44, IF(H44=1.5, 2.5, IF(H44=2.5, 4, 6)))</f>
        <v>2.5</v>
      </c>
      <c r="R44" s="53"/>
      <c r="S44" s="53"/>
      <c r="T44" s="53"/>
      <c r="U44" s="53"/>
      <c r="V44" s="53"/>
      <c r="W44" s="53"/>
      <c r="X44" s="53"/>
      <c r="Y44" s="53"/>
      <c r="Z44" s="53"/>
    </row>
    <row r="45" customFormat="false" ht="15.75" hidden="false" customHeight="true" outlineLevel="0" collapsed="false">
      <c r="A45" s="79" t="s">
        <v>186</v>
      </c>
      <c r="B45" s="79" t="s">
        <v>171</v>
      </c>
      <c r="C45" s="79" t="s">
        <v>187</v>
      </c>
      <c r="D45" s="80" t="n">
        <f aca="false">'Divisão dos Circuitos'!K45</f>
        <v>6.91699604743083</v>
      </c>
      <c r="E45" s="80" t="n">
        <f aca="false">'Divisão dos Circuitos'!M45</f>
        <v>10</v>
      </c>
      <c r="F45" s="79" t="n">
        <v>30</v>
      </c>
      <c r="G45" s="80" t="n">
        <f aca="false">E45</f>
        <v>10</v>
      </c>
      <c r="H45" s="80" t="n">
        <f aca="false">MAX('Divisão dos Circuitos'!E45, 'Capac.Cond.Corre.'!L45, 'Queda de Tensão'!K45)</f>
        <v>2.5</v>
      </c>
      <c r="I45" s="79" t="str">
        <f aca="false">'Capac.Cond.Corre.'!I45</f>
        <v>B1</v>
      </c>
      <c r="J45" s="79" t="str">
        <f aca="false">'Capac.Cond.Corre.'!J45</f>
        <v>PVC</v>
      </c>
      <c r="K45" s="79" t="n">
        <f aca="false">'Capac.Cond.Corre.'!K45</f>
        <v>2</v>
      </c>
      <c r="L45" s="80" t="n">
        <v>24</v>
      </c>
      <c r="M45" s="80" t="n">
        <v>1</v>
      </c>
      <c r="N45" s="80" t="n">
        <f aca="false">'Capac.Cond.Corre.'!G45</f>
        <v>0.7</v>
      </c>
      <c r="O45" s="80" t="n">
        <f aca="false">L45*M45*N45</f>
        <v>16.8</v>
      </c>
      <c r="P45" s="79" t="str">
        <f aca="false">IF(O45&gt;=E45, "SIM", "NÃO")</f>
        <v>SIM</v>
      </c>
      <c r="Q45" s="80" t="n">
        <f aca="false">IF(P45="SIM", H45, IF(H45=1.5, 2.5, IF(H45=2.5, 4, 6)))</f>
        <v>2.5</v>
      </c>
      <c r="R45" s="53"/>
      <c r="S45" s="53"/>
      <c r="T45" s="53"/>
      <c r="U45" s="53"/>
      <c r="V45" s="53"/>
      <c r="W45" s="53"/>
      <c r="X45" s="53"/>
      <c r="Y45" s="53"/>
      <c r="Z45" s="53"/>
    </row>
    <row r="46" customFormat="false" ht="15.75" hidden="false" customHeight="true" outlineLevel="0" collapsed="false">
      <c r="A46" s="79" t="s">
        <v>188</v>
      </c>
      <c r="B46" s="79" t="s">
        <v>171</v>
      </c>
      <c r="C46" s="79" t="s">
        <v>189</v>
      </c>
      <c r="D46" s="80" t="n">
        <f aca="false">'Divisão dos Circuitos'!K46</f>
        <v>7.72727272727273</v>
      </c>
      <c r="E46" s="80" t="n">
        <f aca="false">'Divisão dos Circuitos'!M46</f>
        <v>10</v>
      </c>
      <c r="F46" s="79" t="n">
        <v>30</v>
      </c>
      <c r="G46" s="80" t="n">
        <f aca="false">E46</f>
        <v>10</v>
      </c>
      <c r="H46" s="80" t="n">
        <f aca="false">MAX('Divisão dos Circuitos'!E46, 'Capac.Cond.Corre.'!L46, 'Queda de Tensão'!K46)</f>
        <v>2.5</v>
      </c>
      <c r="I46" s="79" t="str">
        <f aca="false">'Capac.Cond.Corre.'!I46</f>
        <v>B1</v>
      </c>
      <c r="J46" s="79" t="str">
        <f aca="false">'Capac.Cond.Corre.'!J46</f>
        <v>PVC</v>
      </c>
      <c r="K46" s="79" t="n">
        <f aca="false">'Capac.Cond.Corre.'!K46</f>
        <v>2</v>
      </c>
      <c r="L46" s="80" t="n">
        <v>24</v>
      </c>
      <c r="M46" s="80" t="n">
        <v>1</v>
      </c>
      <c r="N46" s="80" t="n">
        <f aca="false">'Capac.Cond.Corre.'!G46</f>
        <v>0.7</v>
      </c>
      <c r="O46" s="80" t="n">
        <f aca="false">L46*M46*N46</f>
        <v>16.8</v>
      </c>
      <c r="P46" s="79" t="str">
        <f aca="false">IF(O46&gt;=E46, "SIM", "NÃO")</f>
        <v>SIM</v>
      </c>
      <c r="Q46" s="80" t="n">
        <f aca="false">IF(P46="SIM", H46, IF(H46=1.5, 2.5, IF(H46=2.5, 4, 6)))</f>
        <v>2.5</v>
      </c>
      <c r="R46" s="53"/>
      <c r="S46" s="53"/>
      <c r="T46" s="53"/>
      <c r="U46" s="53"/>
      <c r="V46" s="53"/>
      <c r="W46" s="53"/>
      <c r="X46" s="53"/>
      <c r="Y46" s="53"/>
      <c r="Z46" s="53"/>
    </row>
    <row r="47" customFormat="false" ht="15.75" hidden="false" customHeight="true" outlineLevel="0" collapsed="false">
      <c r="A47" s="79" t="s">
        <v>190</v>
      </c>
      <c r="B47" s="79" t="s">
        <v>171</v>
      </c>
      <c r="C47" s="79" t="s">
        <v>191</v>
      </c>
      <c r="D47" s="80" t="n">
        <f aca="false">'Divisão dos Circuitos'!K47</f>
        <v>6.63636363636364</v>
      </c>
      <c r="E47" s="80" t="n">
        <f aca="false">'Divisão dos Circuitos'!M47</f>
        <v>10</v>
      </c>
      <c r="F47" s="79" t="n">
        <v>30</v>
      </c>
      <c r="G47" s="80" t="n">
        <f aca="false">E47</f>
        <v>10</v>
      </c>
      <c r="H47" s="80" t="n">
        <f aca="false">MAX('Divisão dos Circuitos'!E47, 'Capac.Cond.Corre.'!L47, 'Queda de Tensão'!K47)</f>
        <v>1.5</v>
      </c>
      <c r="I47" s="79" t="str">
        <f aca="false">'Capac.Cond.Corre.'!I47</f>
        <v>B1</v>
      </c>
      <c r="J47" s="79" t="str">
        <f aca="false">'Capac.Cond.Corre.'!J47</f>
        <v>PVC</v>
      </c>
      <c r="K47" s="79" t="n">
        <f aca="false">'Capac.Cond.Corre.'!K47</f>
        <v>2</v>
      </c>
      <c r="L47" s="80" t="n">
        <v>17.5</v>
      </c>
      <c r="M47" s="80" t="n">
        <v>1</v>
      </c>
      <c r="N47" s="80" t="n">
        <f aca="false">'Capac.Cond.Corre.'!G47</f>
        <v>0.7</v>
      </c>
      <c r="O47" s="80" t="n">
        <f aca="false">L47*M47*N47</f>
        <v>12.25</v>
      </c>
      <c r="P47" s="79" t="str">
        <f aca="false">IF(O47&gt;=E47, "SIM", "NÃO")</f>
        <v>SIM</v>
      </c>
      <c r="Q47" s="80" t="n">
        <f aca="false">IF(P47="SIM", H47, IF(H47=1.5, 2.5, IF(H47=2.5, 4, 6)))</f>
        <v>1.5</v>
      </c>
      <c r="R47" s="53"/>
      <c r="S47" s="53"/>
      <c r="T47" s="53"/>
      <c r="U47" s="53"/>
      <c r="V47" s="53"/>
      <c r="W47" s="53"/>
      <c r="X47" s="53"/>
      <c r="Y47" s="53"/>
      <c r="Z47" s="53"/>
    </row>
    <row r="48" customFormat="false" ht="15.75" hidden="false" customHeight="true" outlineLevel="0" collapsed="false">
      <c r="A48" s="78" t="s">
        <v>192</v>
      </c>
      <c r="B48" s="78"/>
      <c r="C48" s="78"/>
      <c r="D48" s="77"/>
      <c r="E48" s="77"/>
      <c r="F48" s="78"/>
      <c r="G48" s="78"/>
      <c r="H48" s="77"/>
      <c r="I48" s="78"/>
      <c r="J48" s="78"/>
      <c r="K48" s="78"/>
      <c r="L48" s="77"/>
      <c r="M48" s="77"/>
      <c r="N48" s="77"/>
      <c r="O48" s="77"/>
      <c r="P48" s="78"/>
      <c r="Q48" s="77"/>
      <c r="R48" s="53"/>
      <c r="S48" s="53"/>
      <c r="T48" s="53"/>
      <c r="U48" s="53"/>
      <c r="V48" s="53"/>
      <c r="W48" s="53"/>
      <c r="X48" s="53"/>
      <c r="Y48" s="53"/>
      <c r="Z48" s="53"/>
    </row>
    <row r="49" customFormat="false" ht="15.75" hidden="false" customHeight="true" outlineLevel="0" collapsed="false">
      <c r="A49" s="79" t="s">
        <v>193</v>
      </c>
      <c r="B49" s="79" t="s">
        <v>194</v>
      </c>
      <c r="C49" s="79" t="s">
        <v>195</v>
      </c>
      <c r="D49" s="80" t="n">
        <f aca="false">'Divisão dos Circuitos'!K49</f>
        <v>10.9090909090909</v>
      </c>
      <c r="E49" s="80" t="n">
        <f aca="false">'Divisão dos Circuitos'!M49</f>
        <v>16</v>
      </c>
      <c r="F49" s="79" t="n">
        <v>30</v>
      </c>
      <c r="G49" s="80" t="n">
        <f aca="false">E49</f>
        <v>16</v>
      </c>
      <c r="H49" s="80" t="n">
        <f aca="false">MAX('Divisão dos Circuitos'!E49, 'Capac.Cond.Corre.'!L49, 'Queda de Tensão'!K49)</f>
        <v>2.5</v>
      </c>
      <c r="I49" s="79" t="str">
        <f aca="false">'Capac.Cond.Corre.'!I49</f>
        <v>B1</v>
      </c>
      <c r="J49" s="79" t="str">
        <f aca="false">'Capac.Cond.Corre.'!J49</f>
        <v>PVC</v>
      </c>
      <c r="K49" s="79" t="n">
        <f aca="false">'Capac.Cond.Corre.'!K49</f>
        <v>2</v>
      </c>
      <c r="L49" s="80" t="n">
        <v>24</v>
      </c>
      <c r="M49" s="80" t="n">
        <v>1</v>
      </c>
      <c r="N49" s="80" t="n">
        <f aca="false">'Capac.Cond.Corre.'!G49</f>
        <v>0.7</v>
      </c>
      <c r="O49" s="80" t="n">
        <f aca="false">L49*M49*N49</f>
        <v>16.8</v>
      </c>
      <c r="P49" s="79" t="str">
        <f aca="false">IF(O49&gt;=E49, "SIM", "NÃO")</f>
        <v>SIM</v>
      </c>
      <c r="Q49" s="80" t="n">
        <f aca="false">IF(P49="SIM", H49, IF(H49=1.5, 2.5, IF(H49=2.5, 4, 6)))</f>
        <v>2.5</v>
      </c>
      <c r="R49" s="53"/>
      <c r="S49" s="53"/>
      <c r="T49" s="53"/>
      <c r="U49" s="53"/>
      <c r="V49" s="53"/>
      <c r="W49" s="53"/>
      <c r="X49" s="53"/>
      <c r="Y49" s="53"/>
      <c r="Z49" s="53"/>
    </row>
    <row r="50" customFormat="false" ht="15.75" hidden="false" customHeight="true" outlineLevel="0" collapsed="false">
      <c r="A50" s="79" t="s">
        <v>196</v>
      </c>
      <c r="B50" s="79" t="s">
        <v>194</v>
      </c>
      <c r="C50" s="79" t="s">
        <v>197</v>
      </c>
      <c r="D50" s="80" t="n">
        <f aca="false">'Divisão dos Circuitos'!K50</f>
        <v>11.8181818181818</v>
      </c>
      <c r="E50" s="80" t="n">
        <f aca="false">'Divisão dos Circuitos'!M50</f>
        <v>16</v>
      </c>
      <c r="F50" s="79" t="n">
        <v>30</v>
      </c>
      <c r="G50" s="80" t="n">
        <f aca="false">E50</f>
        <v>16</v>
      </c>
      <c r="H50" s="80" t="n">
        <f aca="false">MAX('Divisão dos Circuitos'!E50, 'Capac.Cond.Corre.'!L50, 'Queda de Tensão'!K50)</f>
        <v>2.5</v>
      </c>
      <c r="I50" s="79" t="str">
        <f aca="false">'Capac.Cond.Corre.'!I50</f>
        <v>B1</v>
      </c>
      <c r="J50" s="79" t="str">
        <f aca="false">'Capac.Cond.Corre.'!J50</f>
        <v>PVC</v>
      </c>
      <c r="K50" s="79" t="n">
        <f aca="false">'Capac.Cond.Corre.'!K50</f>
        <v>2</v>
      </c>
      <c r="L50" s="80" t="n">
        <v>24</v>
      </c>
      <c r="M50" s="80" t="n">
        <v>1</v>
      </c>
      <c r="N50" s="80" t="n">
        <f aca="false">'Capac.Cond.Corre.'!G50</f>
        <v>0.7</v>
      </c>
      <c r="O50" s="80" t="n">
        <f aca="false">L50*M50*N50</f>
        <v>16.8</v>
      </c>
      <c r="P50" s="79" t="str">
        <f aca="false">IF(O50&gt;=E50, "SIM", "NÃO")</f>
        <v>SIM</v>
      </c>
      <c r="Q50" s="80" t="n">
        <f aca="false">IF(P50="SIM", H50, IF(H50=1.5, 2.5, IF(H50=2.5, 4, 6)))</f>
        <v>2.5</v>
      </c>
      <c r="R50" s="53"/>
      <c r="S50" s="53"/>
      <c r="T50" s="53"/>
      <c r="U50" s="53"/>
      <c r="V50" s="53"/>
      <c r="W50" s="53"/>
      <c r="X50" s="53"/>
      <c r="Y50" s="53"/>
      <c r="Z50" s="53"/>
    </row>
    <row r="51" customFormat="false" ht="15.75" hidden="false" customHeight="true" outlineLevel="0" collapsed="false">
      <c r="A51" s="79" t="s">
        <v>198</v>
      </c>
      <c r="B51" s="79" t="s">
        <v>194</v>
      </c>
      <c r="C51" s="79" t="s">
        <v>70</v>
      </c>
      <c r="D51" s="80" t="n">
        <f aca="false">'Divisão dos Circuitos'!K51</f>
        <v>27.2727272727273</v>
      </c>
      <c r="E51" s="80" t="n">
        <f aca="false">'Divisão dos Circuitos'!M51</f>
        <v>32</v>
      </c>
      <c r="F51" s="79" t="n">
        <v>30</v>
      </c>
      <c r="G51" s="80" t="n">
        <f aca="false">E51</f>
        <v>32</v>
      </c>
      <c r="H51" s="80" t="n">
        <f aca="false">MAX('Divisão dos Circuitos'!E51, 'Capac.Cond.Corre.'!L51, 'Queda de Tensão'!K51)</f>
        <v>10</v>
      </c>
      <c r="I51" s="79" t="str">
        <f aca="false">'Capac.Cond.Corre.'!I51</f>
        <v>B1</v>
      </c>
      <c r="J51" s="79" t="str">
        <f aca="false">'Capac.Cond.Corre.'!J51</f>
        <v>PVC</v>
      </c>
      <c r="K51" s="79" t="n">
        <f aca="false">'Capac.Cond.Corre.'!K51</f>
        <v>2</v>
      </c>
      <c r="L51" s="80" t="n">
        <v>57</v>
      </c>
      <c r="M51" s="80" t="n">
        <v>1</v>
      </c>
      <c r="N51" s="80" t="n">
        <f aca="false">'Capac.Cond.Corre.'!G51</f>
        <v>0.7</v>
      </c>
      <c r="O51" s="80" t="n">
        <f aca="false">L51*M51*N51</f>
        <v>39.9</v>
      </c>
      <c r="P51" s="79" t="str">
        <f aca="false">IF(O51&gt;=E51, "SIM", "NÃO")</f>
        <v>SIM</v>
      </c>
      <c r="Q51" s="80" t="n">
        <f aca="false">IF(P51="SIM", H51, IF(H51=1.5, 2.5, IF(H51=2.5, 4, 6)))</f>
        <v>10</v>
      </c>
      <c r="R51" s="53"/>
      <c r="S51" s="53"/>
      <c r="T51" s="53"/>
      <c r="U51" s="53"/>
      <c r="V51" s="53"/>
      <c r="W51" s="53"/>
      <c r="X51" s="53"/>
      <c r="Y51" s="53"/>
      <c r="Z51" s="53"/>
    </row>
    <row r="52" customFormat="false" ht="15.75" hidden="false" customHeight="true" outlineLevel="0" collapsed="false">
      <c r="A52" s="79" t="s">
        <v>199</v>
      </c>
      <c r="B52" s="79" t="s">
        <v>194</v>
      </c>
      <c r="C52" s="79" t="s">
        <v>74</v>
      </c>
      <c r="D52" s="80" t="n">
        <f aca="false">'Divisão dos Circuitos'!K52</f>
        <v>27.2727272727273</v>
      </c>
      <c r="E52" s="80" t="n">
        <f aca="false">'Divisão dos Circuitos'!M52</f>
        <v>32</v>
      </c>
      <c r="F52" s="79" t="n">
        <v>30</v>
      </c>
      <c r="G52" s="80" t="n">
        <f aca="false">E52</f>
        <v>32</v>
      </c>
      <c r="H52" s="80" t="n">
        <f aca="false">MAX('Divisão dos Circuitos'!E52, 'Capac.Cond.Corre.'!L52, 'Queda de Tensão'!K52)</f>
        <v>10</v>
      </c>
      <c r="I52" s="79" t="str">
        <f aca="false">'Capac.Cond.Corre.'!I52</f>
        <v>B1</v>
      </c>
      <c r="J52" s="79" t="str">
        <f aca="false">'Capac.Cond.Corre.'!J52</f>
        <v>PVC</v>
      </c>
      <c r="K52" s="79" t="n">
        <f aca="false">'Capac.Cond.Corre.'!K52</f>
        <v>2</v>
      </c>
      <c r="L52" s="80" t="n">
        <v>57</v>
      </c>
      <c r="M52" s="80" t="n">
        <v>1</v>
      </c>
      <c r="N52" s="80" t="n">
        <f aca="false">'Capac.Cond.Corre.'!G52</f>
        <v>0.7</v>
      </c>
      <c r="O52" s="80" t="n">
        <f aca="false">L52*M52*N52</f>
        <v>39.9</v>
      </c>
      <c r="P52" s="79" t="str">
        <f aca="false">IF(O52&gt;=E52, "SIM", "NÃO")</f>
        <v>SIM</v>
      </c>
      <c r="Q52" s="80" t="n">
        <f aca="false">IF(P52="SIM", H52, IF(H52=1.5, 2.5, IF(H52=2.5, 4, 6)))</f>
        <v>10</v>
      </c>
      <c r="R52" s="53"/>
      <c r="S52" s="53"/>
      <c r="T52" s="53"/>
      <c r="U52" s="53"/>
      <c r="V52" s="53"/>
      <c r="W52" s="53"/>
      <c r="X52" s="53"/>
      <c r="Y52" s="53"/>
      <c r="Z52" s="53"/>
    </row>
    <row r="53" customFormat="false" ht="15.75" hidden="false" customHeight="true" outlineLevel="0" collapsed="false">
      <c r="A53" s="79" t="s">
        <v>200</v>
      </c>
      <c r="B53" s="79" t="s">
        <v>194</v>
      </c>
      <c r="C53" s="79" t="s">
        <v>201</v>
      </c>
      <c r="D53" s="80" t="n">
        <f aca="false">'Divisão dos Circuitos'!K53</f>
        <v>9.38735177865613</v>
      </c>
      <c r="E53" s="80" t="n">
        <f aca="false">'Divisão dos Circuitos'!M53</f>
        <v>10</v>
      </c>
      <c r="F53" s="79" t="n">
        <v>30</v>
      </c>
      <c r="G53" s="80" t="n">
        <f aca="false">E53</f>
        <v>10</v>
      </c>
      <c r="H53" s="80" t="n">
        <f aca="false">MAX('Divisão dos Circuitos'!E53, 'Capac.Cond.Corre.'!L53, 'Queda de Tensão'!K53)</f>
        <v>2.5</v>
      </c>
      <c r="I53" s="79" t="str">
        <f aca="false">'Capac.Cond.Corre.'!I53</f>
        <v>B1</v>
      </c>
      <c r="J53" s="79" t="str">
        <f aca="false">'Capac.Cond.Corre.'!J53</f>
        <v>PVC</v>
      </c>
      <c r="K53" s="79" t="n">
        <f aca="false">'Capac.Cond.Corre.'!K53</f>
        <v>2</v>
      </c>
      <c r="L53" s="80" t="n">
        <v>24</v>
      </c>
      <c r="M53" s="80" t="n">
        <v>1</v>
      </c>
      <c r="N53" s="80" t="n">
        <f aca="false">'Capac.Cond.Corre.'!G53</f>
        <v>0.7</v>
      </c>
      <c r="O53" s="80" t="n">
        <f aca="false">L53*M53*N53</f>
        <v>16.8</v>
      </c>
      <c r="P53" s="79" t="str">
        <f aca="false">IF(O53&gt;=E53, "SIM", "NÃO")</f>
        <v>SIM</v>
      </c>
      <c r="Q53" s="80" t="n">
        <f aca="false">IF(P53="SIM", H53, IF(H53=1.5, 2.5, IF(H53=2.5, 4, 6)))</f>
        <v>2.5</v>
      </c>
      <c r="R53" s="53"/>
      <c r="S53" s="53"/>
      <c r="T53" s="53"/>
      <c r="U53" s="53"/>
      <c r="V53" s="53"/>
      <c r="W53" s="53"/>
      <c r="X53" s="53"/>
      <c r="Y53" s="53"/>
      <c r="Z53" s="53"/>
    </row>
    <row r="54" customFormat="false" ht="15.75" hidden="false" customHeight="true" outlineLevel="0" collapsed="false">
      <c r="A54" s="79" t="s">
        <v>202</v>
      </c>
      <c r="B54" s="79" t="s">
        <v>194</v>
      </c>
      <c r="C54" s="79" t="s">
        <v>203</v>
      </c>
      <c r="D54" s="80" t="n">
        <f aca="false">'Divisão dos Circuitos'!K54</f>
        <v>6.91699604743083</v>
      </c>
      <c r="E54" s="80" t="n">
        <f aca="false">'Divisão dos Circuitos'!M54</f>
        <v>10</v>
      </c>
      <c r="F54" s="79" t="n">
        <v>30</v>
      </c>
      <c r="G54" s="80" t="n">
        <f aca="false">E54</f>
        <v>10</v>
      </c>
      <c r="H54" s="80" t="n">
        <f aca="false">MAX('Divisão dos Circuitos'!E54, 'Capac.Cond.Corre.'!L54, 'Queda de Tensão'!K54)</f>
        <v>2.5</v>
      </c>
      <c r="I54" s="79" t="str">
        <f aca="false">'Capac.Cond.Corre.'!I54</f>
        <v>B1</v>
      </c>
      <c r="J54" s="79" t="str">
        <f aca="false">'Capac.Cond.Corre.'!J54</f>
        <v>PVC</v>
      </c>
      <c r="K54" s="79" t="n">
        <f aca="false">'Capac.Cond.Corre.'!K54</f>
        <v>2</v>
      </c>
      <c r="L54" s="80" t="n">
        <v>24</v>
      </c>
      <c r="M54" s="80" t="n">
        <v>1</v>
      </c>
      <c r="N54" s="80" t="n">
        <f aca="false">'Capac.Cond.Corre.'!G54</f>
        <v>0.8</v>
      </c>
      <c r="O54" s="80" t="n">
        <f aca="false">L54*M54*N54</f>
        <v>19.2</v>
      </c>
      <c r="P54" s="79" t="str">
        <f aca="false">IF(O54&gt;=E54, "SIM", "NÃO")</f>
        <v>SIM</v>
      </c>
      <c r="Q54" s="80" t="n">
        <f aca="false">IF(P54="SIM", H54, IF(H54=1.5, 2.5, IF(H54=2.5, 4, 6)))</f>
        <v>2.5</v>
      </c>
      <c r="R54" s="53"/>
      <c r="S54" s="53"/>
      <c r="T54" s="53"/>
      <c r="U54" s="53"/>
      <c r="V54" s="53"/>
      <c r="W54" s="53"/>
      <c r="X54" s="53"/>
      <c r="Y54" s="53"/>
      <c r="Z54" s="53"/>
    </row>
    <row r="55" customFormat="false" ht="15.75" hidden="false" customHeight="true" outlineLevel="0" collapsed="false">
      <c r="A55" s="79" t="s">
        <v>204</v>
      </c>
      <c r="B55" s="79" t="s">
        <v>194</v>
      </c>
      <c r="C55" s="79" t="s">
        <v>205</v>
      </c>
      <c r="D55" s="80" t="n">
        <f aca="false">'Divisão dos Circuitos'!K55</f>
        <v>6.91699604743083</v>
      </c>
      <c r="E55" s="80" t="n">
        <f aca="false">'Divisão dos Circuitos'!M55</f>
        <v>10</v>
      </c>
      <c r="F55" s="79" t="n">
        <v>30</v>
      </c>
      <c r="G55" s="80" t="n">
        <f aca="false">E55</f>
        <v>10</v>
      </c>
      <c r="H55" s="80" t="n">
        <f aca="false">MAX('Divisão dos Circuitos'!E55, 'Capac.Cond.Corre.'!L55, 'Queda de Tensão'!K55)</f>
        <v>2.5</v>
      </c>
      <c r="I55" s="79" t="str">
        <f aca="false">'Capac.Cond.Corre.'!I55</f>
        <v>B1</v>
      </c>
      <c r="J55" s="79" t="str">
        <f aca="false">'Capac.Cond.Corre.'!J55</f>
        <v>PVC</v>
      </c>
      <c r="K55" s="79" t="n">
        <f aca="false">'Capac.Cond.Corre.'!K55</f>
        <v>2</v>
      </c>
      <c r="L55" s="80" t="n">
        <v>24</v>
      </c>
      <c r="M55" s="80" t="n">
        <v>1</v>
      </c>
      <c r="N55" s="80" t="n">
        <f aca="false">'Capac.Cond.Corre.'!G55</f>
        <v>0.7</v>
      </c>
      <c r="O55" s="80" t="n">
        <f aca="false">L55*M55*N55</f>
        <v>16.8</v>
      </c>
      <c r="P55" s="79" t="str">
        <f aca="false">IF(O55&gt;=E55, "SIM", "NÃO")</f>
        <v>SIM</v>
      </c>
      <c r="Q55" s="80" t="n">
        <f aca="false">IF(P55="SIM", H55, IF(H55=1.5, 2.5, IF(H55=2.5, 4, 6)))</f>
        <v>2.5</v>
      </c>
      <c r="R55" s="53"/>
      <c r="S55" s="53"/>
      <c r="T55" s="53"/>
      <c r="U55" s="53"/>
      <c r="V55" s="53"/>
      <c r="W55" s="53"/>
      <c r="X55" s="53"/>
      <c r="Y55" s="53"/>
      <c r="Z55" s="53"/>
    </row>
    <row r="56" customFormat="false" ht="15.75" hidden="false" customHeight="true" outlineLevel="0" collapsed="false">
      <c r="A56" s="79" t="s">
        <v>206</v>
      </c>
      <c r="B56" s="79" t="s">
        <v>194</v>
      </c>
      <c r="C56" s="79" t="s">
        <v>207</v>
      </c>
      <c r="D56" s="80" t="n">
        <f aca="false">'Divisão dos Circuitos'!K56</f>
        <v>15</v>
      </c>
      <c r="E56" s="80" t="n">
        <f aca="false">'Divisão dos Circuitos'!M56</f>
        <v>16</v>
      </c>
      <c r="F56" s="79" t="n">
        <v>30</v>
      </c>
      <c r="G56" s="80" t="n">
        <f aca="false">E56</f>
        <v>16</v>
      </c>
      <c r="H56" s="80" t="n">
        <f aca="false">MAX('Divisão dos Circuitos'!E56, 'Capac.Cond.Corre.'!L56, 'Queda de Tensão'!K56)</f>
        <v>2.5</v>
      </c>
      <c r="I56" s="79" t="str">
        <f aca="false">'Capac.Cond.Corre.'!I56</f>
        <v>B1</v>
      </c>
      <c r="J56" s="79" t="str">
        <f aca="false">'Capac.Cond.Corre.'!J56</f>
        <v>PVC</v>
      </c>
      <c r="K56" s="79" t="n">
        <f aca="false">'Capac.Cond.Corre.'!K56</f>
        <v>2</v>
      </c>
      <c r="L56" s="80" t="n">
        <v>24</v>
      </c>
      <c r="M56" s="80" t="n">
        <v>1</v>
      </c>
      <c r="N56" s="80" t="n">
        <f aca="false">'Capac.Cond.Corre.'!G56</f>
        <v>0.7</v>
      </c>
      <c r="O56" s="80" t="n">
        <f aca="false">L56*M56*N56</f>
        <v>16.8</v>
      </c>
      <c r="P56" s="79" t="str">
        <f aca="false">IF(O56&gt;=E56, "SIM", "NÃO")</f>
        <v>SIM</v>
      </c>
      <c r="Q56" s="80" t="n">
        <f aca="false">IF(P56="SIM", H56, IF(H56=1.5, 2.5, IF(H56=2.5, 4, 6)))</f>
        <v>2.5</v>
      </c>
      <c r="R56" s="53"/>
      <c r="S56" s="53"/>
      <c r="T56" s="53"/>
      <c r="U56" s="53"/>
      <c r="V56" s="53"/>
      <c r="W56" s="53"/>
      <c r="X56" s="53"/>
      <c r="Y56" s="53"/>
      <c r="Z56" s="53"/>
    </row>
    <row r="57" customFormat="false" ht="15.75" hidden="false" customHeight="true" outlineLevel="0" collapsed="false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customFormat="false" ht="15.75" hidden="false" customHeight="true" outlineLevel="0" collapsed="false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customFormat="false" ht="15.75" hidden="false" customHeight="true" outlineLevel="0" collapsed="false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customFormat="false" ht="15.75" hidden="false" customHeight="true" outlineLevel="0" collapsed="false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customFormat="false" ht="15.75" hidden="false" customHeight="true" outlineLevel="0" collapsed="false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customFormat="false" ht="15.75" hidden="false" customHeight="true" outlineLevel="0" collapsed="false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customFormat="false" ht="15.75" hidden="false" customHeight="true" outlineLevel="0" collapsed="false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customFormat="false" ht="15.75" hidden="false" customHeight="true" outlineLevel="0" collapsed="false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customFormat="false" ht="15.75" hidden="false" customHeight="true" outlineLevel="0" collapsed="false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customFormat="false" ht="15.75" hidden="false" customHeight="true" outlineLevel="0" collapsed="false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customFormat="false" ht="15.75" hidden="false" customHeight="true" outlineLevel="0" collapsed="false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customFormat="false" ht="15.75" hidden="false" customHeight="true" outlineLevel="0" collapsed="false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customFormat="false" ht="15.75" hidden="false" customHeight="true" outlineLevel="0" collapsed="false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customFormat="false" ht="15.75" hidden="false" customHeight="true" outlineLevel="0" collapsed="false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customFormat="false" ht="15.75" hidden="false" customHeight="true" outlineLevel="0" collapsed="false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customFormat="false" ht="15.75" hidden="false" customHeight="true" outlineLevel="0" collapsed="false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customFormat="false" ht="15.75" hidden="false" customHeight="true" outlineLevel="0" collapsed="false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customFormat="false" ht="15.75" hidden="false" customHeight="true" outlineLevel="0" collapsed="false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customFormat="false" ht="15.75" hidden="false" customHeight="true" outlineLevel="0" collapsed="false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customFormat="false" ht="15.75" hidden="false" customHeight="true" outlineLevel="0" collapsed="false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customFormat="false" ht="15.75" hidden="false" customHeight="true" outlineLevel="0" collapsed="false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customFormat="false" ht="15.75" hidden="false" customHeight="true" outlineLevel="0" collapsed="false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customFormat="false" ht="15.75" hidden="false" customHeight="tru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customFormat="false" ht="15.75" hidden="false" customHeight="true" outlineLevel="0" collapsed="false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customFormat="false" ht="15.75" hidden="false" customHeight="true" outlineLevel="0" collapsed="false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customFormat="false" ht="15.75" hidden="false" customHeight="true" outlineLevel="0" collapsed="false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customFormat="false" ht="15.75" hidden="false" customHeight="true" outlineLevel="0" collapsed="false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customFormat="false" ht="15.75" hidden="false" customHeight="true" outlineLevel="0" collapsed="false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customFormat="false" ht="15.75" hidden="false" customHeight="true" outlineLevel="0" collapsed="false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customFormat="false" ht="15.75" hidden="false" customHeight="true" outlineLevel="0" collapsed="false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customFormat="false" ht="15.75" hidden="false" customHeight="true" outlineLevel="0" collapsed="false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customFormat="false" ht="15.75" hidden="false" customHeight="true" outlineLevel="0" collapsed="false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customFormat="false" ht="15.75" hidden="false" customHeight="true" outlineLevel="0" collapsed="false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customFormat="false" ht="15.75" hidden="false" customHeight="true" outlineLevel="0" collapsed="false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customFormat="false" ht="15.75" hidden="false" customHeight="true" outlineLevel="0" collapsed="false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customFormat="false" ht="15.75" hidden="false" customHeight="true" outlineLevel="0" collapsed="false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customFormat="false" ht="15.75" hidden="false" customHeight="true" outlineLevel="0" collapsed="false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customFormat="false" ht="15.75" hidden="false" customHeight="true" outlineLevel="0" collapsed="false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customFormat="false" ht="15.75" hidden="false" customHeight="true" outlineLevel="0" collapsed="false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customFormat="false" ht="15.75" hidden="false" customHeight="true" outlineLevel="0" collapsed="false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customFormat="false" ht="15.75" hidden="false" customHeight="true" outlineLevel="0" collapsed="false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customFormat="false" ht="15.75" hidden="false" customHeight="true" outlineLevel="0" collapsed="false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customFormat="false" ht="15.75" hidden="false" customHeight="true" outlineLevel="0" collapsed="false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customFormat="false" ht="15.75" hidden="false" customHeight="true" outlineLevel="0" collapsed="false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customFormat="false" ht="15.75" hidden="false" customHeight="true" outlineLevel="0" collapsed="false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customFormat="false" ht="15.75" hidden="false" customHeight="true" outlineLevel="0" collapsed="false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customFormat="false" ht="15.75" hidden="false" customHeight="true" outlineLevel="0" collapsed="false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customFormat="false" ht="15.75" hidden="false" customHeight="true" outlineLevel="0" collapsed="false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customFormat="false" ht="15.75" hidden="false" customHeight="true" outlineLevel="0" collapsed="false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customFormat="false" ht="15.75" hidden="false" customHeight="true" outlineLevel="0" collapsed="false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customFormat="false" ht="15.75" hidden="false" customHeight="true" outlineLevel="0" collapsed="false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customFormat="false" ht="15.75" hidden="false" customHeight="true" outlineLevel="0" collapsed="false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customFormat="false" ht="15.75" hidden="false" customHeight="true" outlineLevel="0" collapsed="false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customFormat="false" ht="15.75" hidden="false" customHeight="true" outlineLevel="0" collapsed="false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customFormat="false" ht="15.75" hidden="false" customHeight="true" outlineLevel="0" collapsed="false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customFormat="false" ht="15.75" hidden="false" customHeight="true" outlineLevel="0" collapsed="false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customFormat="false" ht="15.75" hidden="false" customHeight="true" outlineLevel="0" collapsed="false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customFormat="false" ht="15.75" hidden="false" customHeight="true" outlineLevel="0" collapsed="false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customFormat="false" ht="15.75" hidden="false" customHeight="true" outlineLevel="0" collapsed="false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customFormat="false" ht="15.75" hidden="false" customHeight="true" outlineLevel="0" collapsed="false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customFormat="false" ht="15.75" hidden="false" customHeight="true" outlineLevel="0" collapsed="false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customFormat="false" ht="15.75" hidden="false" customHeight="true" outlineLevel="0" collapsed="false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customFormat="false" ht="15.75" hidden="false" customHeight="true" outlineLevel="0" collapsed="false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customFormat="false" ht="15.75" hidden="false" customHeight="true" outlineLevel="0" collapsed="false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customFormat="false" ht="15.75" hidden="false" customHeight="true" outlineLevel="0" collapsed="false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customFormat="false" ht="15.75" hidden="false" customHeight="true" outlineLevel="0" collapsed="false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customFormat="false" ht="15.75" hidden="false" customHeight="true" outlineLevel="0" collapsed="false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customFormat="false" ht="15.75" hidden="false" customHeight="true" outlineLevel="0" collapsed="false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customFormat="false" ht="15.75" hidden="false" customHeight="true" outlineLevel="0" collapsed="false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customFormat="false" ht="15.75" hidden="false" customHeight="true" outlineLevel="0" collapsed="false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customFormat="false" ht="15.75" hidden="false" customHeight="true" outlineLevel="0" collapsed="false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customFormat="false" ht="15.75" hidden="false" customHeight="true" outlineLevel="0" collapsed="false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customFormat="false" ht="15.75" hidden="false" customHeight="true" outlineLevel="0" collapsed="false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customFormat="false" ht="15.75" hidden="false" customHeight="true" outlineLevel="0" collapsed="false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customFormat="false" ht="15.75" hidden="false" customHeight="true" outlineLevel="0" collapsed="false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customFormat="false" ht="15.75" hidden="false" customHeight="true" outlineLevel="0" collapsed="false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customFormat="false" ht="15.75" hidden="false" customHeight="true" outlineLevel="0" collapsed="false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customFormat="false" ht="15.75" hidden="false" customHeight="true" outlineLevel="0" collapsed="false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customFormat="false" ht="15.75" hidden="false" customHeight="true" outlineLevel="0" collapsed="false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customFormat="false" ht="15.75" hidden="false" customHeight="true" outlineLevel="0" collapsed="false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customFormat="false" ht="15.75" hidden="false" customHeight="true" outlineLevel="0" collapsed="false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customFormat="false" ht="15.75" hidden="false" customHeight="true" outlineLevel="0" collapsed="false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customFormat="false" ht="15.75" hidden="false" customHeight="true" outlineLevel="0" collapsed="false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customFormat="false" ht="15.75" hidden="false" customHeight="true" outlineLevel="0" collapsed="false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customFormat="false" ht="15.75" hidden="false" customHeight="true" outlineLevel="0" collapsed="false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customFormat="false" ht="15.75" hidden="false" customHeight="true" outlineLevel="0" collapsed="false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customFormat="false" ht="15.75" hidden="false" customHeight="true" outlineLevel="0" collapsed="false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customFormat="false" ht="15.75" hidden="false" customHeight="true" outlineLevel="0" collapsed="false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customFormat="false" ht="15.75" hidden="false" customHeight="true" outlineLevel="0" collapsed="false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customFormat="false" ht="15.75" hidden="false" customHeight="true" outlineLevel="0" collapsed="false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customFormat="false" ht="15.75" hidden="false" customHeight="true" outlineLevel="0" collapsed="false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customFormat="false" ht="15.75" hidden="false" customHeight="true" outlineLevel="0" collapsed="false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customFormat="false" ht="15.75" hidden="false" customHeight="true" outlineLevel="0" collapsed="false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customFormat="false" ht="15.75" hidden="false" customHeight="true" outlineLevel="0" collapsed="false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customFormat="false" ht="15.75" hidden="false" customHeight="true" outlineLevel="0" collapsed="false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customFormat="false" ht="15.75" hidden="false" customHeight="true" outlineLevel="0" collapsed="false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customFormat="false" ht="15.75" hidden="false" customHeight="true" outlineLevel="0" collapsed="false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customFormat="false" ht="15.75" hidden="false" customHeight="true" outlineLevel="0" collapsed="false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customFormat="false" ht="15.75" hidden="false" customHeight="true" outlineLevel="0" collapsed="false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customFormat="false" ht="15.75" hidden="false" customHeight="true" outlineLevel="0" collapsed="false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customFormat="false" ht="15.75" hidden="false" customHeight="true" outlineLevel="0" collapsed="false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customFormat="false" ht="15.75" hidden="false" customHeight="true" outlineLevel="0" collapsed="false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customFormat="false" ht="15.75" hidden="false" customHeight="true" outlineLevel="0" collapsed="false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customFormat="false" ht="15.75" hidden="false" customHeight="true" outlineLevel="0" collapsed="false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customFormat="false" ht="15.75" hidden="false" customHeight="true" outlineLevel="0" collapsed="false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customFormat="false" ht="15.75" hidden="false" customHeight="true" outlineLevel="0" collapsed="false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customFormat="false" ht="15.75" hidden="false" customHeight="true" outlineLevel="0" collapsed="false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customFormat="false" ht="15.75" hidden="false" customHeight="true" outlineLevel="0" collapsed="false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customFormat="false" ht="15.75" hidden="false" customHeight="true" outlineLevel="0" collapsed="false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customFormat="false" ht="15.75" hidden="false" customHeight="true" outlineLevel="0" collapsed="false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customFormat="false" ht="15.75" hidden="false" customHeight="true" outlineLevel="0" collapsed="false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customFormat="false" ht="15.75" hidden="false" customHeight="true" outlineLevel="0" collapsed="false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customFormat="false" ht="15.75" hidden="false" customHeight="true" outlineLevel="0" collapsed="false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customFormat="false" ht="15.75" hidden="false" customHeight="true" outlineLevel="0" collapsed="false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customFormat="false" ht="15.75" hidden="false" customHeight="true" outlineLevel="0" collapsed="false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customFormat="false" ht="15.75" hidden="false" customHeight="true" outlineLevel="0" collapsed="false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customFormat="false" ht="15.75" hidden="false" customHeight="true" outlineLevel="0" collapsed="false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customFormat="false" ht="15.75" hidden="false" customHeight="true" outlineLevel="0" collapsed="false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customFormat="false" ht="15.75" hidden="false" customHeight="true" outlineLevel="0" collapsed="false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customFormat="false" ht="15.75" hidden="false" customHeight="true" outlineLevel="0" collapsed="false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customFormat="false" ht="15.75" hidden="false" customHeight="true" outlineLevel="0" collapsed="false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customFormat="false" ht="15.75" hidden="false" customHeight="true" outlineLevel="0" collapsed="false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customFormat="false" ht="15.75" hidden="false" customHeight="true" outlineLevel="0" collapsed="false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customFormat="false" ht="15.75" hidden="false" customHeight="true" outlineLevel="0" collapsed="false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customFormat="false" ht="15.75" hidden="false" customHeight="true" outlineLevel="0" collapsed="false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customFormat="false" ht="15.75" hidden="false" customHeight="true" outlineLevel="0" collapsed="false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customFormat="false" ht="15.75" hidden="false" customHeight="true" outlineLevel="0" collapsed="false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customFormat="false" ht="15.75" hidden="false" customHeight="true" outlineLevel="0" collapsed="false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customFormat="false" ht="15.75" hidden="false" customHeight="true" outlineLevel="0" collapsed="false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customFormat="false" ht="15.75" hidden="false" customHeight="true" outlineLevel="0" collapsed="false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customFormat="false" ht="15.75" hidden="false" customHeight="true" outlineLevel="0" collapsed="false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customFormat="false" ht="15.75" hidden="false" customHeight="true" outlineLevel="0" collapsed="false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customFormat="false" ht="15.75" hidden="false" customHeight="true" outlineLevel="0" collapsed="false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customFormat="false" ht="15.75" hidden="false" customHeight="true" outlineLevel="0" collapsed="false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customFormat="false" ht="15.75" hidden="false" customHeight="true" outlineLevel="0" collapsed="false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customFormat="false" ht="15.75" hidden="false" customHeight="true" outlineLevel="0" collapsed="false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customFormat="false" ht="15.75" hidden="false" customHeight="true" outlineLevel="0" collapsed="false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customFormat="false" ht="15.75" hidden="false" customHeight="true" outlineLevel="0" collapsed="false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customFormat="false" ht="15.75" hidden="false" customHeight="true" outlineLevel="0" collapsed="false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customFormat="false" ht="15.75" hidden="false" customHeight="true" outlineLevel="0" collapsed="false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customFormat="false" ht="15.75" hidden="false" customHeight="true" outlineLevel="0" collapsed="false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customFormat="false" ht="15.75" hidden="false" customHeight="true" outlineLevel="0" collapsed="false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customFormat="false" ht="15.75" hidden="false" customHeight="true" outlineLevel="0" collapsed="false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customFormat="false" ht="15.75" hidden="false" customHeight="true" outlineLevel="0" collapsed="false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customFormat="false" ht="15.75" hidden="false" customHeight="true" outlineLevel="0" collapsed="false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customFormat="false" ht="15.75" hidden="false" customHeight="true" outlineLevel="0" collapsed="false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customFormat="false" ht="15.75" hidden="false" customHeight="true" outlineLevel="0" collapsed="false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customFormat="false" ht="15.75" hidden="false" customHeight="true" outlineLevel="0" collapsed="false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customFormat="false" ht="15.75" hidden="false" customHeight="true" outlineLevel="0" collapsed="false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customFormat="false" ht="15.75" hidden="false" customHeight="true" outlineLevel="0" collapsed="false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customFormat="false" ht="15.75" hidden="false" customHeight="true" outlineLevel="0" collapsed="false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customFormat="false" ht="15.75" hidden="false" customHeight="true" outlineLevel="0" collapsed="false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customFormat="false" ht="15.75" hidden="false" customHeight="true" outlineLevel="0" collapsed="false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customFormat="false" ht="15.75" hidden="false" customHeight="true" outlineLevel="0" collapsed="false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customFormat="false" ht="15.75" hidden="false" customHeight="true" outlineLevel="0" collapsed="false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customFormat="false" ht="15.75" hidden="false" customHeight="true" outlineLevel="0" collapsed="false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customFormat="false" ht="15.75" hidden="false" customHeight="true" outlineLevel="0" collapsed="false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customFormat="false" ht="15.75" hidden="false" customHeight="true" outlineLevel="0" collapsed="false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customFormat="false" ht="15.75" hidden="false" customHeight="true" outlineLevel="0" collapsed="false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customFormat="false" ht="15.75" hidden="false" customHeight="true" outlineLevel="0" collapsed="false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customFormat="false" ht="15.75" hidden="false" customHeight="true" outlineLevel="0" collapsed="false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customFormat="false" ht="15.75" hidden="false" customHeight="true" outlineLevel="0" collapsed="false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customFormat="false" ht="15.75" hidden="false" customHeight="true" outlineLevel="0" collapsed="false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customFormat="false" ht="15.75" hidden="false" customHeight="true" outlineLevel="0" collapsed="false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customFormat="false" ht="15.75" hidden="false" customHeight="true" outlineLevel="0" collapsed="false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customFormat="false" ht="15.75" hidden="false" customHeight="true" outlineLevel="0" collapsed="false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customFormat="false" ht="15.75" hidden="false" customHeight="true" outlineLevel="0" collapsed="false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customFormat="false" ht="15.75" hidden="false" customHeight="true" outlineLevel="0" collapsed="false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customFormat="false" ht="15.75" hidden="false" customHeight="true" outlineLevel="0" collapsed="false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customFormat="false" ht="15.75" hidden="false" customHeight="true" outlineLevel="0" collapsed="false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customFormat="false" ht="15.75" hidden="false" customHeight="true" outlineLevel="0" collapsed="false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customFormat="false" ht="15.75" hidden="false" customHeight="true" outlineLevel="0" collapsed="false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customFormat="false" ht="15.75" hidden="false" customHeight="true" outlineLevel="0" collapsed="false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customFormat="false" ht="15.75" hidden="false" customHeight="true" outlineLevel="0" collapsed="false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customFormat="false" ht="15.75" hidden="false" customHeight="true" outlineLevel="0" collapsed="false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customFormat="false" ht="15.75" hidden="false" customHeight="true" outlineLevel="0" collapsed="false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customFormat="false" ht="15.75" hidden="false" customHeight="true" outlineLevel="0" collapsed="false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customFormat="false" ht="15.75" hidden="false" customHeight="true" outlineLevel="0" collapsed="false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customFormat="false" ht="15.75" hidden="false" customHeight="true" outlineLevel="0" collapsed="false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customFormat="false" ht="15.75" hidden="false" customHeight="true" outlineLevel="0" collapsed="false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customFormat="false" ht="15.75" hidden="false" customHeight="true" outlineLevel="0" collapsed="false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customFormat="false" ht="15.75" hidden="false" customHeight="true" outlineLevel="0" collapsed="false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customFormat="false" ht="15.75" hidden="false" customHeight="true" outlineLevel="0" collapsed="false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customFormat="false" ht="15.75" hidden="false" customHeight="true" outlineLevel="0" collapsed="false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customFormat="false" ht="15.75" hidden="false" customHeight="true" outlineLevel="0" collapsed="false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customFormat="false" ht="15.75" hidden="false" customHeight="true" outlineLevel="0" collapsed="false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customFormat="false" ht="15.75" hidden="false" customHeight="true" outlineLevel="0" collapsed="false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customFormat="false" ht="15.75" hidden="false" customHeight="true" outlineLevel="0" collapsed="false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customFormat="false" ht="15.75" hidden="false" customHeight="true" outlineLevel="0" collapsed="false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customFormat="false" ht="15.75" hidden="false" customHeight="true" outlineLevel="0" collapsed="false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customFormat="false" ht="15.75" hidden="false" customHeight="true" outlineLevel="0" collapsed="false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customFormat="false" ht="15.75" hidden="false" customHeight="true" outlineLevel="0" collapsed="false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customFormat="false" ht="15.75" hidden="false" customHeight="true" outlineLevel="0" collapsed="false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customFormat="false" ht="15.75" hidden="false" customHeight="true" outlineLevel="0" collapsed="false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customFormat="false" ht="15.75" hidden="false" customHeight="true" outlineLevel="0" collapsed="false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customFormat="false" ht="15.75" hidden="false" customHeight="true" outlineLevel="0" collapsed="false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customFormat="false" ht="15.75" hidden="false" customHeight="true" outlineLevel="0" collapsed="false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customFormat="false" ht="15.75" hidden="false" customHeight="true" outlineLevel="0" collapsed="false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customFormat="false" ht="15.75" hidden="false" customHeight="true" outlineLevel="0" collapsed="false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customFormat="false" ht="15.75" hidden="false" customHeight="true" outlineLevel="0" collapsed="false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customFormat="false" ht="15.75" hidden="false" customHeight="true" outlineLevel="0" collapsed="false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customFormat="false" ht="15.75" hidden="false" customHeight="true" outlineLevel="0" collapsed="false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customFormat="false" ht="15.75" hidden="false" customHeight="true" outlineLevel="0" collapsed="false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customFormat="false" ht="15.75" hidden="false" customHeight="true" outlineLevel="0" collapsed="false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customFormat="false" ht="15.75" hidden="false" customHeight="true" outlineLevel="0" collapsed="false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customFormat="false" ht="15.75" hidden="false" customHeight="true" outlineLevel="0" collapsed="false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customFormat="false" ht="15.75" hidden="false" customHeight="true" outlineLevel="0" collapsed="false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customFormat="false" ht="15.75" hidden="false" customHeight="true" outlineLevel="0" collapsed="false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customFormat="false" ht="15.75" hidden="false" customHeight="true" outlineLevel="0" collapsed="false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customFormat="false" ht="15.75" hidden="false" customHeight="true" outlineLevel="0" collapsed="false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customFormat="false" ht="15.75" hidden="false" customHeight="true" outlineLevel="0" collapsed="false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customFormat="false" ht="15.75" hidden="false" customHeight="true" outlineLevel="0" collapsed="false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customFormat="false" ht="15.75" hidden="false" customHeight="true" outlineLevel="0" collapsed="false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customFormat="false" ht="15.75" hidden="false" customHeight="true" outlineLevel="0" collapsed="false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customFormat="false" ht="15.75" hidden="false" customHeight="true" outlineLevel="0" collapsed="false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customFormat="false" ht="15.75" hidden="false" customHeight="true" outlineLevel="0" collapsed="false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customFormat="false" ht="15.75" hidden="false" customHeight="true" outlineLevel="0" collapsed="false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customFormat="false" ht="15.75" hidden="false" customHeight="true" outlineLevel="0" collapsed="false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customFormat="false" ht="15.75" hidden="false" customHeight="true" outlineLevel="0" collapsed="false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customFormat="false" ht="15.75" hidden="false" customHeight="true" outlineLevel="0" collapsed="false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customFormat="false" ht="15.75" hidden="false" customHeight="true" outlineLevel="0" collapsed="false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customFormat="false" ht="15.75" hidden="false" customHeight="true" outlineLevel="0" collapsed="false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customFormat="false" ht="15.75" hidden="false" customHeight="true" outlineLevel="0" collapsed="false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customFormat="false" ht="15.75" hidden="false" customHeight="true" outlineLevel="0" collapsed="false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customFormat="false" ht="15.75" hidden="false" customHeight="true" outlineLevel="0" collapsed="false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customFormat="false" ht="15.75" hidden="false" customHeight="true" outlineLevel="0" collapsed="false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customFormat="false" ht="15.75" hidden="false" customHeight="true" outlineLevel="0" collapsed="false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customFormat="false" ht="15.75" hidden="false" customHeight="true" outlineLevel="0" collapsed="false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customFormat="false" ht="15.75" hidden="false" customHeight="true" outlineLevel="0" collapsed="false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customFormat="false" ht="15.75" hidden="false" customHeight="true" outlineLevel="0" collapsed="false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customFormat="false" ht="15.75" hidden="false" customHeight="true" outlineLevel="0" collapsed="false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customFormat="false" ht="15.75" hidden="false" customHeight="true" outlineLevel="0" collapsed="false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customFormat="false" ht="15.75" hidden="false" customHeight="true" outlineLevel="0" collapsed="false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customFormat="false" ht="15.75" hidden="false" customHeight="true" outlineLevel="0" collapsed="false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customFormat="false" ht="15.75" hidden="false" customHeight="true" outlineLevel="0" collapsed="false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customFormat="false" ht="15.75" hidden="false" customHeight="true" outlineLevel="0" collapsed="false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customFormat="false" ht="15.75" hidden="false" customHeight="true" outlineLevel="0" collapsed="false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customFormat="false" ht="15.75" hidden="false" customHeight="true" outlineLevel="0" collapsed="false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customFormat="false" ht="15.75" hidden="false" customHeight="true" outlineLevel="0" collapsed="false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customFormat="false" ht="15.75" hidden="false" customHeight="true" outlineLevel="0" collapsed="false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customFormat="false" ht="15.75" hidden="false" customHeight="true" outlineLevel="0" collapsed="false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customFormat="false" ht="15.75" hidden="false" customHeight="true" outlineLevel="0" collapsed="false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customFormat="false" ht="15.75" hidden="false" customHeight="true" outlineLevel="0" collapsed="false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customFormat="false" ht="15.75" hidden="false" customHeight="true" outlineLevel="0" collapsed="false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customFormat="false" ht="15.75" hidden="false" customHeight="true" outlineLevel="0" collapsed="false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customFormat="false" ht="15.75" hidden="false" customHeight="true" outlineLevel="0" collapsed="false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customFormat="false" ht="15.75" hidden="false" customHeight="true" outlineLevel="0" collapsed="false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customFormat="false" ht="15.75" hidden="false" customHeight="true" outlineLevel="0" collapsed="false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customFormat="false" ht="15.75" hidden="false" customHeight="true" outlineLevel="0" collapsed="false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customFormat="false" ht="15.75" hidden="false" customHeight="true" outlineLevel="0" collapsed="false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customFormat="false" ht="15.75" hidden="false" customHeight="true" outlineLevel="0" collapsed="false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customFormat="false" ht="15.75" hidden="false" customHeight="true" outlineLevel="0" collapsed="false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customFormat="false" ht="15.75" hidden="false" customHeight="true" outlineLevel="0" collapsed="false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customFormat="false" ht="15.75" hidden="false" customHeight="true" outlineLevel="0" collapsed="false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customFormat="false" ht="15.75" hidden="false" customHeight="true" outlineLevel="0" collapsed="false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customFormat="false" ht="15.75" hidden="false" customHeight="true" outlineLevel="0" collapsed="false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customFormat="false" ht="15.75" hidden="false" customHeight="true" outlineLevel="0" collapsed="false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customFormat="false" ht="15.75" hidden="false" customHeight="true" outlineLevel="0" collapsed="false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customFormat="false" ht="15.75" hidden="false" customHeight="true" outlineLevel="0" collapsed="false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customFormat="false" ht="15.75" hidden="false" customHeight="true" outlineLevel="0" collapsed="false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customFormat="false" ht="15.75" hidden="false" customHeight="true" outlineLevel="0" collapsed="false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customFormat="false" ht="15.75" hidden="false" customHeight="true" outlineLevel="0" collapsed="false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customFormat="false" ht="15.75" hidden="false" customHeight="true" outlineLevel="0" collapsed="false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customFormat="false" ht="15.75" hidden="false" customHeight="true" outlineLevel="0" collapsed="false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customFormat="false" ht="15.75" hidden="false" customHeight="true" outlineLevel="0" collapsed="false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customFormat="false" ht="15.75" hidden="false" customHeight="true" outlineLevel="0" collapsed="false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customFormat="false" ht="15.75" hidden="false" customHeight="true" outlineLevel="0" collapsed="false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customFormat="false" ht="15.75" hidden="false" customHeight="true" outlineLevel="0" collapsed="false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customFormat="false" ht="15.75" hidden="false" customHeight="true" outlineLevel="0" collapsed="false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customFormat="false" ht="15.75" hidden="false" customHeight="true" outlineLevel="0" collapsed="false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customFormat="false" ht="15.75" hidden="false" customHeight="true" outlineLevel="0" collapsed="false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customFormat="false" ht="15.75" hidden="false" customHeight="true" outlineLevel="0" collapsed="false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customFormat="false" ht="15.75" hidden="false" customHeight="true" outlineLevel="0" collapsed="false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customFormat="false" ht="15.75" hidden="false" customHeight="true" outlineLevel="0" collapsed="false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customFormat="false" ht="15.75" hidden="false" customHeight="true" outlineLevel="0" collapsed="false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customFormat="false" ht="15.75" hidden="false" customHeight="true" outlineLevel="0" collapsed="false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customFormat="false" ht="15.75" hidden="false" customHeight="true" outlineLevel="0" collapsed="false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customFormat="false" ht="15.75" hidden="false" customHeight="true" outlineLevel="0" collapsed="false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customFormat="false" ht="15.75" hidden="false" customHeight="true" outlineLevel="0" collapsed="false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customFormat="false" ht="15.75" hidden="false" customHeight="true" outlineLevel="0" collapsed="false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customFormat="false" ht="15.75" hidden="false" customHeight="true" outlineLevel="0" collapsed="false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customFormat="false" ht="15.75" hidden="false" customHeight="true" outlineLevel="0" collapsed="false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customFormat="false" ht="15.75" hidden="false" customHeight="true" outlineLevel="0" collapsed="false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customFormat="false" ht="15.75" hidden="false" customHeight="true" outlineLevel="0" collapsed="false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customFormat="false" ht="15.75" hidden="false" customHeight="true" outlineLevel="0" collapsed="false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customFormat="false" ht="15.75" hidden="false" customHeight="true" outlineLevel="0" collapsed="false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customFormat="false" ht="15.75" hidden="false" customHeight="true" outlineLevel="0" collapsed="false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customFormat="false" ht="15.75" hidden="false" customHeight="true" outlineLevel="0" collapsed="false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customFormat="false" ht="15.75" hidden="false" customHeight="true" outlineLevel="0" collapsed="false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customFormat="false" ht="15.75" hidden="false" customHeight="true" outlineLevel="0" collapsed="false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customFormat="false" ht="15.75" hidden="false" customHeight="true" outlineLevel="0" collapsed="false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customFormat="false" ht="15.75" hidden="false" customHeight="true" outlineLevel="0" collapsed="false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customFormat="false" ht="15.75" hidden="false" customHeight="true" outlineLevel="0" collapsed="false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customFormat="false" ht="15.75" hidden="false" customHeight="true" outlineLevel="0" collapsed="false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customFormat="false" ht="15.75" hidden="false" customHeight="true" outlineLevel="0" collapsed="false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customFormat="false" ht="15.75" hidden="false" customHeight="true" outlineLevel="0" collapsed="false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customFormat="false" ht="15.75" hidden="false" customHeight="true" outlineLevel="0" collapsed="false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customFormat="false" ht="15.75" hidden="false" customHeight="true" outlineLevel="0" collapsed="false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customFormat="false" ht="15.75" hidden="false" customHeight="true" outlineLevel="0" collapsed="false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customFormat="false" ht="15.75" hidden="false" customHeight="true" outlineLevel="0" collapsed="false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customFormat="false" ht="15.75" hidden="false" customHeight="true" outlineLevel="0" collapsed="false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customFormat="false" ht="15.75" hidden="false" customHeight="true" outlineLevel="0" collapsed="false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customFormat="false" ht="15.75" hidden="false" customHeight="true" outlineLevel="0" collapsed="false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customFormat="false" ht="15.75" hidden="false" customHeight="true" outlineLevel="0" collapsed="false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customFormat="false" ht="15.75" hidden="false" customHeight="true" outlineLevel="0" collapsed="false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customFormat="false" ht="15.75" hidden="false" customHeight="true" outlineLevel="0" collapsed="false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customFormat="false" ht="15.75" hidden="false" customHeight="true" outlineLevel="0" collapsed="false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customFormat="false" ht="15.75" hidden="false" customHeight="true" outlineLevel="0" collapsed="false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customFormat="false" ht="15.75" hidden="false" customHeight="true" outlineLevel="0" collapsed="false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customFormat="false" ht="15.75" hidden="false" customHeight="true" outlineLevel="0" collapsed="false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customFormat="false" ht="15.75" hidden="false" customHeight="true" outlineLevel="0" collapsed="false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customFormat="false" ht="15.75" hidden="false" customHeight="true" outlineLevel="0" collapsed="false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customFormat="false" ht="15.75" hidden="false" customHeight="true" outlineLevel="0" collapsed="false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customFormat="false" ht="15.75" hidden="false" customHeight="true" outlineLevel="0" collapsed="false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customFormat="false" ht="15.75" hidden="false" customHeight="true" outlineLevel="0" collapsed="false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customFormat="false" ht="15.75" hidden="false" customHeight="true" outlineLevel="0" collapsed="false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customFormat="false" ht="15.75" hidden="false" customHeight="true" outlineLevel="0" collapsed="false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customFormat="false" ht="15.75" hidden="false" customHeight="true" outlineLevel="0" collapsed="false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customFormat="false" ht="15.75" hidden="false" customHeight="true" outlineLevel="0" collapsed="false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customFormat="false" ht="15.75" hidden="false" customHeight="true" outlineLevel="0" collapsed="false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customFormat="false" ht="15.75" hidden="false" customHeight="true" outlineLevel="0" collapsed="false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customFormat="false" ht="15.75" hidden="false" customHeight="true" outlineLevel="0" collapsed="false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customFormat="false" ht="15.75" hidden="false" customHeight="true" outlineLevel="0" collapsed="false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customFormat="false" ht="15.75" hidden="false" customHeight="true" outlineLevel="0" collapsed="false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customFormat="false" ht="15.75" hidden="false" customHeight="true" outlineLevel="0" collapsed="false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customFormat="false" ht="15.75" hidden="false" customHeight="true" outlineLevel="0" collapsed="false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customFormat="false" ht="15.75" hidden="false" customHeight="true" outlineLevel="0" collapsed="false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customFormat="false" ht="15.75" hidden="false" customHeight="true" outlineLevel="0" collapsed="false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customFormat="false" ht="15.75" hidden="false" customHeight="true" outlineLevel="0" collapsed="false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customFormat="false" ht="15.75" hidden="false" customHeight="true" outlineLevel="0" collapsed="false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customFormat="false" ht="15.75" hidden="false" customHeight="true" outlineLevel="0" collapsed="false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customFormat="false" ht="15.75" hidden="false" customHeight="true" outlineLevel="0" collapsed="false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customFormat="false" ht="15.75" hidden="false" customHeight="true" outlineLevel="0" collapsed="false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customFormat="false" ht="15.75" hidden="false" customHeight="true" outlineLevel="0" collapsed="false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customFormat="false" ht="15.75" hidden="false" customHeight="true" outlineLevel="0" collapsed="false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customFormat="false" ht="15.75" hidden="false" customHeight="true" outlineLevel="0" collapsed="false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customFormat="false" ht="15.75" hidden="false" customHeight="true" outlineLevel="0" collapsed="false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customFormat="false" ht="15.75" hidden="false" customHeight="true" outlineLevel="0" collapsed="false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customFormat="false" ht="15.75" hidden="false" customHeight="true" outlineLevel="0" collapsed="false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customFormat="false" ht="15.75" hidden="false" customHeight="true" outlineLevel="0" collapsed="false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customFormat="false" ht="15.75" hidden="false" customHeight="true" outlineLevel="0" collapsed="false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customFormat="false" ht="15.75" hidden="false" customHeight="true" outlineLevel="0" collapsed="false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customFormat="false" ht="15.75" hidden="false" customHeight="true" outlineLevel="0" collapsed="false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customFormat="false" ht="15.75" hidden="false" customHeight="true" outlineLevel="0" collapsed="false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customFormat="false" ht="15.75" hidden="false" customHeight="true" outlineLevel="0" collapsed="false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customFormat="false" ht="15.75" hidden="false" customHeight="true" outlineLevel="0" collapsed="false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customFormat="false" ht="15.75" hidden="false" customHeight="true" outlineLevel="0" collapsed="false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customFormat="false" ht="15.75" hidden="false" customHeight="true" outlineLevel="0" collapsed="false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customFormat="false" ht="15.75" hidden="false" customHeight="true" outlineLevel="0" collapsed="false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customFormat="false" ht="15.75" hidden="false" customHeight="true" outlineLevel="0" collapsed="false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customFormat="false" ht="15.75" hidden="false" customHeight="true" outlineLevel="0" collapsed="false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customFormat="false" ht="15.75" hidden="false" customHeight="true" outlineLevel="0" collapsed="false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customFormat="false" ht="15.75" hidden="false" customHeight="true" outlineLevel="0" collapsed="false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customFormat="false" ht="15.75" hidden="false" customHeight="true" outlineLevel="0" collapsed="false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customFormat="false" ht="15.75" hidden="false" customHeight="true" outlineLevel="0" collapsed="false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customFormat="false" ht="15.75" hidden="false" customHeight="true" outlineLevel="0" collapsed="false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customFormat="false" ht="15.75" hidden="false" customHeight="true" outlineLevel="0" collapsed="false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customFormat="false" ht="15.75" hidden="false" customHeight="true" outlineLevel="0" collapsed="false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customFormat="false" ht="15.75" hidden="false" customHeight="true" outlineLevel="0" collapsed="false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customFormat="false" ht="15.75" hidden="false" customHeight="true" outlineLevel="0" collapsed="false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customFormat="false" ht="15.75" hidden="false" customHeight="true" outlineLevel="0" collapsed="false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customFormat="false" ht="15.75" hidden="false" customHeight="true" outlineLevel="0" collapsed="false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customFormat="false" ht="15.75" hidden="false" customHeight="true" outlineLevel="0" collapsed="false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customFormat="false" ht="15.75" hidden="false" customHeight="true" outlineLevel="0" collapsed="false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customFormat="false" ht="15.75" hidden="false" customHeight="true" outlineLevel="0" collapsed="false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customFormat="false" ht="15.75" hidden="false" customHeight="true" outlineLevel="0" collapsed="false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customFormat="false" ht="15.75" hidden="false" customHeight="true" outlineLevel="0" collapsed="false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customFormat="false" ht="15.75" hidden="false" customHeight="true" outlineLevel="0" collapsed="false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customFormat="false" ht="15.75" hidden="false" customHeight="true" outlineLevel="0" collapsed="false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customFormat="false" ht="15.75" hidden="false" customHeight="true" outlineLevel="0" collapsed="false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customFormat="false" ht="15.75" hidden="false" customHeight="true" outlineLevel="0" collapsed="false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customFormat="false" ht="15.75" hidden="false" customHeight="true" outlineLevel="0" collapsed="false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customFormat="false" ht="15.75" hidden="false" customHeight="true" outlineLevel="0" collapsed="false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customFormat="false" ht="15.75" hidden="false" customHeight="true" outlineLevel="0" collapsed="false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customFormat="false" ht="15.75" hidden="false" customHeight="true" outlineLevel="0" collapsed="false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customFormat="false" ht="15.75" hidden="false" customHeight="true" outlineLevel="0" collapsed="false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customFormat="false" ht="15.75" hidden="false" customHeight="true" outlineLevel="0" collapsed="false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customFormat="false" ht="15.75" hidden="false" customHeight="true" outlineLevel="0" collapsed="false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customFormat="false" ht="15.75" hidden="false" customHeight="true" outlineLevel="0" collapsed="false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customFormat="false" ht="15.75" hidden="false" customHeight="true" outlineLevel="0" collapsed="false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customFormat="false" ht="15.75" hidden="false" customHeight="true" outlineLevel="0" collapsed="false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customFormat="false" ht="15.75" hidden="false" customHeight="true" outlineLevel="0" collapsed="false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customFormat="false" ht="15.75" hidden="false" customHeight="true" outlineLevel="0" collapsed="false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customFormat="false" ht="15.75" hidden="false" customHeight="true" outlineLevel="0" collapsed="false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customFormat="false" ht="15.75" hidden="false" customHeight="true" outlineLevel="0" collapsed="false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customFormat="false" ht="15.75" hidden="false" customHeight="true" outlineLevel="0" collapsed="false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customFormat="false" ht="15.75" hidden="false" customHeight="true" outlineLevel="0" collapsed="false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customFormat="false" ht="15.75" hidden="false" customHeight="true" outlineLevel="0" collapsed="false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customFormat="false" ht="15.75" hidden="false" customHeight="true" outlineLevel="0" collapsed="false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customFormat="false" ht="15.75" hidden="false" customHeight="true" outlineLevel="0" collapsed="false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customFormat="false" ht="15.75" hidden="false" customHeight="true" outlineLevel="0" collapsed="false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customFormat="false" ht="15.75" hidden="false" customHeight="true" outlineLevel="0" collapsed="false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customFormat="false" ht="15.75" hidden="false" customHeight="true" outlineLevel="0" collapsed="false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customFormat="false" ht="15.75" hidden="false" customHeight="true" outlineLevel="0" collapsed="false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customFormat="false" ht="15.75" hidden="false" customHeight="true" outlineLevel="0" collapsed="false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customFormat="false" ht="15.75" hidden="false" customHeight="true" outlineLevel="0" collapsed="false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customFormat="false" ht="15.75" hidden="false" customHeight="true" outlineLevel="0" collapsed="false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customFormat="false" ht="15.75" hidden="false" customHeight="true" outlineLevel="0" collapsed="false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customFormat="false" ht="15.75" hidden="false" customHeight="true" outlineLevel="0" collapsed="false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customFormat="false" ht="15.75" hidden="false" customHeight="true" outlineLevel="0" collapsed="false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customFormat="false" ht="15.75" hidden="false" customHeight="true" outlineLevel="0" collapsed="false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customFormat="false" ht="15.75" hidden="false" customHeight="true" outlineLevel="0" collapsed="false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customFormat="false" ht="15.75" hidden="false" customHeight="true" outlineLevel="0" collapsed="false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customFormat="false" ht="15.75" hidden="false" customHeight="true" outlineLevel="0" collapsed="false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customFormat="false" ht="15.75" hidden="false" customHeight="true" outlineLevel="0" collapsed="false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customFormat="false" ht="15.75" hidden="false" customHeight="true" outlineLevel="0" collapsed="false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customFormat="false" ht="15.75" hidden="false" customHeight="true" outlineLevel="0" collapsed="false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customFormat="false" ht="15.75" hidden="false" customHeight="true" outlineLevel="0" collapsed="false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customFormat="false" ht="15.75" hidden="false" customHeight="true" outlineLevel="0" collapsed="false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customFormat="false" ht="15.75" hidden="false" customHeight="true" outlineLevel="0" collapsed="false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customFormat="false" ht="15.75" hidden="false" customHeight="true" outlineLevel="0" collapsed="false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customFormat="false" ht="15.75" hidden="false" customHeight="true" outlineLevel="0" collapsed="false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customFormat="false" ht="15.75" hidden="false" customHeight="true" outlineLevel="0" collapsed="false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customFormat="false" ht="15.75" hidden="false" customHeight="true" outlineLevel="0" collapsed="false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customFormat="false" ht="15.75" hidden="false" customHeight="true" outlineLevel="0" collapsed="false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customFormat="false" ht="15.75" hidden="false" customHeight="true" outlineLevel="0" collapsed="false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customFormat="false" ht="15.75" hidden="false" customHeight="true" outlineLevel="0" collapsed="false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customFormat="false" ht="15.75" hidden="false" customHeight="true" outlineLevel="0" collapsed="false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customFormat="false" ht="15.75" hidden="false" customHeight="true" outlineLevel="0" collapsed="false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customFormat="false" ht="15.75" hidden="false" customHeight="true" outlineLevel="0" collapsed="false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customFormat="false" ht="15.75" hidden="false" customHeight="true" outlineLevel="0" collapsed="false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customFormat="false" ht="15.75" hidden="false" customHeight="true" outlineLevel="0" collapsed="false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customFormat="false" ht="15.75" hidden="false" customHeight="true" outlineLevel="0" collapsed="false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customFormat="false" ht="15.75" hidden="false" customHeight="true" outlineLevel="0" collapsed="false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customFormat="false" ht="15.75" hidden="false" customHeight="true" outlineLevel="0" collapsed="false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customFormat="false" ht="15.75" hidden="false" customHeight="true" outlineLevel="0" collapsed="false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customFormat="false" ht="15.75" hidden="false" customHeight="true" outlineLevel="0" collapsed="false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customFormat="false" ht="15.75" hidden="false" customHeight="true" outlineLevel="0" collapsed="false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customFormat="false" ht="15.75" hidden="false" customHeight="true" outlineLevel="0" collapsed="false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customFormat="false" ht="15.75" hidden="false" customHeight="true" outlineLevel="0" collapsed="false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customFormat="false" ht="15.75" hidden="false" customHeight="true" outlineLevel="0" collapsed="false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customFormat="false" ht="15.75" hidden="false" customHeight="true" outlineLevel="0" collapsed="false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customFormat="false" ht="15.75" hidden="false" customHeight="true" outlineLevel="0" collapsed="false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customFormat="false" ht="15.75" hidden="false" customHeight="true" outlineLevel="0" collapsed="false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customFormat="false" ht="15.75" hidden="false" customHeight="true" outlineLevel="0" collapsed="false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customFormat="false" ht="15.75" hidden="false" customHeight="true" outlineLevel="0" collapsed="false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customFormat="false" ht="15.75" hidden="false" customHeight="true" outlineLevel="0" collapsed="false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customFormat="false" ht="15.75" hidden="false" customHeight="true" outlineLevel="0" collapsed="false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customFormat="false" ht="15.75" hidden="false" customHeight="true" outlineLevel="0" collapsed="false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customFormat="false" ht="15.75" hidden="false" customHeight="true" outlineLevel="0" collapsed="false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customFormat="false" ht="15.75" hidden="false" customHeight="true" outlineLevel="0" collapsed="false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customFormat="false" ht="15.75" hidden="false" customHeight="true" outlineLevel="0" collapsed="false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customFormat="false" ht="15.75" hidden="false" customHeight="true" outlineLevel="0" collapsed="false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customFormat="false" ht="15.75" hidden="false" customHeight="true" outlineLevel="0" collapsed="false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customFormat="false" ht="15.75" hidden="false" customHeight="true" outlineLevel="0" collapsed="false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customFormat="false" ht="15.75" hidden="false" customHeight="true" outlineLevel="0" collapsed="false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customFormat="false" ht="15.75" hidden="false" customHeight="true" outlineLevel="0" collapsed="false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customFormat="false" ht="15.75" hidden="false" customHeight="true" outlineLevel="0" collapsed="false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customFormat="false" ht="15.75" hidden="false" customHeight="true" outlineLevel="0" collapsed="false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customFormat="false" ht="15.75" hidden="false" customHeight="true" outlineLevel="0" collapsed="false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customFormat="false" ht="15.75" hidden="false" customHeight="true" outlineLevel="0" collapsed="false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customFormat="false" ht="15.75" hidden="false" customHeight="true" outlineLevel="0" collapsed="false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customFormat="false" ht="15.75" hidden="false" customHeight="true" outlineLevel="0" collapsed="false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customFormat="false" ht="15.75" hidden="false" customHeight="true" outlineLevel="0" collapsed="false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customFormat="false" ht="15.75" hidden="false" customHeight="true" outlineLevel="0" collapsed="false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customFormat="false" ht="15.75" hidden="false" customHeight="true" outlineLevel="0" collapsed="false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customFormat="false" ht="15.75" hidden="false" customHeight="true" outlineLevel="0" collapsed="false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customFormat="false" ht="15.75" hidden="false" customHeight="true" outlineLevel="0" collapsed="false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customFormat="false" ht="15.75" hidden="false" customHeight="true" outlineLevel="0" collapsed="false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customFormat="false" ht="15.75" hidden="false" customHeight="true" outlineLevel="0" collapsed="false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customFormat="false" ht="15.75" hidden="false" customHeight="true" outlineLevel="0" collapsed="false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customFormat="false" ht="15.75" hidden="false" customHeight="true" outlineLevel="0" collapsed="false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customFormat="false" ht="15.75" hidden="false" customHeight="true" outlineLevel="0" collapsed="false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customFormat="false" ht="15.75" hidden="false" customHeight="true" outlineLevel="0" collapsed="false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customFormat="false" ht="15.75" hidden="false" customHeight="true" outlineLevel="0" collapsed="false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customFormat="false" ht="15.75" hidden="false" customHeight="true" outlineLevel="0" collapsed="false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customFormat="false" ht="15.75" hidden="false" customHeight="true" outlineLevel="0" collapsed="false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customFormat="false" ht="15.75" hidden="false" customHeight="true" outlineLevel="0" collapsed="false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customFormat="false" ht="15.75" hidden="false" customHeight="true" outlineLevel="0" collapsed="false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customFormat="false" ht="15.75" hidden="false" customHeight="true" outlineLevel="0" collapsed="false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customFormat="false" ht="15.75" hidden="false" customHeight="true" outlineLevel="0" collapsed="false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customFormat="false" ht="15.75" hidden="false" customHeight="true" outlineLevel="0" collapsed="false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customFormat="false" ht="15.75" hidden="false" customHeight="true" outlineLevel="0" collapsed="false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customFormat="false" ht="15.75" hidden="false" customHeight="true" outlineLevel="0" collapsed="false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customFormat="false" ht="15.75" hidden="false" customHeight="true" outlineLevel="0" collapsed="false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customFormat="false" ht="15.75" hidden="false" customHeight="true" outlineLevel="0" collapsed="false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customFormat="false" ht="15.75" hidden="false" customHeight="true" outlineLevel="0" collapsed="false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customFormat="false" ht="15.75" hidden="false" customHeight="true" outlineLevel="0" collapsed="false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customFormat="false" ht="15.75" hidden="false" customHeight="true" outlineLevel="0" collapsed="false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customFormat="false" ht="15.75" hidden="false" customHeight="true" outlineLevel="0" collapsed="false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customFormat="false" ht="15.75" hidden="false" customHeight="true" outlineLevel="0" collapsed="false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customFormat="false" ht="15.75" hidden="false" customHeight="true" outlineLevel="0" collapsed="false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customFormat="false" ht="15.75" hidden="false" customHeight="true" outlineLevel="0" collapsed="false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customFormat="false" ht="15.75" hidden="false" customHeight="true" outlineLevel="0" collapsed="false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customFormat="false" ht="15.75" hidden="false" customHeight="true" outlineLevel="0" collapsed="false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customFormat="false" ht="15.75" hidden="false" customHeight="true" outlineLevel="0" collapsed="false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customFormat="false" ht="15.75" hidden="false" customHeight="true" outlineLevel="0" collapsed="false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customFormat="false" ht="15.75" hidden="false" customHeight="true" outlineLevel="0" collapsed="false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customFormat="false" ht="15.75" hidden="false" customHeight="true" outlineLevel="0" collapsed="false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customFormat="false" ht="15.75" hidden="false" customHeight="true" outlineLevel="0" collapsed="false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customFormat="false" ht="15.75" hidden="false" customHeight="true" outlineLevel="0" collapsed="false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customFormat="false" ht="15.75" hidden="false" customHeight="true" outlineLevel="0" collapsed="false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customFormat="false" ht="15.75" hidden="false" customHeight="true" outlineLevel="0" collapsed="false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customFormat="false" ht="15.75" hidden="false" customHeight="true" outlineLevel="0" collapsed="false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customFormat="false" ht="15.75" hidden="false" customHeight="true" outlineLevel="0" collapsed="false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customFormat="false" ht="15.75" hidden="false" customHeight="true" outlineLevel="0" collapsed="false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customFormat="false" ht="15.75" hidden="false" customHeight="true" outlineLevel="0" collapsed="false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customFormat="false" ht="15.75" hidden="false" customHeight="true" outlineLevel="0" collapsed="false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customFormat="false" ht="15.75" hidden="false" customHeight="true" outlineLevel="0" collapsed="false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customFormat="false" ht="15.75" hidden="false" customHeight="true" outlineLevel="0" collapsed="false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customFormat="false" ht="15.75" hidden="false" customHeight="true" outlineLevel="0" collapsed="false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customFormat="false" ht="15.75" hidden="false" customHeight="true" outlineLevel="0" collapsed="false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customFormat="false" ht="15.75" hidden="false" customHeight="true" outlineLevel="0" collapsed="false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customFormat="false" ht="15.75" hidden="false" customHeight="true" outlineLevel="0" collapsed="false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customFormat="false" ht="15.75" hidden="false" customHeight="true" outlineLevel="0" collapsed="false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customFormat="false" ht="15.75" hidden="false" customHeight="true" outlineLevel="0" collapsed="false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customFormat="false" ht="15.75" hidden="false" customHeight="true" outlineLevel="0" collapsed="false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customFormat="false" ht="15.75" hidden="false" customHeight="true" outlineLevel="0" collapsed="false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customFormat="false" ht="15.75" hidden="false" customHeight="true" outlineLevel="0" collapsed="false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customFormat="false" ht="15.75" hidden="false" customHeight="true" outlineLevel="0" collapsed="false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customFormat="false" ht="15.75" hidden="false" customHeight="true" outlineLevel="0" collapsed="false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customFormat="false" ht="15.75" hidden="false" customHeight="true" outlineLevel="0" collapsed="false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customFormat="false" ht="15.75" hidden="false" customHeight="true" outlineLevel="0" collapsed="false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customFormat="false" ht="15.75" hidden="false" customHeight="true" outlineLevel="0" collapsed="false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customFormat="false" ht="15.75" hidden="false" customHeight="true" outlineLevel="0" collapsed="false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customFormat="false" ht="15.75" hidden="false" customHeight="true" outlineLevel="0" collapsed="false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customFormat="false" ht="15.75" hidden="false" customHeight="true" outlineLevel="0" collapsed="false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customFormat="false" ht="15.75" hidden="false" customHeight="true" outlineLevel="0" collapsed="false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customFormat="false" ht="15.75" hidden="false" customHeight="true" outlineLevel="0" collapsed="false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customFormat="false" ht="15.75" hidden="false" customHeight="true" outlineLevel="0" collapsed="false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customFormat="false" ht="15.75" hidden="false" customHeight="true" outlineLevel="0" collapsed="false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customFormat="false" ht="15.75" hidden="false" customHeight="true" outlineLevel="0" collapsed="false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customFormat="false" ht="15.75" hidden="false" customHeight="true" outlineLevel="0" collapsed="false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customFormat="false" ht="15.75" hidden="false" customHeight="true" outlineLevel="0" collapsed="false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customFormat="false" ht="15.75" hidden="false" customHeight="true" outlineLevel="0" collapsed="false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customFormat="false" ht="15.75" hidden="false" customHeight="true" outlineLevel="0" collapsed="false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customFormat="false" ht="15.75" hidden="false" customHeight="true" outlineLevel="0" collapsed="false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customFormat="false" ht="15.75" hidden="false" customHeight="true" outlineLevel="0" collapsed="false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customFormat="false" ht="15.75" hidden="false" customHeight="true" outlineLevel="0" collapsed="false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customFormat="false" ht="15.75" hidden="false" customHeight="true" outlineLevel="0" collapsed="false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customFormat="false" ht="15.75" hidden="false" customHeight="true" outlineLevel="0" collapsed="false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customFormat="false" ht="15.75" hidden="false" customHeight="true" outlineLevel="0" collapsed="false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customFormat="false" ht="15.75" hidden="false" customHeight="true" outlineLevel="0" collapsed="false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customFormat="false" ht="15.75" hidden="false" customHeight="true" outlineLevel="0" collapsed="false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customFormat="false" ht="15.75" hidden="false" customHeight="true" outlineLevel="0" collapsed="false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customFormat="false" ht="15.75" hidden="false" customHeight="true" outlineLevel="0" collapsed="false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customFormat="false" ht="15.75" hidden="false" customHeight="true" outlineLevel="0" collapsed="false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customFormat="false" ht="15.75" hidden="false" customHeight="true" outlineLevel="0" collapsed="false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customFormat="false" ht="15.75" hidden="false" customHeight="true" outlineLevel="0" collapsed="false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customFormat="false" ht="15.75" hidden="false" customHeight="true" outlineLevel="0" collapsed="false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customFormat="false" ht="15.75" hidden="false" customHeight="true" outlineLevel="0" collapsed="false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customFormat="false" ht="15.75" hidden="false" customHeight="true" outlineLevel="0" collapsed="false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customFormat="false" ht="15.75" hidden="false" customHeight="true" outlineLevel="0" collapsed="false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customFormat="false" ht="15.75" hidden="false" customHeight="true" outlineLevel="0" collapsed="false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customFormat="false" ht="15.75" hidden="false" customHeight="true" outlineLevel="0" collapsed="false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customFormat="false" ht="15.75" hidden="false" customHeight="true" outlineLevel="0" collapsed="false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customFormat="false" ht="15.75" hidden="false" customHeight="true" outlineLevel="0" collapsed="false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customFormat="false" ht="15.75" hidden="false" customHeight="true" outlineLevel="0" collapsed="false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customFormat="false" ht="15.75" hidden="false" customHeight="true" outlineLevel="0" collapsed="false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customFormat="false" ht="15.75" hidden="false" customHeight="true" outlineLevel="0" collapsed="false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customFormat="false" ht="15.75" hidden="false" customHeight="true" outlineLevel="0" collapsed="false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customFormat="false" ht="15.75" hidden="false" customHeight="true" outlineLevel="0" collapsed="false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customFormat="false" ht="15.75" hidden="false" customHeight="true" outlineLevel="0" collapsed="false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customFormat="false" ht="15.75" hidden="false" customHeight="true" outlineLevel="0" collapsed="false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customFormat="false" ht="15.75" hidden="false" customHeight="true" outlineLevel="0" collapsed="false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customFormat="false" ht="15.75" hidden="false" customHeight="true" outlineLevel="0" collapsed="false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customFormat="false" ht="15.75" hidden="false" customHeight="true" outlineLevel="0" collapsed="false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customFormat="false" ht="15.75" hidden="false" customHeight="true" outlineLevel="0" collapsed="false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customFormat="false" ht="15.75" hidden="false" customHeight="true" outlineLevel="0" collapsed="false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customFormat="false" ht="15.75" hidden="false" customHeight="true" outlineLevel="0" collapsed="false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customFormat="false" ht="15.75" hidden="false" customHeight="true" outlineLevel="0" collapsed="false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customFormat="false" ht="15.75" hidden="false" customHeight="true" outlineLevel="0" collapsed="false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customFormat="false" ht="15.75" hidden="false" customHeight="true" outlineLevel="0" collapsed="false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customFormat="false" ht="15.75" hidden="false" customHeight="true" outlineLevel="0" collapsed="false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customFormat="false" ht="15.75" hidden="false" customHeight="true" outlineLevel="0" collapsed="false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customFormat="false" ht="15.75" hidden="false" customHeight="true" outlineLevel="0" collapsed="false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customFormat="false" ht="15.75" hidden="false" customHeight="true" outlineLevel="0" collapsed="false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customFormat="false" ht="15.75" hidden="false" customHeight="true" outlineLevel="0" collapsed="false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customFormat="false" ht="15.75" hidden="false" customHeight="true" outlineLevel="0" collapsed="false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customFormat="false" ht="15.75" hidden="false" customHeight="true" outlineLevel="0" collapsed="false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customFormat="false" ht="15.75" hidden="false" customHeight="true" outlineLevel="0" collapsed="false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customFormat="false" ht="15.75" hidden="false" customHeight="true" outlineLevel="0" collapsed="false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customFormat="false" ht="15.75" hidden="false" customHeight="true" outlineLevel="0" collapsed="false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customFormat="false" ht="15.75" hidden="false" customHeight="true" outlineLevel="0" collapsed="false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customFormat="false" ht="15.75" hidden="false" customHeight="true" outlineLevel="0" collapsed="false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customFormat="false" ht="15.75" hidden="false" customHeight="true" outlineLevel="0" collapsed="false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customFormat="false" ht="15.75" hidden="false" customHeight="true" outlineLevel="0" collapsed="false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customFormat="false" ht="15.75" hidden="false" customHeight="true" outlineLevel="0" collapsed="false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customFormat="false" ht="15.75" hidden="false" customHeight="true" outlineLevel="0" collapsed="false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customFormat="false" ht="15.75" hidden="false" customHeight="true" outlineLevel="0" collapsed="false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customFormat="false" ht="15.75" hidden="false" customHeight="true" outlineLevel="0" collapsed="false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customFormat="false" ht="15.75" hidden="false" customHeight="true" outlineLevel="0" collapsed="false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customFormat="false" ht="15.75" hidden="false" customHeight="true" outlineLevel="0" collapsed="false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customFormat="false" ht="15.75" hidden="false" customHeight="true" outlineLevel="0" collapsed="false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customFormat="false" ht="15.75" hidden="false" customHeight="true" outlineLevel="0" collapsed="false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customFormat="false" ht="15.75" hidden="false" customHeight="true" outlineLevel="0" collapsed="false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customFormat="false" ht="15.75" hidden="false" customHeight="true" outlineLevel="0" collapsed="false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customFormat="false" ht="15.75" hidden="false" customHeight="true" outlineLevel="0" collapsed="false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customFormat="false" ht="15.75" hidden="false" customHeight="true" outlineLevel="0" collapsed="false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customFormat="false" ht="15.75" hidden="false" customHeight="true" outlineLevel="0" collapsed="false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customFormat="false" ht="15.75" hidden="false" customHeight="true" outlineLevel="0" collapsed="false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customFormat="false" ht="15.75" hidden="false" customHeight="true" outlineLevel="0" collapsed="false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customFormat="false" ht="15.75" hidden="false" customHeight="true" outlineLevel="0" collapsed="false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customFormat="false" ht="15.75" hidden="false" customHeight="true" outlineLevel="0" collapsed="false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customFormat="false" ht="15.75" hidden="false" customHeight="true" outlineLevel="0" collapsed="false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customFormat="false" ht="15.75" hidden="false" customHeight="true" outlineLevel="0" collapsed="false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customFormat="false" ht="15.75" hidden="false" customHeight="true" outlineLevel="0" collapsed="false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customFormat="false" ht="15.75" hidden="false" customHeight="true" outlineLevel="0" collapsed="false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customFormat="false" ht="15.75" hidden="false" customHeight="true" outlineLevel="0" collapsed="false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customFormat="false" ht="15.75" hidden="false" customHeight="true" outlineLevel="0" collapsed="false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customFormat="false" ht="15.75" hidden="false" customHeight="true" outlineLevel="0" collapsed="false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customFormat="false" ht="15.75" hidden="false" customHeight="true" outlineLevel="0" collapsed="false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customFormat="false" ht="15.75" hidden="false" customHeight="true" outlineLevel="0" collapsed="false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customFormat="false" ht="15.75" hidden="false" customHeight="true" outlineLevel="0" collapsed="false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customFormat="false" ht="15.75" hidden="false" customHeight="true" outlineLevel="0" collapsed="false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customFormat="false" ht="15.75" hidden="false" customHeight="true" outlineLevel="0" collapsed="false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customFormat="false" ht="15.75" hidden="false" customHeight="true" outlineLevel="0" collapsed="false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customFormat="false" ht="15.75" hidden="false" customHeight="true" outlineLevel="0" collapsed="false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customFormat="false" ht="15.75" hidden="false" customHeight="true" outlineLevel="0" collapsed="false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customFormat="false" ht="15.75" hidden="false" customHeight="true" outlineLevel="0" collapsed="false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customFormat="false" ht="15.75" hidden="false" customHeight="true" outlineLevel="0" collapsed="false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customFormat="false" ht="15.75" hidden="false" customHeight="true" outlineLevel="0" collapsed="false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customFormat="false" ht="15.75" hidden="false" customHeight="true" outlineLevel="0" collapsed="false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customFormat="false" ht="15.75" hidden="false" customHeight="true" outlineLevel="0" collapsed="false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customFormat="false" ht="15.75" hidden="false" customHeight="true" outlineLevel="0" collapsed="false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customFormat="false" ht="15.75" hidden="false" customHeight="true" outlineLevel="0" collapsed="false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customFormat="false" ht="15.75" hidden="false" customHeight="true" outlineLevel="0" collapsed="false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customFormat="false" ht="15.75" hidden="false" customHeight="true" outlineLevel="0" collapsed="false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customFormat="false" ht="15.75" hidden="false" customHeight="true" outlineLevel="0" collapsed="false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customFormat="false" ht="15.75" hidden="false" customHeight="true" outlineLevel="0" collapsed="false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customFormat="false" ht="15.75" hidden="false" customHeight="true" outlineLevel="0" collapsed="false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customFormat="false" ht="15.75" hidden="false" customHeight="true" outlineLevel="0" collapsed="false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customFormat="false" ht="15.75" hidden="false" customHeight="true" outlineLevel="0" collapsed="false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customFormat="false" ht="15.75" hidden="false" customHeight="true" outlineLevel="0" collapsed="false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customFormat="false" ht="15.75" hidden="false" customHeight="true" outlineLevel="0" collapsed="false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customFormat="false" ht="15.75" hidden="false" customHeight="true" outlineLevel="0" collapsed="false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customFormat="false" ht="15.75" hidden="false" customHeight="true" outlineLevel="0" collapsed="false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customFormat="false" ht="15.75" hidden="false" customHeight="true" outlineLevel="0" collapsed="false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customFormat="false" ht="15.75" hidden="false" customHeight="true" outlineLevel="0" collapsed="false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customFormat="false" ht="15.75" hidden="false" customHeight="true" outlineLevel="0" collapsed="false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customFormat="false" ht="15.75" hidden="false" customHeight="true" outlineLevel="0" collapsed="false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customFormat="false" ht="15.75" hidden="false" customHeight="true" outlineLevel="0" collapsed="false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customFormat="false" ht="15.75" hidden="false" customHeight="true" outlineLevel="0" collapsed="false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customFormat="false" ht="15.75" hidden="false" customHeight="true" outlineLevel="0" collapsed="false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customFormat="false" ht="15.75" hidden="false" customHeight="true" outlineLevel="0" collapsed="false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customFormat="false" ht="15.75" hidden="false" customHeight="true" outlineLevel="0" collapsed="false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customFormat="false" ht="15.75" hidden="false" customHeight="true" outlineLevel="0" collapsed="false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customFormat="false" ht="15.75" hidden="false" customHeight="true" outlineLevel="0" collapsed="false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customFormat="false" ht="15.75" hidden="false" customHeight="true" outlineLevel="0" collapsed="false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customFormat="false" ht="15.75" hidden="false" customHeight="true" outlineLevel="0" collapsed="false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customFormat="false" ht="15.75" hidden="false" customHeight="true" outlineLevel="0" collapsed="false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customFormat="false" ht="15.75" hidden="false" customHeight="true" outlineLevel="0" collapsed="false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customFormat="false" ht="15.75" hidden="false" customHeight="true" outlineLevel="0" collapsed="false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customFormat="false" ht="15.75" hidden="false" customHeight="true" outlineLevel="0" collapsed="false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customFormat="false" ht="15.75" hidden="false" customHeight="true" outlineLevel="0" collapsed="false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customFormat="false" ht="15.75" hidden="false" customHeight="true" outlineLevel="0" collapsed="false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customFormat="false" ht="15.75" hidden="false" customHeight="true" outlineLevel="0" collapsed="false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customFormat="false" ht="15.75" hidden="false" customHeight="true" outlineLevel="0" collapsed="false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customFormat="false" ht="15.75" hidden="false" customHeight="true" outlineLevel="0" collapsed="false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customFormat="false" ht="15.75" hidden="false" customHeight="true" outlineLevel="0" collapsed="false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customFormat="false" ht="15.75" hidden="false" customHeight="true" outlineLevel="0" collapsed="false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customFormat="false" ht="15.75" hidden="false" customHeight="true" outlineLevel="0" collapsed="false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customFormat="false" ht="15.75" hidden="false" customHeight="true" outlineLevel="0" collapsed="false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customFormat="false" ht="15.75" hidden="false" customHeight="true" outlineLevel="0" collapsed="false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customFormat="false" ht="15.75" hidden="false" customHeight="true" outlineLevel="0" collapsed="false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customFormat="false" ht="15.75" hidden="false" customHeight="true" outlineLevel="0" collapsed="false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customFormat="false" ht="15.75" hidden="false" customHeight="true" outlineLevel="0" collapsed="false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customFormat="false" ht="15.75" hidden="false" customHeight="true" outlineLevel="0" collapsed="false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customFormat="false" ht="15.75" hidden="false" customHeight="true" outlineLevel="0" collapsed="false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customFormat="false" ht="15.75" hidden="false" customHeight="true" outlineLevel="0" collapsed="false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customFormat="false" ht="15.75" hidden="false" customHeight="true" outlineLevel="0" collapsed="false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customFormat="false" ht="15.75" hidden="false" customHeight="true" outlineLevel="0" collapsed="false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customFormat="false" ht="15.75" hidden="false" customHeight="true" outlineLevel="0" collapsed="false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customFormat="false" ht="15.75" hidden="false" customHeight="true" outlineLevel="0" collapsed="false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customFormat="false" ht="15.75" hidden="false" customHeight="true" outlineLevel="0" collapsed="false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customFormat="false" ht="15.75" hidden="false" customHeight="true" outlineLevel="0" collapsed="false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customFormat="false" ht="15.75" hidden="false" customHeight="true" outlineLevel="0" collapsed="false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customFormat="false" ht="15.75" hidden="false" customHeight="true" outlineLevel="0" collapsed="false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customFormat="false" ht="15.75" hidden="false" customHeight="true" outlineLevel="0" collapsed="false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customFormat="false" ht="15.75" hidden="false" customHeight="true" outlineLevel="0" collapsed="false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customFormat="false" ht="15.75" hidden="false" customHeight="true" outlineLevel="0" collapsed="false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customFormat="false" ht="15.75" hidden="false" customHeight="true" outlineLevel="0" collapsed="false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customFormat="false" ht="15.75" hidden="false" customHeight="true" outlineLevel="0" collapsed="false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customFormat="false" ht="15.75" hidden="false" customHeight="true" outlineLevel="0" collapsed="false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customFormat="false" ht="15.75" hidden="false" customHeight="true" outlineLevel="0" collapsed="false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customFormat="false" ht="15.75" hidden="false" customHeight="true" outlineLevel="0" collapsed="false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customFormat="false" ht="15.75" hidden="false" customHeight="true" outlineLevel="0" collapsed="false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customFormat="false" ht="15.75" hidden="false" customHeight="true" outlineLevel="0" collapsed="false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customFormat="false" ht="15.75" hidden="false" customHeight="true" outlineLevel="0" collapsed="false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customFormat="false" ht="15.75" hidden="false" customHeight="true" outlineLevel="0" collapsed="false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customFormat="false" ht="15.75" hidden="false" customHeight="true" outlineLevel="0" collapsed="false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customFormat="false" ht="15.75" hidden="false" customHeight="true" outlineLevel="0" collapsed="false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customFormat="false" ht="15.75" hidden="false" customHeight="true" outlineLevel="0" collapsed="false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customFormat="false" ht="15.75" hidden="false" customHeight="true" outlineLevel="0" collapsed="false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customFormat="false" ht="15.75" hidden="false" customHeight="true" outlineLevel="0" collapsed="false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customFormat="false" ht="15.75" hidden="false" customHeight="true" outlineLevel="0" collapsed="false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customFormat="false" ht="15.75" hidden="false" customHeight="true" outlineLevel="0" collapsed="false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customFormat="false" ht="15.75" hidden="false" customHeight="true" outlineLevel="0" collapsed="false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customFormat="false" ht="15.75" hidden="false" customHeight="true" outlineLevel="0" collapsed="false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customFormat="false" ht="15.75" hidden="false" customHeight="true" outlineLevel="0" collapsed="false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customFormat="false" ht="15.75" hidden="false" customHeight="true" outlineLevel="0" collapsed="false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customFormat="false" ht="15.75" hidden="false" customHeight="true" outlineLevel="0" collapsed="false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customFormat="false" ht="15.75" hidden="false" customHeight="true" outlineLevel="0" collapsed="false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customFormat="false" ht="15.75" hidden="false" customHeight="true" outlineLevel="0" collapsed="false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customFormat="false" ht="15.75" hidden="false" customHeight="true" outlineLevel="0" collapsed="false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customFormat="false" ht="15.75" hidden="false" customHeight="true" outlineLevel="0" collapsed="false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customFormat="false" ht="15.75" hidden="false" customHeight="true" outlineLevel="0" collapsed="false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customFormat="false" ht="15.75" hidden="false" customHeight="true" outlineLevel="0" collapsed="false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customFormat="false" ht="15.75" hidden="false" customHeight="true" outlineLevel="0" collapsed="false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customFormat="false" ht="15.75" hidden="false" customHeight="true" outlineLevel="0" collapsed="false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customFormat="false" ht="15.75" hidden="false" customHeight="true" outlineLevel="0" collapsed="false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customFormat="false" ht="15.75" hidden="false" customHeight="true" outlineLevel="0" collapsed="false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customFormat="false" ht="15.75" hidden="false" customHeight="true" outlineLevel="0" collapsed="false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customFormat="false" ht="15.75" hidden="false" customHeight="true" outlineLevel="0" collapsed="false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customFormat="false" ht="15.75" hidden="false" customHeight="true" outlineLevel="0" collapsed="false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customFormat="false" ht="15.75" hidden="false" customHeight="true" outlineLevel="0" collapsed="false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customFormat="false" ht="15.75" hidden="false" customHeight="true" outlineLevel="0" collapsed="false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customFormat="false" ht="15.75" hidden="false" customHeight="true" outlineLevel="0" collapsed="false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customFormat="false" ht="15.75" hidden="false" customHeight="true" outlineLevel="0" collapsed="false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customFormat="false" ht="15.75" hidden="false" customHeight="true" outlineLevel="0" collapsed="false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customFormat="false" ht="15.75" hidden="false" customHeight="true" outlineLevel="0" collapsed="false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customFormat="false" ht="15.75" hidden="false" customHeight="true" outlineLevel="0" collapsed="false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customFormat="false" ht="15.75" hidden="false" customHeight="true" outlineLevel="0" collapsed="false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customFormat="false" ht="15.75" hidden="false" customHeight="true" outlineLevel="0" collapsed="false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customFormat="false" ht="15.75" hidden="false" customHeight="true" outlineLevel="0" collapsed="false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customFormat="false" ht="15.75" hidden="false" customHeight="true" outlineLevel="0" collapsed="false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customFormat="false" ht="15.75" hidden="false" customHeight="true" outlineLevel="0" collapsed="false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customFormat="false" ht="15.75" hidden="false" customHeight="true" outlineLevel="0" collapsed="false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customFormat="false" ht="15.75" hidden="false" customHeight="true" outlineLevel="0" collapsed="false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customFormat="false" ht="15.75" hidden="false" customHeight="true" outlineLevel="0" collapsed="false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customFormat="false" ht="15.75" hidden="false" customHeight="true" outlineLevel="0" collapsed="false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customFormat="false" ht="15.75" hidden="false" customHeight="true" outlineLevel="0" collapsed="false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customFormat="false" ht="15.75" hidden="false" customHeight="true" outlineLevel="0" collapsed="false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customFormat="false" ht="15.75" hidden="false" customHeight="true" outlineLevel="0" collapsed="false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customFormat="false" ht="15.75" hidden="false" customHeight="true" outlineLevel="0" collapsed="false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customFormat="false" ht="15.75" hidden="false" customHeight="true" outlineLevel="0" collapsed="false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customFormat="false" ht="15.75" hidden="false" customHeight="true" outlineLevel="0" collapsed="false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customFormat="false" ht="15.75" hidden="false" customHeight="true" outlineLevel="0" collapsed="false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customFormat="false" ht="15.75" hidden="false" customHeight="true" outlineLevel="0" collapsed="false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customFormat="false" ht="15.75" hidden="false" customHeight="true" outlineLevel="0" collapsed="false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customFormat="false" ht="15.75" hidden="false" customHeight="true" outlineLevel="0" collapsed="false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customFormat="false" ht="15.75" hidden="false" customHeight="true" outlineLevel="0" collapsed="false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customFormat="false" ht="15.75" hidden="false" customHeight="true" outlineLevel="0" collapsed="false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customFormat="false" ht="15.75" hidden="false" customHeight="true" outlineLevel="0" collapsed="false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customFormat="false" ht="15.75" hidden="false" customHeight="true" outlineLevel="0" collapsed="false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customFormat="false" ht="15.75" hidden="false" customHeight="true" outlineLevel="0" collapsed="false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customFormat="false" ht="15.75" hidden="false" customHeight="true" outlineLevel="0" collapsed="false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customFormat="false" ht="15.75" hidden="false" customHeight="true" outlineLevel="0" collapsed="false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customFormat="false" ht="15.75" hidden="false" customHeight="true" outlineLevel="0" collapsed="false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customFormat="false" ht="15.75" hidden="false" customHeight="true" outlineLevel="0" collapsed="false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customFormat="false" ht="15.75" hidden="false" customHeight="true" outlineLevel="0" collapsed="false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customFormat="false" ht="15.75" hidden="false" customHeight="true" outlineLevel="0" collapsed="false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customFormat="false" ht="15.75" hidden="false" customHeight="true" outlineLevel="0" collapsed="false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customFormat="false" ht="15.75" hidden="false" customHeight="true" outlineLevel="0" collapsed="false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customFormat="false" ht="15.75" hidden="false" customHeight="true" outlineLevel="0" collapsed="false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customFormat="false" ht="15.75" hidden="false" customHeight="true" outlineLevel="0" collapsed="false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customFormat="false" ht="15.75" hidden="false" customHeight="true" outlineLevel="0" collapsed="false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customFormat="false" ht="15.75" hidden="false" customHeight="true" outlineLevel="0" collapsed="false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customFormat="false" ht="15.75" hidden="false" customHeight="true" outlineLevel="0" collapsed="false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customFormat="false" ht="15.75" hidden="false" customHeight="true" outlineLevel="0" collapsed="false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customFormat="false" ht="15.75" hidden="false" customHeight="true" outlineLevel="0" collapsed="false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customFormat="false" ht="15.75" hidden="false" customHeight="true" outlineLevel="0" collapsed="false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customFormat="false" ht="15.75" hidden="false" customHeight="true" outlineLevel="0" collapsed="false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customFormat="false" ht="15.75" hidden="false" customHeight="true" outlineLevel="0" collapsed="false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customFormat="false" ht="15.75" hidden="false" customHeight="true" outlineLevel="0" collapsed="false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customFormat="false" ht="15.75" hidden="false" customHeight="true" outlineLevel="0" collapsed="false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customFormat="false" ht="15.75" hidden="false" customHeight="true" outlineLevel="0" collapsed="false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customFormat="false" ht="15.75" hidden="false" customHeight="true" outlineLevel="0" collapsed="false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customFormat="false" ht="15.75" hidden="false" customHeight="true" outlineLevel="0" collapsed="false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customFormat="false" ht="15.75" hidden="false" customHeight="true" outlineLevel="0" collapsed="false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customFormat="false" ht="15.75" hidden="false" customHeight="true" outlineLevel="0" collapsed="false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customFormat="false" ht="15.75" hidden="false" customHeight="true" outlineLevel="0" collapsed="false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customFormat="false" ht="15.75" hidden="false" customHeight="true" outlineLevel="0" collapsed="false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customFormat="false" ht="15.75" hidden="false" customHeight="true" outlineLevel="0" collapsed="false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customFormat="false" ht="15.75" hidden="false" customHeight="true" outlineLevel="0" collapsed="false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customFormat="false" ht="15.75" hidden="false" customHeight="true" outlineLevel="0" collapsed="false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customFormat="false" ht="15.75" hidden="false" customHeight="true" outlineLevel="0" collapsed="false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customFormat="false" ht="15.75" hidden="false" customHeight="true" outlineLevel="0" collapsed="false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customFormat="false" ht="15.75" hidden="false" customHeight="true" outlineLevel="0" collapsed="false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customFormat="false" ht="15.75" hidden="false" customHeight="true" outlineLevel="0" collapsed="false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customFormat="false" ht="15.75" hidden="false" customHeight="true" outlineLevel="0" collapsed="false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customFormat="false" ht="15.75" hidden="false" customHeight="true" outlineLevel="0" collapsed="false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customFormat="false" ht="15.75" hidden="false" customHeight="true" outlineLevel="0" collapsed="false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customFormat="false" ht="15.75" hidden="false" customHeight="true" outlineLevel="0" collapsed="false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customFormat="false" ht="15.75" hidden="false" customHeight="true" outlineLevel="0" collapsed="false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customFormat="false" ht="15.75" hidden="false" customHeight="true" outlineLevel="0" collapsed="false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customFormat="false" ht="15.75" hidden="false" customHeight="true" outlineLevel="0" collapsed="false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customFormat="false" ht="15.75" hidden="false" customHeight="true" outlineLevel="0" collapsed="false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customFormat="false" ht="15.75" hidden="false" customHeight="true" outlineLevel="0" collapsed="false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customFormat="false" ht="15.75" hidden="false" customHeight="true" outlineLevel="0" collapsed="false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customFormat="false" ht="15.75" hidden="false" customHeight="true" outlineLevel="0" collapsed="false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customFormat="false" ht="15.75" hidden="false" customHeight="true" outlineLevel="0" collapsed="false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customFormat="false" ht="15.75" hidden="false" customHeight="true" outlineLevel="0" collapsed="false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customFormat="false" ht="15.75" hidden="false" customHeight="true" outlineLevel="0" collapsed="false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customFormat="false" ht="15.75" hidden="false" customHeight="true" outlineLevel="0" collapsed="false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customFormat="false" ht="15.75" hidden="false" customHeight="true" outlineLevel="0" collapsed="false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customFormat="false" ht="15.75" hidden="false" customHeight="true" outlineLevel="0" collapsed="false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customFormat="false" ht="15.75" hidden="false" customHeight="true" outlineLevel="0" collapsed="false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customFormat="false" ht="15.75" hidden="false" customHeight="true" outlineLevel="0" collapsed="false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customFormat="false" ht="15.75" hidden="false" customHeight="true" outlineLevel="0" collapsed="false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customFormat="false" ht="15.75" hidden="false" customHeight="true" outlineLevel="0" collapsed="false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customFormat="false" ht="15.75" hidden="false" customHeight="true" outlineLevel="0" collapsed="false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customFormat="false" ht="15.75" hidden="false" customHeight="true" outlineLevel="0" collapsed="false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customFormat="false" ht="15.75" hidden="false" customHeight="true" outlineLevel="0" collapsed="false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customFormat="false" ht="15.75" hidden="false" customHeight="true" outlineLevel="0" collapsed="false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customFormat="false" ht="15.75" hidden="false" customHeight="true" outlineLevel="0" collapsed="false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customFormat="false" ht="15.75" hidden="false" customHeight="true" outlineLevel="0" collapsed="false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customFormat="false" ht="15.75" hidden="false" customHeight="true" outlineLevel="0" collapsed="false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customFormat="false" ht="15.75" hidden="false" customHeight="true" outlineLevel="0" collapsed="false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customFormat="false" ht="15.75" hidden="false" customHeight="true" outlineLevel="0" collapsed="false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customFormat="false" ht="15.75" hidden="false" customHeight="true" outlineLevel="0" collapsed="false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customFormat="false" ht="15.75" hidden="false" customHeight="true" outlineLevel="0" collapsed="false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customFormat="false" ht="15.75" hidden="false" customHeight="true" outlineLevel="0" collapsed="false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customFormat="false" ht="15.75" hidden="false" customHeight="true" outlineLevel="0" collapsed="false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customFormat="false" ht="15.75" hidden="false" customHeight="true" outlineLevel="0" collapsed="false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customFormat="false" ht="15.75" hidden="false" customHeight="true" outlineLevel="0" collapsed="false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customFormat="false" ht="15.75" hidden="false" customHeight="true" outlineLevel="0" collapsed="false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customFormat="false" ht="15.75" hidden="false" customHeight="true" outlineLevel="0" collapsed="false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customFormat="false" ht="15.75" hidden="false" customHeight="true" outlineLevel="0" collapsed="false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customFormat="false" ht="15.75" hidden="false" customHeight="true" outlineLevel="0" collapsed="false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customFormat="false" ht="15.75" hidden="false" customHeight="true" outlineLevel="0" collapsed="false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customFormat="false" ht="15.75" hidden="false" customHeight="true" outlineLevel="0" collapsed="false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customFormat="false" ht="15.75" hidden="false" customHeight="true" outlineLevel="0" collapsed="false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customFormat="false" ht="15.75" hidden="false" customHeight="true" outlineLevel="0" collapsed="false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customFormat="false" ht="15.75" hidden="false" customHeight="true" outlineLevel="0" collapsed="false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customFormat="false" ht="15.75" hidden="false" customHeight="true" outlineLevel="0" collapsed="false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customFormat="false" ht="15.75" hidden="false" customHeight="true" outlineLevel="0" collapsed="false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customFormat="false" ht="15.75" hidden="false" customHeight="true" outlineLevel="0" collapsed="false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customFormat="false" ht="15.75" hidden="false" customHeight="true" outlineLevel="0" collapsed="false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customFormat="false" ht="15.75" hidden="false" customHeight="true" outlineLevel="0" collapsed="false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customFormat="false" ht="15.75" hidden="false" customHeight="true" outlineLevel="0" collapsed="false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customFormat="false" ht="15.75" hidden="false" customHeight="true" outlineLevel="0" collapsed="false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customFormat="false" ht="15.75" hidden="false" customHeight="true" outlineLevel="0" collapsed="false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customFormat="false" ht="15.75" hidden="false" customHeight="true" outlineLevel="0" collapsed="false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customFormat="false" ht="15.75" hidden="false" customHeight="true" outlineLevel="0" collapsed="false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customFormat="false" ht="15.75" hidden="false" customHeight="true" outlineLevel="0" collapsed="false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customFormat="false" ht="15.75" hidden="false" customHeight="true" outlineLevel="0" collapsed="false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customFormat="false" ht="15.75" hidden="false" customHeight="true" outlineLevel="0" collapsed="false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customFormat="false" ht="15.75" hidden="false" customHeight="true" outlineLevel="0" collapsed="false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customFormat="false" ht="15.75" hidden="false" customHeight="true" outlineLevel="0" collapsed="false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customFormat="false" ht="15.75" hidden="false" customHeight="true" outlineLevel="0" collapsed="false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customFormat="false" ht="15.75" hidden="false" customHeight="true" outlineLevel="0" collapsed="false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customFormat="false" ht="15.75" hidden="false" customHeight="true" outlineLevel="0" collapsed="false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customFormat="false" ht="15.75" hidden="false" customHeight="true" outlineLevel="0" collapsed="false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customFormat="false" ht="15.75" hidden="false" customHeight="true" outlineLevel="0" collapsed="false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customFormat="false" ht="15.75" hidden="false" customHeight="true" outlineLevel="0" collapsed="false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customFormat="false" ht="15.75" hidden="false" customHeight="true" outlineLevel="0" collapsed="false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customFormat="false" ht="15.75" hidden="false" customHeight="true" outlineLevel="0" collapsed="false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customFormat="false" ht="15.75" hidden="false" customHeight="true" outlineLevel="0" collapsed="false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customFormat="false" ht="15.75" hidden="false" customHeight="true" outlineLevel="0" collapsed="false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customFormat="false" ht="15.75" hidden="false" customHeight="true" outlineLevel="0" collapsed="false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customFormat="false" ht="15.75" hidden="false" customHeight="true" outlineLevel="0" collapsed="false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customFormat="false" ht="15.75" hidden="false" customHeight="true" outlineLevel="0" collapsed="false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customFormat="false" ht="15.75" hidden="false" customHeight="true" outlineLevel="0" collapsed="false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customFormat="false" ht="15.75" hidden="false" customHeight="true" outlineLevel="0" collapsed="false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customFormat="false" ht="15.75" hidden="false" customHeight="true" outlineLevel="0" collapsed="false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customFormat="false" ht="15.75" hidden="false" customHeight="true" outlineLevel="0" collapsed="false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customFormat="false" ht="15.75" hidden="false" customHeight="true" outlineLevel="0" collapsed="false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customFormat="false" ht="15.75" hidden="false" customHeight="true" outlineLevel="0" collapsed="false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customFormat="false" ht="15.75" hidden="false" customHeight="true" outlineLevel="0" collapsed="false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customFormat="false" ht="15.75" hidden="false" customHeight="true" outlineLevel="0" collapsed="false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customFormat="false" ht="15.75" hidden="false" customHeight="true" outlineLevel="0" collapsed="false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customFormat="false" ht="15.75" hidden="false" customHeight="true" outlineLevel="0" collapsed="false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customFormat="false" ht="15.75" hidden="false" customHeight="true" outlineLevel="0" collapsed="false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customFormat="false" ht="15.75" hidden="false" customHeight="true" outlineLevel="0" collapsed="false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customFormat="false" ht="15.75" hidden="false" customHeight="true" outlineLevel="0" collapsed="false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customFormat="false" ht="15.75" hidden="false" customHeight="true" outlineLevel="0" collapsed="false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customFormat="false" ht="15.75" hidden="false" customHeight="true" outlineLevel="0" collapsed="false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customFormat="false" ht="15.75" hidden="false" customHeight="true" outlineLevel="0" collapsed="false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customFormat="false" ht="15.75" hidden="false" customHeight="true" outlineLevel="0" collapsed="false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customFormat="false" ht="15.75" hidden="false" customHeight="true" outlineLevel="0" collapsed="false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customFormat="false" ht="15.75" hidden="false" customHeight="true" outlineLevel="0" collapsed="false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customFormat="false" ht="15.75" hidden="false" customHeight="true" outlineLevel="0" collapsed="false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customFormat="false" ht="15.75" hidden="false" customHeight="true" outlineLevel="0" collapsed="false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customFormat="false" ht="15.75" hidden="false" customHeight="true" outlineLevel="0" collapsed="false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customFormat="false" ht="15.75" hidden="false" customHeight="true" outlineLevel="0" collapsed="false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customFormat="false" ht="15.75" hidden="false" customHeight="true" outlineLevel="0" collapsed="false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customFormat="false" ht="15.75" hidden="false" customHeight="true" outlineLevel="0" collapsed="false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customFormat="false" ht="15.75" hidden="false" customHeight="true" outlineLevel="0" collapsed="false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customFormat="false" ht="15.75" hidden="false" customHeight="true" outlineLevel="0" collapsed="false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customFormat="false" ht="15.75" hidden="false" customHeight="true" outlineLevel="0" collapsed="false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customFormat="false" ht="15.75" hidden="false" customHeight="true" outlineLevel="0" collapsed="false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customFormat="false" ht="15.75" hidden="false" customHeight="true" outlineLevel="0" collapsed="false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customFormat="false" ht="15.75" hidden="false" customHeight="true" outlineLevel="0" collapsed="false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customFormat="false" ht="15.75" hidden="false" customHeight="true" outlineLevel="0" collapsed="false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customFormat="false" ht="15.75" hidden="false" customHeight="true" outlineLevel="0" collapsed="false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customFormat="false" ht="15.75" hidden="false" customHeight="true" outlineLevel="0" collapsed="false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customFormat="false" ht="15.75" hidden="false" customHeight="true" outlineLevel="0" collapsed="false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customFormat="false" ht="15.75" hidden="false" customHeight="true" outlineLevel="0" collapsed="false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customFormat="false" ht="15.75" hidden="false" customHeight="true" outlineLevel="0" collapsed="false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customFormat="false" ht="15.75" hidden="false" customHeight="true" outlineLevel="0" collapsed="false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customFormat="false" ht="15.75" hidden="false" customHeight="true" outlineLevel="0" collapsed="false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customFormat="false" ht="15.75" hidden="false" customHeight="true" outlineLevel="0" collapsed="false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customFormat="false" ht="15.75" hidden="false" customHeight="true" outlineLevel="0" collapsed="false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customFormat="false" ht="15.75" hidden="false" customHeight="true" outlineLevel="0" collapsed="false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customFormat="false" ht="15.75" hidden="false" customHeight="true" outlineLevel="0" collapsed="false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customFormat="false" ht="15.75" hidden="false" customHeight="true" outlineLevel="0" collapsed="false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customFormat="false" ht="15.75" hidden="false" customHeight="true" outlineLevel="0" collapsed="false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customFormat="false" ht="15.75" hidden="false" customHeight="true" outlineLevel="0" collapsed="false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customFormat="false" ht="15.75" hidden="false" customHeight="true" outlineLevel="0" collapsed="false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customFormat="false" ht="15.75" hidden="false" customHeight="true" outlineLevel="0" collapsed="false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customFormat="false" ht="15.75" hidden="false" customHeight="true" outlineLevel="0" collapsed="false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customFormat="false" ht="15.75" hidden="false" customHeight="true" outlineLevel="0" collapsed="false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customFormat="false" ht="15.75" hidden="false" customHeight="true" outlineLevel="0" collapsed="false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customFormat="false" ht="15.75" hidden="false" customHeight="true" outlineLevel="0" collapsed="false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customFormat="false" ht="15.75" hidden="false" customHeight="true" outlineLevel="0" collapsed="false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customFormat="false" ht="15.75" hidden="false" customHeight="true" outlineLevel="0" collapsed="false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customFormat="false" ht="15.75" hidden="false" customHeight="true" outlineLevel="0" collapsed="false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customFormat="false" ht="15.75" hidden="false" customHeight="true" outlineLevel="0" collapsed="false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customFormat="false" ht="15.75" hidden="false" customHeight="true" outlineLevel="0" collapsed="false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customFormat="false" ht="15.75" hidden="false" customHeight="true" outlineLevel="0" collapsed="false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customFormat="false" ht="15.75" hidden="false" customHeight="true" outlineLevel="0" collapsed="false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customFormat="false" ht="15.75" hidden="false" customHeight="true" outlineLevel="0" collapsed="false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customFormat="false" ht="15.75" hidden="false" customHeight="true" outlineLevel="0" collapsed="false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customFormat="false" ht="15.75" hidden="false" customHeight="true" outlineLevel="0" collapsed="false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customFormat="false" ht="15.75" hidden="false" customHeight="true" outlineLevel="0" collapsed="false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customFormat="false" ht="15.75" hidden="false" customHeight="true" outlineLevel="0" collapsed="false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customFormat="false" ht="15.75" hidden="false" customHeight="true" outlineLevel="0" collapsed="false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customFormat="false" ht="15.75" hidden="false" customHeight="true" outlineLevel="0" collapsed="false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customFormat="false" ht="15.75" hidden="false" customHeight="true" outlineLevel="0" collapsed="false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customFormat="false" ht="15.75" hidden="false" customHeight="true" outlineLevel="0" collapsed="false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customFormat="false" ht="15.75" hidden="false" customHeight="true" outlineLevel="0" collapsed="false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customFormat="false" ht="15.75" hidden="false" customHeight="true" outlineLevel="0" collapsed="false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customFormat="false" ht="15.75" hidden="false" customHeight="true" outlineLevel="0" collapsed="false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customFormat="false" ht="15.75" hidden="false" customHeight="true" outlineLevel="0" collapsed="false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customFormat="false" ht="15.75" hidden="false" customHeight="true" outlineLevel="0" collapsed="false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customFormat="false" ht="15.75" hidden="false" customHeight="true" outlineLevel="0" collapsed="false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customFormat="false" ht="15.75" hidden="false" customHeight="true" outlineLevel="0" collapsed="false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customFormat="false" ht="15.75" hidden="false" customHeight="true" outlineLevel="0" collapsed="false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customFormat="false" ht="15.75" hidden="false" customHeight="true" outlineLevel="0" collapsed="false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customFormat="false" ht="15.75" hidden="false" customHeight="true" outlineLevel="0" collapsed="false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customFormat="false" ht="15.75" hidden="false" customHeight="true" outlineLevel="0" collapsed="false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customFormat="false" ht="15.75" hidden="false" customHeight="true" outlineLevel="0" collapsed="false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customFormat="false" ht="15.75" hidden="false" customHeight="true" outlineLevel="0" collapsed="false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customFormat="false" ht="15.75" hidden="false" customHeight="true" outlineLevel="0" collapsed="false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customFormat="false" ht="15.75" hidden="false" customHeight="true" outlineLevel="0" collapsed="false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customFormat="false" ht="15.75" hidden="false" customHeight="true" outlineLevel="0" collapsed="false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customFormat="false" ht="15.75" hidden="false" customHeight="true" outlineLevel="0" collapsed="false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customFormat="false" ht="15.75" hidden="false" customHeight="true" outlineLevel="0" collapsed="false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customFormat="false" ht="15.75" hidden="false" customHeight="true" outlineLevel="0" collapsed="false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customFormat="false" ht="15.75" hidden="false" customHeight="true" outlineLevel="0" collapsed="false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customFormat="false" ht="15.75" hidden="false" customHeight="true" outlineLevel="0" collapsed="false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customFormat="false" ht="15.75" hidden="false" customHeight="true" outlineLevel="0" collapsed="false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customFormat="false" ht="15.75" hidden="false" customHeight="true" outlineLevel="0" collapsed="false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customFormat="false" ht="15.75" hidden="false" customHeight="true" outlineLevel="0" collapsed="false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customFormat="false" ht="15.75" hidden="false" customHeight="true" outlineLevel="0" collapsed="false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customFormat="false" ht="15.75" hidden="false" customHeight="true" outlineLevel="0" collapsed="false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customFormat="false" ht="15.75" hidden="false" customHeight="true" outlineLevel="0" collapsed="false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customFormat="false" ht="15.75" hidden="false" customHeight="true" outlineLevel="0" collapsed="false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customFormat="false" ht="15.75" hidden="false" customHeight="true" outlineLevel="0" collapsed="false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customFormat="false" ht="15.75" hidden="false" customHeight="true" outlineLevel="0" collapsed="false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customFormat="false" ht="15.75" hidden="false" customHeight="true" outlineLevel="0" collapsed="false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customFormat="false" ht="15.75" hidden="false" customHeight="true" outlineLevel="0" collapsed="false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customFormat="false" ht="15.75" hidden="false" customHeight="true" outlineLevel="0" collapsed="false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">
    <mergeCell ref="A1:Q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BD97"/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3.71"/>
    <col collapsed="false" customWidth="true" hidden="false" outlineLevel="0" max="2" min="2" style="0" width="9.43"/>
    <col collapsed="false" customWidth="true" hidden="false" outlineLevel="0" max="3" min="3" style="0" width="40.85"/>
    <col collapsed="false" customWidth="true" hidden="false" outlineLevel="0" max="4" min="4" style="0" width="13.71"/>
    <col collapsed="false" customWidth="true" hidden="false" outlineLevel="0" max="5" min="5" style="0" width="15.14"/>
    <col collapsed="false" customWidth="true" hidden="false" outlineLevel="0" max="6" min="6" style="0" width="13.71"/>
    <col collapsed="false" customWidth="true" hidden="false" outlineLevel="0" max="7" min="7" style="0" width="9.43"/>
    <col collapsed="false" customWidth="true" hidden="false" outlineLevel="0" max="8" min="8" style="0" width="13"/>
    <col collapsed="false" customWidth="true" hidden="false" outlineLevel="0" max="9" min="9" style="0" width="12.29"/>
    <col collapsed="false" customWidth="true" hidden="false" outlineLevel="0" max="11" min="10" style="0" width="9.43"/>
    <col collapsed="false" customWidth="true" hidden="false" outlineLevel="0" max="12" min="12" style="0" width="8.71"/>
    <col collapsed="false" customWidth="true" hidden="false" outlineLevel="0" max="13" min="13" style="0" width="11.57"/>
    <col collapsed="false" customWidth="true" hidden="false" outlineLevel="0" max="14" min="14" style="0" width="8.71"/>
    <col collapsed="false" customWidth="true" hidden="false" outlineLevel="0" max="15" min="15" style="0" width="10.85"/>
    <col collapsed="false" customWidth="true" hidden="false" outlineLevel="0" max="16" min="16" style="0" width="8.71"/>
    <col collapsed="false" customWidth="true" hidden="false" outlineLevel="0" max="18" min="17" style="0" width="10.85"/>
    <col collapsed="false" customWidth="true" hidden="false" outlineLevel="0" max="21" min="19" style="0" width="11.57"/>
  </cols>
  <sheetData>
    <row r="1" customFormat="false" ht="15" hidden="false" customHeight="true" outlineLevel="0" collapsed="false">
      <c r="A1" s="96" t="s">
        <v>266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</row>
    <row r="2" customFormat="false" ht="15" hidden="false" customHeight="true" outlineLevel="0" collapsed="false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</row>
    <row r="3" customFormat="false" ht="15" hidden="false" customHeight="true" outlineLevel="0" collapsed="false">
      <c r="A3" s="73" t="s">
        <v>100</v>
      </c>
      <c r="B3" s="74" t="s">
        <v>102</v>
      </c>
      <c r="C3" s="74" t="s">
        <v>103</v>
      </c>
      <c r="D3" s="97" t="s">
        <v>267</v>
      </c>
      <c r="E3" s="97"/>
      <c r="F3" s="97"/>
      <c r="G3" s="97"/>
      <c r="H3" s="97"/>
      <c r="I3" s="97"/>
      <c r="J3" s="98" t="s">
        <v>268</v>
      </c>
      <c r="K3" s="98"/>
      <c r="L3" s="99" t="s">
        <v>269</v>
      </c>
      <c r="M3" s="99"/>
      <c r="N3" s="100" t="s">
        <v>270</v>
      </c>
      <c r="O3" s="100"/>
      <c r="P3" s="101" t="s">
        <v>271</v>
      </c>
      <c r="Q3" s="101"/>
      <c r="R3" s="102" t="s">
        <v>272</v>
      </c>
      <c r="S3" s="103" t="s">
        <v>273</v>
      </c>
      <c r="T3" s="103" t="s">
        <v>274</v>
      </c>
      <c r="U3" s="103" t="s">
        <v>275</v>
      </c>
    </row>
    <row r="4" customFormat="false" ht="41.25" hidden="false" customHeight="true" outlineLevel="0" collapsed="false">
      <c r="A4" s="73"/>
      <c r="B4" s="73"/>
      <c r="C4" s="73"/>
      <c r="D4" s="104" t="s">
        <v>276</v>
      </c>
      <c r="E4" s="104" t="s">
        <v>277</v>
      </c>
      <c r="F4" s="104" t="s">
        <v>278</v>
      </c>
      <c r="G4" s="104" t="s">
        <v>279</v>
      </c>
      <c r="H4" s="104" t="s">
        <v>105</v>
      </c>
      <c r="I4" s="97" t="s">
        <v>280</v>
      </c>
      <c r="J4" s="98" t="s">
        <v>210</v>
      </c>
      <c r="K4" s="98" t="s">
        <v>212</v>
      </c>
      <c r="L4" s="99" t="s">
        <v>225</v>
      </c>
      <c r="M4" s="99" t="s">
        <v>265</v>
      </c>
      <c r="N4" s="105" t="s">
        <v>114</v>
      </c>
      <c r="O4" s="105" t="s">
        <v>115</v>
      </c>
      <c r="P4" s="106" t="s">
        <v>114</v>
      </c>
      <c r="Q4" s="106" t="s">
        <v>116</v>
      </c>
      <c r="R4" s="102"/>
      <c r="S4" s="102"/>
      <c r="T4" s="102"/>
      <c r="U4" s="102"/>
    </row>
    <row r="5" customFormat="false" ht="15" hidden="false" customHeight="true" outlineLevel="0" collapsed="false">
      <c r="A5" s="107" t="s">
        <v>117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</row>
    <row r="6" customFormat="false" ht="15" hidden="false" customHeight="true" outlineLevel="0" collapsed="false">
      <c r="A6" s="79" t="str">
        <f aca="false">'Divisão dos Circuitos'!A5</f>
        <v>01 - Iluminação</v>
      </c>
      <c r="B6" s="79" t="str">
        <f aca="false">'Divisão dos Circuitos'!C5</f>
        <v>QD1</v>
      </c>
      <c r="C6" s="79" t="str">
        <f aca="false">'Divisão dos Circuitos'!D5</f>
        <v>Tornear e Chanfrar, Polimento</v>
      </c>
      <c r="D6" s="108" t="n">
        <f aca="false">'Divisão dos Circuitos'!H5</f>
        <v>2361</v>
      </c>
      <c r="E6" s="108" t="n">
        <f aca="false">'Divisão dos Circuitos'!I5</f>
        <v>2384.84848484849</v>
      </c>
      <c r="F6" s="108" t="n">
        <f aca="false">'Divisão dos Circuitos'!J5</f>
        <v>336.424279272638</v>
      </c>
      <c r="G6" s="80" t="n">
        <f aca="false">'Divisão dos Circuitos'!G5</f>
        <v>0.99</v>
      </c>
      <c r="H6" s="84" t="str">
        <f aca="false">IF('Divisão dos Circuitos'!F5=1,"Monofásico",IF('Divisão dos Circuitos'!F5=2,"Bifásico","Trifásico"))</f>
        <v>Monofásico</v>
      </c>
      <c r="I6" s="80" t="n">
        <f aca="false">'Divisão dos Circuitos'!K5</f>
        <v>10.8402203856749</v>
      </c>
      <c r="J6" s="80" t="n">
        <f aca="false">'Capac.Cond.Corre.'!E5</f>
        <v>1</v>
      </c>
      <c r="K6" s="80" t="n">
        <f aca="false">'Capac.Cond.Corre.'!G5</f>
        <v>1</v>
      </c>
      <c r="L6" s="84" t="n">
        <f aca="false">'Queda de Tensão'!H5</f>
        <v>56.1</v>
      </c>
      <c r="M6" s="80" t="n">
        <f aca="false">Sobrecarga!Q5</f>
        <v>4</v>
      </c>
      <c r="N6" s="95" t="n">
        <f aca="false">'Divisão dos Circuitos'!L5</f>
        <v>1</v>
      </c>
      <c r="O6" s="95" t="n">
        <f aca="false">'Divisão dos Circuitos'!M5</f>
        <v>16</v>
      </c>
      <c r="P6" s="95" t="n">
        <f aca="false">'Divisão dos Circuitos'!N5</f>
        <v>2</v>
      </c>
      <c r="Q6" s="95" t="n">
        <f aca="false">'Divisão dos Circuitos'!O5</f>
        <v>25</v>
      </c>
      <c r="R6" s="79" t="s">
        <v>281</v>
      </c>
      <c r="S6" s="80" t="n">
        <f aca="false">IF(ISNUMBER(SEARCH("R", R6)), I6, 0)</f>
        <v>0</v>
      </c>
      <c r="T6" s="80" t="n">
        <f aca="false">IF(ISNUMBER(SEARCH("S", R6)), I6, 0)</f>
        <v>10.8402203856749</v>
      </c>
      <c r="U6" s="80" t="n">
        <f aca="false">IF(ISNUMBER(SEARCH("T", R6)), I6, 0)</f>
        <v>0</v>
      </c>
    </row>
    <row r="7" customFormat="false" ht="15" hidden="false" customHeight="true" outlineLevel="0" collapsed="false">
      <c r="A7" s="79" t="str">
        <f aca="false">'Divisão dos Circuitos'!A6</f>
        <v>12 - TUGs</v>
      </c>
      <c r="B7" s="79" t="str">
        <f aca="false">'Divisão dos Circuitos'!C6</f>
        <v>QD1</v>
      </c>
      <c r="C7" s="79" t="str">
        <f aca="false">'Divisão dos Circuitos'!D6</f>
        <v>Tornear e Chanfrar - Circuito 1</v>
      </c>
      <c r="D7" s="108" t="n">
        <f aca="false">'Divisão dos Circuitos'!H6</f>
        <v>1920</v>
      </c>
      <c r="E7" s="108" t="n">
        <f aca="false">'Divisão dos Circuitos'!I6</f>
        <v>2400</v>
      </c>
      <c r="F7" s="108" t="n">
        <f aca="false">'Divisão dos Circuitos'!J6</f>
        <v>1440</v>
      </c>
      <c r="G7" s="80" t="n">
        <f aca="false">'Divisão dos Circuitos'!G6</f>
        <v>0.8</v>
      </c>
      <c r="H7" s="84" t="str">
        <f aca="false">IF('Divisão dos Circuitos'!F6=1,"Monofásico",IF('Divisão dos Circuitos'!F6=2,"Bifásico","Trifásico"))</f>
        <v>Monofásico</v>
      </c>
      <c r="I7" s="80" t="n">
        <f aca="false">'Divisão dos Circuitos'!K6</f>
        <v>10.9090909090909</v>
      </c>
      <c r="J7" s="80" t="n">
        <f aca="false">'Capac.Cond.Corre.'!E6</f>
        <v>1</v>
      </c>
      <c r="K7" s="80" t="n">
        <f aca="false">'Capac.Cond.Corre.'!G6</f>
        <v>1</v>
      </c>
      <c r="L7" s="84" t="n">
        <f aca="false">'Queda de Tensão'!H6</f>
        <v>27.8</v>
      </c>
      <c r="M7" s="80" t="n">
        <f aca="false">Sobrecarga!Q6</f>
        <v>2.5</v>
      </c>
      <c r="N7" s="95" t="n">
        <f aca="false">'Divisão dos Circuitos'!L6</f>
        <v>1</v>
      </c>
      <c r="O7" s="95" t="n">
        <f aca="false">'Divisão dos Circuitos'!M6</f>
        <v>16</v>
      </c>
      <c r="P7" s="95" t="n">
        <f aca="false">'Divisão dos Circuitos'!N6</f>
        <v>2</v>
      </c>
      <c r="Q7" s="95" t="n">
        <f aca="false">'Divisão dos Circuitos'!O6</f>
        <v>25</v>
      </c>
      <c r="R7" s="79" t="s">
        <v>282</v>
      </c>
      <c r="S7" s="80" t="n">
        <f aca="false">IF(ISNUMBER(SEARCH("R", R7)), I7, 0)</f>
        <v>0</v>
      </c>
      <c r="T7" s="80" t="n">
        <f aca="false">IF(ISNUMBER(SEARCH("S", R7)), I7, 0)</f>
        <v>0</v>
      </c>
      <c r="U7" s="80" t="n">
        <f aca="false">IF(ISNUMBER(SEARCH("T", R7)), I7, 0)</f>
        <v>10.9090909090909</v>
      </c>
    </row>
    <row r="8" customFormat="false" ht="15" hidden="false" customHeight="true" outlineLevel="0" collapsed="false">
      <c r="A8" s="79" t="str">
        <f aca="false">'Divisão dos Circuitos'!A7</f>
        <v>13 - TUGs</v>
      </c>
      <c r="B8" s="79" t="str">
        <f aca="false">'Divisão dos Circuitos'!C7</f>
        <v>QD1</v>
      </c>
      <c r="C8" s="79" t="str">
        <f aca="false">'Divisão dos Circuitos'!D7</f>
        <v>Tornear e Chanfrar - Circuito 2</v>
      </c>
      <c r="D8" s="108" t="n">
        <f aca="false">'Divisão dos Circuitos'!H7</f>
        <v>1440</v>
      </c>
      <c r="E8" s="108" t="n">
        <f aca="false">'Divisão dos Circuitos'!I7</f>
        <v>1800</v>
      </c>
      <c r="F8" s="108" t="n">
        <f aca="false">'Divisão dos Circuitos'!J7</f>
        <v>1080</v>
      </c>
      <c r="G8" s="80" t="n">
        <f aca="false">'Divisão dos Circuitos'!G7</f>
        <v>0.8</v>
      </c>
      <c r="H8" s="84" t="str">
        <f aca="false">IF('Divisão dos Circuitos'!F7=1,"Monofásico",IF('Divisão dos Circuitos'!F7=2,"Bifásico","Trifásico"))</f>
        <v>Monofásico</v>
      </c>
      <c r="I8" s="80" t="n">
        <f aca="false">'Divisão dos Circuitos'!K7</f>
        <v>8.18181818181818</v>
      </c>
      <c r="J8" s="80" t="n">
        <f aca="false">'Capac.Cond.Corre.'!E7</f>
        <v>1</v>
      </c>
      <c r="K8" s="80" t="n">
        <f aca="false">'Capac.Cond.Corre.'!G7</f>
        <v>1</v>
      </c>
      <c r="L8" s="84" t="n">
        <f aca="false">'Queda de Tensão'!H7</f>
        <v>15.4</v>
      </c>
      <c r="M8" s="80" t="n">
        <f aca="false">Sobrecarga!Q7</f>
        <v>2.5</v>
      </c>
      <c r="N8" s="95" t="n">
        <f aca="false">'Divisão dos Circuitos'!L7</f>
        <v>1</v>
      </c>
      <c r="O8" s="95" t="n">
        <f aca="false">'Divisão dos Circuitos'!M7</f>
        <v>10</v>
      </c>
      <c r="P8" s="95" t="n">
        <f aca="false">'Divisão dos Circuitos'!N7</f>
        <v>2</v>
      </c>
      <c r="Q8" s="95" t="n">
        <f aca="false">'Divisão dos Circuitos'!O7</f>
        <v>25</v>
      </c>
      <c r="R8" s="79" t="s">
        <v>281</v>
      </c>
      <c r="S8" s="80" t="n">
        <f aca="false">IF(ISNUMBER(SEARCH("R", R8)), I8, 0)</f>
        <v>0</v>
      </c>
      <c r="T8" s="80" t="n">
        <f aca="false">IF(ISNUMBER(SEARCH("S", R8)), I8, 0)</f>
        <v>8.18181818181818</v>
      </c>
      <c r="U8" s="80" t="n">
        <f aca="false">IF(ISNUMBER(SEARCH("T", R8)), I8, 0)</f>
        <v>0</v>
      </c>
    </row>
    <row r="9" customFormat="false" ht="15" hidden="false" customHeight="true" outlineLevel="0" collapsed="false">
      <c r="A9" s="79" t="str">
        <f aca="false">'Divisão dos Circuitos'!A8</f>
        <v>14 - TUGs</v>
      </c>
      <c r="B9" s="79" t="str">
        <f aca="false">'Divisão dos Circuitos'!C8</f>
        <v>QD1</v>
      </c>
      <c r="C9" s="79" t="str">
        <f aca="false">'Divisão dos Circuitos'!D8</f>
        <v>Polimento - Circuito 1</v>
      </c>
      <c r="D9" s="108" t="n">
        <f aca="false">'Divisão dos Circuitos'!H8</f>
        <v>1920</v>
      </c>
      <c r="E9" s="108" t="n">
        <f aca="false">'Divisão dos Circuitos'!I8</f>
        <v>2400</v>
      </c>
      <c r="F9" s="108" t="n">
        <f aca="false">'Divisão dos Circuitos'!J8</f>
        <v>1440</v>
      </c>
      <c r="G9" s="80" t="n">
        <f aca="false">'Divisão dos Circuitos'!G8</f>
        <v>0.8</v>
      </c>
      <c r="H9" s="84" t="str">
        <f aca="false">IF('Divisão dos Circuitos'!F8=1,"Monofásico",IF('Divisão dos Circuitos'!F8=2,"Bifásico","Trifásico"))</f>
        <v>Monofásico</v>
      </c>
      <c r="I9" s="80" t="n">
        <f aca="false">'Divisão dos Circuitos'!K8</f>
        <v>10.9090909090909</v>
      </c>
      <c r="J9" s="80" t="n">
        <f aca="false">'Capac.Cond.Corre.'!E8</f>
        <v>1</v>
      </c>
      <c r="K9" s="80" t="n">
        <f aca="false">'Capac.Cond.Corre.'!G8</f>
        <v>1</v>
      </c>
      <c r="L9" s="84" t="n">
        <f aca="false">'Queda de Tensão'!H8</f>
        <v>44.5</v>
      </c>
      <c r="M9" s="80" t="n">
        <f aca="false">Sobrecarga!Q8</f>
        <v>4</v>
      </c>
      <c r="N9" s="95" t="n">
        <f aca="false">'Divisão dos Circuitos'!L8</f>
        <v>1</v>
      </c>
      <c r="O9" s="95" t="n">
        <f aca="false">'Divisão dos Circuitos'!M8</f>
        <v>16</v>
      </c>
      <c r="P9" s="95" t="n">
        <f aca="false">'Divisão dos Circuitos'!N8</f>
        <v>2</v>
      </c>
      <c r="Q9" s="95" t="n">
        <f aca="false">'Divisão dos Circuitos'!O8</f>
        <v>25</v>
      </c>
      <c r="R9" s="79" t="s">
        <v>282</v>
      </c>
      <c r="S9" s="80" t="n">
        <f aca="false">IF(ISNUMBER(SEARCH("R", R9)), I9, 0)</f>
        <v>0</v>
      </c>
      <c r="T9" s="80" t="n">
        <f aca="false">IF(ISNUMBER(SEARCH("S", R9)), I9, 0)</f>
        <v>0</v>
      </c>
      <c r="U9" s="80" t="n">
        <f aca="false">IF(ISNUMBER(SEARCH("T", R9)), I9, 0)</f>
        <v>10.9090909090909</v>
      </c>
    </row>
    <row r="10" customFormat="false" ht="15" hidden="false" customHeight="true" outlineLevel="0" collapsed="false">
      <c r="A10" s="79" t="str">
        <f aca="false">'Divisão dos Circuitos'!A9</f>
        <v>15 - TUGs</v>
      </c>
      <c r="B10" s="79" t="str">
        <f aca="false">'Divisão dos Circuitos'!C9</f>
        <v>QD1</v>
      </c>
      <c r="C10" s="79" t="str">
        <f aca="false">'Divisão dos Circuitos'!D9</f>
        <v>Polimento - Circuito 2</v>
      </c>
      <c r="D10" s="108" t="n">
        <f aca="false">'Divisão dos Circuitos'!H9</f>
        <v>1440</v>
      </c>
      <c r="E10" s="108" t="n">
        <f aca="false">'Divisão dos Circuitos'!I9</f>
        <v>1800</v>
      </c>
      <c r="F10" s="108" t="n">
        <f aca="false">'Divisão dos Circuitos'!J9</f>
        <v>1080</v>
      </c>
      <c r="G10" s="80" t="n">
        <f aca="false">'Divisão dos Circuitos'!G9</f>
        <v>0.8</v>
      </c>
      <c r="H10" s="84" t="str">
        <f aca="false">IF('Divisão dos Circuitos'!F9=1,"Monofásico",IF('Divisão dos Circuitos'!F9=2,"Bifásico","Trifásico"))</f>
        <v>Monofásico</v>
      </c>
      <c r="I10" s="80" t="n">
        <f aca="false">'Divisão dos Circuitos'!K9</f>
        <v>8.18181818181818</v>
      </c>
      <c r="J10" s="80" t="n">
        <f aca="false">'Capac.Cond.Corre.'!E9</f>
        <v>1</v>
      </c>
      <c r="K10" s="80" t="n">
        <f aca="false">'Capac.Cond.Corre.'!G9</f>
        <v>1</v>
      </c>
      <c r="L10" s="84" t="n">
        <f aca="false">'Queda de Tensão'!H9</f>
        <v>54</v>
      </c>
      <c r="M10" s="80" t="n">
        <f aca="false">Sobrecarga!Q9</f>
        <v>4</v>
      </c>
      <c r="N10" s="95" t="n">
        <f aca="false">'Divisão dos Circuitos'!L9</f>
        <v>1</v>
      </c>
      <c r="O10" s="95" t="n">
        <f aca="false">'Divisão dos Circuitos'!M9</f>
        <v>10</v>
      </c>
      <c r="P10" s="95" t="n">
        <f aca="false">'Divisão dos Circuitos'!N9</f>
        <v>2</v>
      </c>
      <c r="Q10" s="95" t="n">
        <f aca="false">'Divisão dos Circuitos'!O9</f>
        <v>25</v>
      </c>
      <c r="R10" s="79" t="s">
        <v>283</v>
      </c>
      <c r="S10" s="80" t="n">
        <f aca="false">IF(ISNUMBER(SEARCH("R", R10)), I10, 0)</f>
        <v>8.18181818181818</v>
      </c>
      <c r="T10" s="80" t="n">
        <f aca="false">IF(ISNUMBER(SEARCH("S", R10)), I10, 0)</f>
        <v>0</v>
      </c>
      <c r="U10" s="80" t="n">
        <f aca="false">IF(ISNUMBER(SEARCH("T", R10)), I10, 0)</f>
        <v>0</v>
      </c>
    </row>
    <row r="11" customFormat="false" ht="15" hidden="false" customHeight="true" outlineLevel="0" collapsed="false">
      <c r="A11" s="79" t="str">
        <f aca="false">'Divisão dos Circuitos'!A10</f>
        <v>22 - TUGs Trifásicas</v>
      </c>
      <c r="B11" s="79" t="str">
        <f aca="false">'Divisão dos Circuitos'!C10</f>
        <v>QD1</v>
      </c>
      <c r="C11" s="79" t="str">
        <f aca="false">'Divisão dos Circuitos'!D10</f>
        <v>Tornear e Chanfrar - Circuito 1</v>
      </c>
      <c r="D11" s="108" t="n">
        <f aca="false">'Divisão dos Circuitos'!H10</f>
        <v>9600</v>
      </c>
      <c r="E11" s="108" t="n">
        <f aca="false">'Divisão dos Circuitos'!I10</f>
        <v>12000</v>
      </c>
      <c r="F11" s="108" t="n">
        <f aca="false">'Divisão dos Circuitos'!J10</f>
        <v>7200</v>
      </c>
      <c r="G11" s="80" t="n">
        <f aca="false">'Divisão dos Circuitos'!G10</f>
        <v>0.8</v>
      </c>
      <c r="H11" s="84" t="str">
        <f aca="false">IF('Divisão dos Circuitos'!F10=1,"Monofásico",IF('Divisão dos Circuitos'!F10=2,"Bifásico","Trifásico"))</f>
        <v>Trifásico</v>
      </c>
      <c r="I11" s="80" t="n">
        <f aca="false">'Divisão dos Circuitos'!K10</f>
        <v>18.2321137638829</v>
      </c>
      <c r="J11" s="80" t="n">
        <f aca="false">'Capac.Cond.Corre.'!E10</f>
        <v>1</v>
      </c>
      <c r="K11" s="80" t="n">
        <f aca="false">'Capac.Cond.Corre.'!G10</f>
        <v>1</v>
      </c>
      <c r="L11" s="84" t="n">
        <f aca="false">'Queda de Tensão'!H10</f>
        <v>25.7</v>
      </c>
      <c r="M11" s="80" t="n">
        <f aca="false">Sobrecarga!Q10</f>
        <v>2.5</v>
      </c>
      <c r="N11" s="95" t="n">
        <f aca="false">'Divisão dos Circuitos'!L10</f>
        <v>3</v>
      </c>
      <c r="O11" s="95" t="n">
        <f aca="false">'Divisão dos Circuitos'!M10</f>
        <v>20</v>
      </c>
      <c r="P11" s="95" t="n">
        <f aca="false">'Divisão dos Circuitos'!N10</f>
        <v>4</v>
      </c>
      <c r="Q11" s="95" t="n">
        <f aca="false">'Divisão dos Circuitos'!O10</f>
        <v>25</v>
      </c>
      <c r="R11" s="79" t="s">
        <v>284</v>
      </c>
      <c r="S11" s="80" t="n">
        <f aca="false">IF(ISNUMBER(SEARCH("R", R11)), I11, 0)</f>
        <v>18.2321137638829</v>
      </c>
      <c r="T11" s="80" t="n">
        <f aca="false">IF(ISNUMBER(SEARCH("S", R11)), I11, 0)</f>
        <v>18.2321137638829</v>
      </c>
      <c r="U11" s="80" t="n">
        <f aca="false">IF(ISNUMBER(SEARCH("T", R11)), I11, 0)</f>
        <v>18.2321137638829</v>
      </c>
    </row>
    <row r="12" customFormat="false" ht="15" hidden="false" customHeight="true" outlineLevel="0" collapsed="false">
      <c r="A12" s="79" t="str">
        <f aca="false">'Divisão dos Circuitos'!A11</f>
        <v>23 - TUGs Trifásicas</v>
      </c>
      <c r="B12" s="79" t="str">
        <f aca="false">'Divisão dos Circuitos'!C11</f>
        <v>QD1</v>
      </c>
      <c r="C12" s="79" t="str">
        <f aca="false">'Divisão dos Circuitos'!D11</f>
        <v>Polimento - Circuito 1</v>
      </c>
      <c r="D12" s="108" t="n">
        <f aca="false">'Divisão dos Circuitos'!H11</f>
        <v>9600</v>
      </c>
      <c r="E12" s="108" t="n">
        <f aca="false">'Divisão dos Circuitos'!I11</f>
        <v>12000</v>
      </c>
      <c r="F12" s="108" t="n">
        <f aca="false">'Divisão dos Circuitos'!J11</f>
        <v>7200</v>
      </c>
      <c r="G12" s="80" t="n">
        <f aca="false">'Divisão dos Circuitos'!G11</f>
        <v>0.8</v>
      </c>
      <c r="H12" s="84" t="str">
        <f aca="false">IF('Divisão dos Circuitos'!F11=1,"Monofásico",IF('Divisão dos Circuitos'!F11=2,"Bifásico","Trifásico"))</f>
        <v>Trifásico</v>
      </c>
      <c r="I12" s="80" t="n">
        <f aca="false">'Divisão dos Circuitos'!K11</f>
        <v>18.2321137638829</v>
      </c>
      <c r="J12" s="80" t="n">
        <f aca="false">'Capac.Cond.Corre.'!E11</f>
        <v>1</v>
      </c>
      <c r="K12" s="80" t="n">
        <f aca="false">'Capac.Cond.Corre.'!G11</f>
        <v>1</v>
      </c>
      <c r="L12" s="84" t="n">
        <f aca="false">'Queda de Tensão'!H11</f>
        <v>42.2</v>
      </c>
      <c r="M12" s="80" t="n">
        <f aca="false">Sobrecarga!Q11</f>
        <v>2.5</v>
      </c>
      <c r="N12" s="95" t="n">
        <f aca="false">'Divisão dos Circuitos'!L11</f>
        <v>3</v>
      </c>
      <c r="O12" s="95" t="n">
        <f aca="false">'Divisão dos Circuitos'!M11</f>
        <v>20</v>
      </c>
      <c r="P12" s="95" t="n">
        <f aca="false">'Divisão dos Circuitos'!N11</f>
        <v>4</v>
      </c>
      <c r="Q12" s="95" t="n">
        <f aca="false">'Divisão dos Circuitos'!O11</f>
        <v>25</v>
      </c>
      <c r="R12" s="79" t="s">
        <v>284</v>
      </c>
      <c r="S12" s="80" t="n">
        <f aca="false">IF(ISNUMBER(SEARCH("R", R12)), I12, 0)</f>
        <v>18.2321137638829</v>
      </c>
      <c r="T12" s="80" t="n">
        <f aca="false">IF(ISNUMBER(SEARCH("S", R12)), I12, 0)</f>
        <v>18.2321137638829</v>
      </c>
      <c r="U12" s="80" t="n">
        <f aca="false">IF(ISNUMBER(SEARCH("T", R12)), I12, 0)</f>
        <v>18.2321137638829</v>
      </c>
    </row>
    <row r="13" customFormat="false" ht="15" hidden="false" customHeight="true" outlineLevel="0" collapsed="false">
      <c r="A13" s="79" t="str">
        <f aca="false">'Divisão dos Circuitos'!A12</f>
        <v>38 - TUGs Trifásicas</v>
      </c>
      <c r="B13" s="79" t="str">
        <f aca="false">'Divisão dos Circuitos'!C12</f>
        <v>QD1</v>
      </c>
      <c r="C13" s="79" t="str">
        <f aca="false">'Divisão dos Circuitos'!D12</f>
        <v>Tornear e Chanfrar - Circuito 2</v>
      </c>
      <c r="D13" s="108" t="n">
        <f aca="false">'Divisão dos Circuitos'!H12</f>
        <v>9600</v>
      </c>
      <c r="E13" s="108" t="n">
        <f aca="false">'Divisão dos Circuitos'!I12</f>
        <v>12000</v>
      </c>
      <c r="F13" s="108" t="n">
        <f aca="false">'Divisão dos Circuitos'!J12</f>
        <v>7200</v>
      </c>
      <c r="G13" s="80" t="n">
        <f aca="false">'Divisão dos Circuitos'!G12</f>
        <v>0.8</v>
      </c>
      <c r="H13" s="84" t="str">
        <f aca="false">IF('Divisão dos Circuitos'!F12=1,"Monofásico",IF('Divisão dos Circuitos'!F12=2,"Bifásico","Trifásico"))</f>
        <v>Trifásico</v>
      </c>
      <c r="I13" s="80" t="n">
        <f aca="false">'Divisão dos Circuitos'!K12</f>
        <v>18.2321137638829</v>
      </c>
      <c r="J13" s="80" t="n">
        <f aca="false">'Capac.Cond.Corre.'!E12</f>
        <v>1</v>
      </c>
      <c r="K13" s="80" t="n">
        <f aca="false">'Capac.Cond.Corre.'!G12</f>
        <v>1</v>
      </c>
      <c r="L13" s="84" t="n">
        <f aca="false">'Queda de Tensão'!H12</f>
        <v>15</v>
      </c>
      <c r="M13" s="80" t="n">
        <f aca="false">Sobrecarga!Q12</f>
        <v>2.5</v>
      </c>
      <c r="N13" s="95" t="n">
        <f aca="false">'Divisão dos Circuitos'!L12</f>
        <v>3</v>
      </c>
      <c r="O13" s="95" t="n">
        <f aca="false">'Divisão dos Circuitos'!M12</f>
        <v>20</v>
      </c>
      <c r="P13" s="95" t="n">
        <f aca="false">'Divisão dos Circuitos'!N12</f>
        <v>4</v>
      </c>
      <c r="Q13" s="95" t="n">
        <f aca="false">'Divisão dos Circuitos'!O12</f>
        <v>25</v>
      </c>
      <c r="R13" s="79" t="s">
        <v>284</v>
      </c>
      <c r="S13" s="80" t="n">
        <f aca="false">IF(ISNUMBER(SEARCH("R", R13)), I13, 0)</f>
        <v>18.2321137638829</v>
      </c>
      <c r="T13" s="80" t="n">
        <f aca="false">IF(ISNUMBER(SEARCH("S", R13)), I13, 0)</f>
        <v>18.2321137638829</v>
      </c>
      <c r="U13" s="80" t="n">
        <f aca="false">IF(ISNUMBER(SEARCH("T", R13)), I13, 0)</f>
        <v>18.2321137638829</v>
      </c>
    </row>
    <row r="14" customFormat="false" ht="15" hidden="false" customHeight="true" outlineLevel="0" collapsed="false">
      <c r="A14" s="79" t="str">
        <f aca="false">'Divisão dos Circuitos'!A13</f>
        <v>39 - TUGs Trifásicas</v>
      </c>
      <c r="B14" s="79" t="str">
        <f aca="false">'Divisão dos Circuitos'!C13</f>
        <v>QD1</v>
      </c>
      <c r="C14" s="79" t="str">
        <f aca="false">'Divisão dos Circuitos'!D13</f>
        <v>Polimento - Circuito 2</v>
      </c>
      <c r="D14" s="108" t="n">
        <f aca="false">'Divisão dos Circuitos'!H13</f>
        <v>9600</v>
      </c>
      <c r="E14" s="108" t="n">
        <f aca="false">'Divisão dos Circuitos'!I13</f>
        <v>12000</v>
      </c>
      <c r="F14" s="108" t="n">
        <f aca="false">'Divisão dos Circuitos'!J13</f>
        <v>7200</v>
      </c>
      <c r="G14" s="80" t="n">
        <f aca="false">'Divisão dos Circuitos'!G13</f>
        <v>0.8</v>
      </c>
      <c r="H14" s="84" t="str">
        <f aca="false">IF('Divisão dos Circuitos'!F13=1,"Monofásico",IF('Divisão dos Circuitos'!F13=2,"Bifásico","Trifásico"))</f>
        <v>Trifásico</v>
      </c>
      <c r="I14" s="80" t="n">
        <f aca="false">'Divisão dos Circuitos'!K13</f>
        <v>18.2321137638829</v>
      </c>
      <c r="J14" s="80" t="n">
        <f aca="false">'Capac.Cond.Corre.'!E13</f>
        <v>1</v>
      </c>
      <c r="K14" s="80" t="n">
        <f aca="false">'Capac.Cond.Corre.'!G13</f>
        <v>1</v>
      </c>
      <c r="L14" s="84" t="n">
        <f aca="false">'Queda de Tensão'!H13</f>
        <v>52.5</v>
      </c>
      <c r="M14" s="80" t="n">
        <f aca="false">Sobrecarga!Q13</f>
        <v>4</v>
      </c>
      <c r="N14" s="95" t="n">
        <f aca="false">'Divisão dos Circuitos'!L13</f>
        <v>3</v>
      </c>
      <c r="O14" s="95" t="n">
        <f aca="false">'Divisão dos Circuitos'!M13</f>
        <v>20</v>
      </c>
      <c r="P14" s="95" t="n">
        <f aca="false">'Divisão dos Circuitos'!N13</f>
        <v>4</v>
      </c>
      <c r="Q14" s="95" t="n">
        <f aca="false">'Divisão dos Circuitos'!O13</f>
        <v>25</v>
      </c>
      <c r="R14" s="79" t="s">
        <v>284</v>
      </c>
      <c r="S14" s="80" t="n">
        <f aca="false">IF(ISNUMBER(SEARCH("R", R14)), I14, 0)</f>
        <v>18.2321137638829</v>
      </c>
      <c r="T14" s="80" t="n">
        <f aca="false">IF(ISNUMBER(SEARCH("S", R14)), I14, 0)</f>
        <v>18.2321137638829</v>
      </c>
      <c r="U14" s="80" t="n">
        <f aca="false">IF(ISNUMBER(SEARCH("T", R14)), I14, 0)</f>
        <v>18.2321137638829</v>
      </c>
    </row>
    <row r="15" customFormat="false" ht="15" hidden="false" customHeight="true" outlineLevel="0" collapsed="false">
      <c r="A15" s="79" t="str">
        <f aca="false">'Divisão dos Circuitos'!A14</f>
        <v>44 - TUE Bancada 1</v>
      </c>
      <c r="B15" s="79" t="str">
        <f aca="false">'Divisão dos Circuitos'!C14</f>
        <v>QD1</v>
      </c>
      <c r="C15" s="79" t="str">
        <f aca="false">'Divisão dos Circuitos'!D14</f>
        <v>Bancada 1</v>
      </c>
      <c r="D15" s="108" t="n">
        <f aca="false">'Divisão dos Circuitos'!H14</f>
        <v>2400</v>
      </c>
      <c r="E15" s="108" t="n">
        <f aca="false">'Divisão dos Circuitos'!I14</f>
        <v>3000</v>
      </c>
      <c r="F15" s="108" t="n">
        <f aca="false">'Divisão dos Circuitos'!J14</f>
        <v>1800</v>
      </c>
      <c r="G15" s="80" t="n">
        <f aca="false">'Divisão dos Circuitos'!G14</f>
        <v>0.8</v>
      </c>
      <c r="H15" s="84" t="str">
        <f aca="false">IF('Divisão dos Circuitos'!F14=1,"Monofásico",IF('Divisão dos Circuitos'!F14=2,"Bifásico","Trifásico"))</f>
        <v>Monofásico</v>
      </c>
      <c r="I15" s="80" t="n">
        <f aca="false">'Divisão dos Circuitos'!K14</f>
        <v>13.6363636363636</v>
      </c>
      <c r="J15" s="80" t="n">
        <f aca="false">'Capac.Cond.Corre.'!E14</f>
        <v>1</v>
      </c>
      <c r="K15" s="80" t="n">
        <f aca="false">'Capac.Cond.Corre.'!G14</f>
        <v>1</v>
      </c>
      <c r="L15" s="84" t="n">
        <f aca="false">'Queda de Tensão'!H14</f>
        <v>27.7</v>
      </c>
      <c r="M15" s="80" t="n">
        <f aca="false">Sobrecarga!Q14</f>
        <v>2.5</v>
      </c>
      <c r="N15" s="95" t="n">
        <f aca="false">'Divisão dos Circuitos'!L14</f>
        <v>1</v>
      </c>
      <c r="O15" s="95" t="n">
        <f aca="false">'Divisão dos Circuitos'!M14</f>
        <v>16</v>
      </c>
      <c r="P15" s="95" t="n">
        <f aca="false">'Divisão dos Circuitos'!N14</f>
        <v>2</v>
      </c>
      <c r="Q15" s="95" t="n">
        <f aca="false">'Divisão dos Circuitos'!O14</f>
        <v>25</v>
      </c>
      <c r="R15" s="79" t="s">
        <v>281</v>
      </c>
      <c r="S15" s="80" t="n">
        <f aca="false">IF(ISNUMBER(SEARCH("R", R15)), I15, 0)</f>
        <v>0</v>
      </c>
      <c r="T15" s="80" t="n">
        <f aca="false">IF(ISNUMBER(SEARCH("S", R15)), I15, 0)</f>
        <v>13.6363636363636</v>
      </c>
      <c r="U15" s="80" t="n">
        <f aca="false">IF(ISNUMBER(SEARCH("T", R15)), I15, 0)</f>
        <v>0</v>
      </c>
    </row>
    <row r="16" customFormat="false" ht="15" hidden="false" customHeight="true" outlineLevel="0" collapsed="false">
      <c r="A16" s="79" t="str">
        <f aca="false">'Divisão dos Circuitos'!A15</f>
        <v>45 - TUE Bancada 2</v>
      </c>
      <c r="B16" s="79" t="str">
        <f aca="false">'Divisão dos Circuitos'!C15</f>
        <v>QD1</v>
      </c>
      <c r="C16" s="79" t="str">
        <f aca="false">'Divisão dos Circuitos'!D15</f>
        <v>Bancada 2</v>
      </c>
      <c r="D16" s="108" t="n">
        <f aca="false">'Divisão dos Circuitos'!H15</f>
        <v>1760</v>
      </c>
      <c r="E16" s="108" t="n">
        <f aca="false">'Divisão dos Circuitos'!I15</f>
        <v>2200</v>
      </c>
      <c r="F16" s="108" t="n">
        <f aca="false">'Divisão dos Circuitos'!J15</f>
        <v>1320</v>
      </c>
      <c r="G16" s="80" t="n">
        <f aca="false">'Divisão dos Circuitos'!G15</f>
        <v>0.8</v>
      </c>
      <c r="H16" s="84" t="str">
        <f aca="false">IF('Divisão dos Circuitos'!F15=1,"Monofásico",IF('Divisão dos Circuitos'!F15=2,"Bifásico","Trifásico"))</f>
        <v>Monofásico</v>
      </c>
      <c r="I16" s="80" t="n">
        <f aca="false">'Divisão dos Circuitos'!K15</f>
        <v>10</v>
      </c>
      <c r="J16" s="80" t="n">
        <f aca="false">'Capac.Cond.Corre.'!E15</f>
        <v>1</v>
      </c>
      <c r="K16" s="80" t="n">
        <f aca="false">'Capac.Cond.Corre.'!G15</f>
        <v>1</v>
      </c>
      <c r="L16" s="84" t="n">
        <f aca="false">'Queda de Tensão'!H15</f>
        <v>30.1</v>
      </c>
      <c r="M16" s="80" t="n">
        <f aca="false">Sobrecarga!Q15</f>
        <v>2.5</v>
      </c>
      <c r="N16" s="95" t="n">
        <f aca="false">'Divisão dos Circuitos'!L15</f>
        <v>1</v>
      </c>
      <c r="O16" s="95" t="n">
        <f aca="false">'Divisão dos Circuitos'!M15</f>
        <v>16</v>
      </c>
      <c r="P16" s="95" t="n">
        <f aca="false">'Divisão dos Circuitos'!N15</f>
        <v>2</v>
      </c>
      <c r="Q16" s="95" t="n">
        <f aca="false">'Divisão dos Circuitos'!O15</f>
        <v>25</v>
      </c>
      <c r="R16" s="79" t="s">
        <v>283</v>
      </c>
      <c r="S16" s="80" t="n">
        <f aca="false">IF(ISNUMBER(SEARCH("R", R16)), I16, 0)</f>
        <v>10</v>
      </c>
      <c r="T16" s="80" t="n">
        <f aca="false">IF(ISNUMBER(SEARCH("S", R16)), I16, 0)</f>
        <v>0</v>
      </c>
      <c r="U16" s="80" t="n">
        <f aca="false">IF(ISNUMBER(SEARCH("T", R16)), I16, 0)</f>
        <v>0</v>
      </c>
    </row>
    <row r="17" customFormat="false" ht="15" hidden="false" customHeight="true" outlineLevel="0" collapsed="false">
      <c r="A17" s="79" t="str">
        <f aca="false">'Divisão dos Circuitos'!A16</f>
        <v>46 - TUE Bancada 3</v>
      </c>
      <c r="B17" s="79" t="str">
        <f aca="false">'Divisão dos Circuitos'!C16</f>
        <v>QD1</v>
      </c>
      <c r="C17" s="79" t="str">
        <f aca="false">'Divisão dos Circuitos'!D16</f>
        <v>Bancada 3</v>
      </c>
      <c r="D17" s="108" t="n">
        <f aca="false">'Divisão dos Circuitos'!H16</f>
        <v>1600</v>
      </c>
      <c r="E17" s="108" t="n">
        <f aca="false">'Divisão dos Circuitos'!I16</f>
        <v>2000</v>
      </c>
      <c r="F17" s="108" t="n">
        <f aca="false">'Divisão dos Circuitos'!J16</f>
        <v>1200</v>
      </c>
      <c r="G17" s="80" t="n">
        <f aca="false">'Divisão dos Circuitos'!G16</f>
        <v>0.8</v>
      </c>
      <c r="H17" s="84" t="str">
        <f aca="false">IF('Divisão dos Circuitos'!F16=1,"Monofásico",IF('Divisão dos Circuitos'!F16=2,"Bifásico","Trifásico"))</f>
        <v>Monofásico</v>
      </c>
      <c r="I17" s="80" t="n">
        <f aca="false">'Divisão dos Circuitos'!K16</f>
        <v>9.09090909090909</v>
      </c>
      <c r="J17" s="80" t="n">
        <f aca="false">'Capac.Cond.Corre.'!E16</f>
        <v>1</v>
      </c>
      <c r="K17" s="80" t="n">
        <f aca="false">'Capac.Cond.Corre.'!G16</f>
        <v>1</v>
      </c>
      <c r="L17" s="84" t="n">
        <f aca="false">'Queda de Tensão'!H16</f>
        <v>34</v>
      </c>
      <c r="M17" s="80" t="n">
        <f aca="false">Sobrecarga!Q16</f>
        <v>2.5</v>
      </c>
      <c r="N17" s="95" t="n">
        <f aca="false">'Divisão dos Circuitos'!L16</f>
        <v>1</v>
      </c>
      <c r="O17" s="95" t="n">
        <f aca="false">'Divisão dos Circuitos'!M16</f>
        <v>10</v>
      </c>
      <c r="P17" s="95" t="n">
        <f aca="false">'Divisão dos Circuitos'!N16</f>
        <v>2</v>
      </c>
      <c r="Q17" s="95" t="n">
        <f aca="false">'Divisão dos Circuitos'!O16</f>
        <v>25</v>
      </c>
      <c r="R17" s="79" t="s">
        <v>282</v>
      </c>
      <c r="S17" s="80" t="n">
        <f aca="false">IF(ISNUMBER(SEARCH("R", R17)), I17, 0)</f>
        <v>0</v>
      </c>
      <c r="T17" s="80" t="n">
        <f aca="false">IF(ISNUMBER(SEARCH("S", R17)), I17, 0)</f>
        <v>0</v>
      </c>
      <c r="U17" s="80" t="n">
        <f aca="false">IF(ISNUMBER(SEARCH("T", R17)), I17, 0)</f>
        <v>9.09090909090909</v>
      </c>
    </row>
    <row r="18" customFormat="false" ht="15" hidden="false" customHeight="true" outlineLevel="0" collapsed="false">
      <c r="A18" s="79" t="str">
        <f aca="false">'Divisão dos Circuitos'!A17</f>
        <v>47 - TUE Bancada 4</v>
      </c>
      <c r="B18" s="79" t="str">
        <f aca="false">'Divisão dos Circuitos'!C17</f>
        <v>QD1</v>
      </c>
      <c r="C18" s="79" t="str">
        <f aca="false">'Divisão dos Circuitos'!D17</f>
        <v>Bancada 4</v>
      </c>
      <c r="D18" s="108" t="n">
        <f aca="false">'Divisão dos Circuitos'!H17</f>
        <v>2720</v>
      </c>
      <c r="E18" s="108" t="n">
        <f aca="false">'Divisão dos Circuitos'!I17</f>
        <v>3400</v>
      </c>
      <c r="F18" s="108" t="n">
        <f aca="false">'Divisão dos Circuitos'!J17</f>
        <v>2040</v>
      </c>
      <c r="G18" s="80" t="n">
        <f aca="false">'Divisão dos Circuitos'!G17</f>
        <v>0.8</v>
      </c>
      <c r="H18" s="84" t="str">
        <f aca="false">IF('Divisão dos Circuitos'!F17=1,"Monofásico",IF('Divisão dos Circuitos'!F17=2,"Bifásico","Trifásico"))</f>
        <v>Monofásico</v>
      </c>
      <c r="I18" s="80" t="n">
        <f aca="false">'Divisão dos Circuitos'!K17</f>
        <v>15.4545454545455</v>
      </c>
      <c r="J18" s="80" t="n">
        <f aca="false">'Capac.Cond.Corre.'!E17</f>
        <v>1</v>
      </c>
      <c r="K18" s="80" t="n">
        <f aca="false">'Capac.Cond.Corre.'!G17</f>
        <v>1</v>
      </c>
      <c r="L18" s="84" t="n">
        <f aca="false">'Queda de Tensão'!H17</f>
        <v>35</v>
      </c>
      <c r="M18" s="80" t="n">
        <f aca="false">Sobrecarga!Q17</f>
        <v>4</v>
      </c>
      <c r="N18" s="95" t="n">
        <f aca="false">'Divisão dos Circuitos'!L17</f>
        <v>1</v>
      </c>
      <c r="O18" s="95" t="n">
        <f aca="false">'Divisão dos Circuitos'!M17</f>
        <v>16</v>
      </c>
      <c r="P18" s="95" t="n">
        <f aca="false">'Divisão dos Circuitos'!N17</f>
        <v>2</v>
      </c>
      <c r="Q18" s="95" t="n">
        <f aca="false">'Divisão dos Circuitos'!O17</f>
        <v>25</v>
      </c>
      <c r="R18" s="79" t="s">
        <v>283</v>
      </c>
      <c r="S18" s="80" t="n">
        <f aca="false">IF(ISNUMBER(SEARCH("R", R18)), I18, 0)</f>
        <v>15.4545454545455</v>
      </c>
      <c r="T18" s="80" t="n">
        <f aca="false">IF(ISNUMBER(SEARCH("S", R18)), I18, 0)</f>
        <v>0</v>
      </c>
      <c r="U18" s="80" t="n">
        <f aca="false">IF(ISNUMBER(SEARCH("T", R18)), I18, 0)</f>
        <v>0</v>
      </c>
    </row>
    <row r="19" customFormat="false" ht="15" hidden="false" customHeight="true" outlineLevel="0" collapsed="false">
      <c r="A19" s="109" t="s">
        <v>285</v>
      </c>
      <c r="B19" s="109"/>
      <c r="C19" s="109"/>
      <c r="D19" s="110" t="n">
        <f aca="false">SUM(D6:D18)</f>
        <v>55961</v>
      </c>
      <c r="E19" s="110" t="n">
        <f aca="false">SUM(E6:E18)</f>
        <v>69384.8484848485</v>
      </c>
      <c r="F19" s="110" t="n">
        <f aca="false">SUM(F6:F18)</f>
        <v>40536.4242792726</v>
      </c>
      <c r="G19" s="111"/>
      <c r="H19" s="112"/>
      <c r="I19" s="111"/>
      <c r="J19" s="111"/>
      <c r="K19" s="111"/>
      <c r="L19" s="112"/>
      <c r="M19" s="111"/>
      <c r="N19" s="109" t="s">
        <v>286</v>
      </c>
      <c r="O19" s="109"/>
      <c r="P19" s="109"/>
      <c r="Q19" s="109"/>
      <c r="R19" s="109"/>
      <c r="S19" s="111" t="n">
        <f aca="false">SUM(S6:S18)</f>
        <v>106.564818691895</v>
      </c>
      <c r="T19" s="111" t="n">
        <f aca="false">SUM(T6:T18)</f>
        <v>105.586857259388</v>
      </c>
      <c r="U19" s="111" t="n">
        <f aca="false">SUM(U6:U18)</f>
        <v>103.837545964623</v>
      </c>
    </row>
    <row r="20" customFormat="false" ht="15" hidden="false" customHeight="true" outlineLevel="0" collapsed="false">
      <c r="A20" s="107" t="s">
        <v>141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</row>
    <row r="21" customFormat="false" ht="15" hidden="false" customHeight="true" outlineLevel="0" collapsed="false">
      <c r="A21" s="79" t="str">
        <f aca="false">'Divisão dos Circuitos'!A19</f>
        <v>02 - Iluminação</v>
      </c>
      <c r="B21" s="79" t="str">
        <f aca="false">'Divisão dos Circuitos'!C19</f>
        <v>QD2</v>
      </c>
      <c r="C21" s="79" t="str">
        <f aca="false">'Divisão dos Circuitos'!D19</f>
        <v>Colagem e Montagem, Sistemas de Serra, BWC 1 e 2</v>
      </c>
      <c r="D21" s="108" t="n">
        <f aca="false">'Divisão dos Circuitos'!H19</f>
        <v>1932.4</v>
      </c>
      <c r="E21" s="108" t="n">
        <f aca="false">'Divisão dos Circuitos'!I19</f>
        <v>1951.91919191919</v>
      </c>
      <c r="F21" s="108" t="n">
        <f aca="false">'Divisão dos Circuitos'!J19</f>
        <v>275.352086940468</v>
      </c>
      <c r="G21" s="80" t="n">
        <f aca="false">'Divisão dos Circuitos'!G19</f>
        <v>0.99</v>
      </c>
      <c r="H21" s="84" t="str">
        <f aca="false">IF('Divisão dos Circuitos'!F19=1,"Monofásico",IF('Divisão dos Circuitos'!F19=2,"Bifásico","Trifásico"))</f>
        <v>Monofásico</v>
      </c>
      <c r="I21" s="80" t="n">
        <f aca="false">'Divisão dos Circuitos'!K19</f>
        <v>8.87235996326905</v>
      </c>
      <c r="J21" s="80" t="n">
        <f aca="false">'Capac.Cond.Corre.'!E19</f>
        <v>1</v>
      </c>
      <c r="K21" s="80" t="n">
        <f aca="false">'Capac.Cond.Corre.'!G19</f>
        <v>0.7</v>
      </c>
      <c r="L21" s="84" t="n">
        <f aca="false">'Queda de Tensão'!H19</f>
        <v>45.1</v>
      </c>
      <c r="M21" s="80" t="n">
        <f aca="false">Sobrecarga!Q19</f>
        <v>4</v>
      </c>
      <c r="N21" s="95" t="n">
        <f aca="false">'Divisão dos Circuitos'!L19</f>
        <v>1</v>
      </c>
      <c r="O21" s="95" t="n">
        <f aca="false">'Divisão dos Circuitos'!M19</f>
        <v>10</v>
      </c>
      <c r="P21" s="95" t="n">
        <f aca="false">'Divisão dos Circuitos'!N19</f>
        <v>2</v>
      </c>
      <c r="Q21" s="95" t="n">
        <f aca="false">'Divisão dos Circuitos'!O19</f>
        <v>25</v>
      </c>
      <c r="R21" s="79" t="s">
        <v>282</v>
      </c>
      <c r="S21" s="80" t="n">
        <f aca="false">IF(ISNUMBER(SEARCH("R", R21)), I21, 0)</f>
        <v>0</v>
      </c>
      <c r="T21" s="80" t="n">
        <f aca="false">IF(ISNUMBER(SEARCH("S", R21)), I21, 0)</f>
        <v>0</v>
      </c>
      <c r="U21" s="80" t="n">
        <f aca="false">IF(ISNUMBER(SEARCH("T", R21)), I21, 0)</f>
        <v>8.87235996326905</v>
      </c>
    </row>
    <row r="22" customFormat="false" ht="15" hidden="false" customHeight="true" outlineLevel="0" collapsed="false">
      <c r="A22" s="79" t="str">
        <f aca="false">'Divisão dos Circuitos'!A20</f>
        <v>05 - Iluminação</v>
      </c>
      <c r="B22" s="79" t="str">
        <f aca="false">'Divisão dos Circuitos'!C20</f>
        <v>QD2</v>
      </c>
      <c r="C22" s="79" t="str">
        <f aca="false">'Divisão dos Circuitos'!D20</f>
        <v>Inspeção Final</v>
      </c>
      <c r="D22" s="108" t="n">
        <f aca="false">'Divisão dos Circuitos'!H20</f>
        <v>1652.7</v>
      </c>
      <c r="E22" s="108" t="n">
        <f aca="false">'Divisão dos Circuitos'!I20</f>
        <v>1669.39393939394</v>
      </c>
      <c r="F22" s="108" t="n">
        <f aca="false">'Divisão dos Circuitos'!J20</f>
        <v>235.496995490847</v>
      </c>
      <c r="G22" s="80" t="n">
        <f aca="false">'Divisão dos Circuitos'!G20</f>
        <v>0.99</v>
      </c>
      <c r="H22" s="84" t="str">
        <f aca="false">IF('Divisão dos Circuitos'!F20=1,"Monofásico",IF('Divisão dos Circuitos'!F20=2,"Bifásico","Trifásico"))</f>
        <v>Monofásico</v>
      </c>
      <c r="I22" s="80" t="n">
        <f aca="false">'Divisão dos Circuitos'!K20</f>
        <v>7.58815426997245</v>
      </c>
      <c r="J22" s="80" t="n">
        <f aca="false">'Capac.Cond.Corre.'!E20</f>
        <v>1</v>
      </c>
      <c r="K22" s="80" t="n">
        <f aca="false">'Capac.Cond.Corre.'!G20</f>
        <v>1</v>
      </c>
      <c r="L22" s="84" t="n">
        <f aca="false">'Queda de Tensão'!H20</f>
        <v>42.9</v>
      </c>
      <c r="M22" s="80" t="n">
        <f aca="false">Sobrecarga!Q20</f>
        <v>2.5</v>
      </c>
      <c r="N22" s="95" t="n">
        <f aca="false">'Divisão dos Circuitos'!L20</f>
        <v>1</v>
      </c>
      <c r="O22" s="95" t="n">
        <f aca="false">'Divisão dos Circuitos'!M20</f>
        <v>10</v>
      </c>
      <c r="P22" s="95" t="n">
        <f aca="false">'Divisão dos Circuitos'!N20</f>
        <v>2</v>
      </c>
      <c r="Q22" s="95" t="n">
        <f aca="false">'Divisão dos Circuitos'!O20</f>
        <v>25</v>
      </c>
      <c r="R22" s="79" t="s">
        <v>281</v>
      </c>
      <c r="S22" s="80" t="n">
        <f aca="false">IF(ISNUMBER(SEARCH("R", R22)), I22, 0)</f>
        <v>0</v>
      </c>
      <c r="T22" s="80" t="n">
        <f aca="false">IF(ISNUMBER(SEARCH("S", R22)), I22, 0)</f>
        <v>7.58815426997245</v>
      </c>
      <c r="U22" s="80" t="n">
        <f aca="false">IF(ISNUMBER(SEARCH("T", R22)), I22, 0)</f>
        <v>0</v>
      </c>
    </row>
    <row r="23" customFormat="false" ht="15" hidden="false" customHeight="true" outlineLevel="0" collapsed="false">
      <c r="A23" s="79" t="str">
        <f aca="false">'Divisão dos Circuitos'!A21</f>
        <v>07 - TUGs</v>
      </c>
      <c r="B23" s="79" t="str">
        <f aca="false">'Divisão dos Circuitos'!C21</f>
        <v>QD2</v>
      </c>
      <c r="C23" s="79" t="str">
        <f aca="false">'Divisão dos Circuitos'!D21</f>
        <v>Sanitários Operacionais (BWC 1 e 2)</v>
      </c>
      <c r="D23" s="108" t="n">
        <f aca="false">'Divisão dos Circuitos'!H21</f>
        <v>960</v>
      </c>
      <c r="E23" s="108" t="n">
        <f aca="false">'Divisão dos Circuitos'!I21</f>
        <v>1200</v>
      </c>
      <c r="F23" s="108" t="n">
        <f aca="false">'Divisão dos Circuitos'!J21</f>
        <v>720</v>
      </c>
      <c r="G23" s="80" t="n">
        <f aca="false">'Divisão dos Circuitos'!G21</f>
        <v>0.8</v>
      </c>
      <c r="H23" s="84" t="str">
        <f aca="false">IF('Divisão dos Circuitos'!F21=1,"Monofásico",IF('Divisão dos Circuitos'!F21=2,"Bifásico","Trifásico"))</f>
        <v>Monofásico</v>
      </c>
      <c r="I23" s="80" t="n">
        <f aca="false">'Divisão dos Circuitos'!K21</f>
        <v>5.45454545454545</v>
      </c>
      <c r="J23" s="80" t="n">
        <f aca="false">'Capac.Cond.Corre.'!E21</f>
        <v>1</v>
      </c>
      <c r="K23" s="80" t="n">
        <f aca="false">'Capac.Cond.Corre.'!G21</f>
        <v>0.7</v>
      </c>
      <c r="L23" s="84" t="n">
        <f aca="false">'Queda de Tensão'!H21</f>
        <v>17.7</v>
      </c>
      <c r="M23" s="80" t="n">
        <f aca="false">Sobrecarga!Q21</f>
        <v>2.5</v>
      </c>
      <c r="N23" s="95" t="n">
        <f aca="false">'Divisão dos Circuitos'!L21</f>
        <v>1</v>
      </c>
      <c r="O23" s="95" t="n">
        <f aca="false">'Divisão dos Circuitos'!M21</f>
        <v>10</v>
      </c>
      <c r="P23" s="95" t="n">
        <f aca="false">'Divisão dos Circuitos'!N21</f>
        <v>2</v>
      </c>
      <c r="Q23" s="95" t="n">
        <f aca="false">'Divisão dos Circuitos'!O21</f>
        <v>25</v>
      </c>
      <c r="R23" s="79" t="s">
        <v>282</v>
      </c>
      <c r="S23" s="80" t="n">
        <f aca="false">IF(ISNUMBER(SEARCH("R", R23)), I23, 0)</f>
        <v>0</v>
      </c>
      <c r="T23" s="80" t="n">
        <f aca="false">IF(ISNUMBER(SEARCH("S", R23)), I23, 0)</f>
        <v>0</v>
      </c>
      <c r="U23" s="80" t="n">
        <f aca="false">IF(ISNUMBER(SEARCH("T", R23)), I23, 0)</f>
        <v>5.45454545454545</v>
      </c>
    </row>
    <row r="24" customFormat="false" ht="15" hidden="false" customHeight="true" outlineLevel="0" collapsed="false">
      <c r="A24" s="79" t="str">
        <f aca="false">'Divisão dos Circuitos'!A22</f>
        <v>16 - TUGs</v>
      </c>
      <c r="B24" s="79" t="str">
        <f aca="false">'Divisão dos Circuitos'!C22</f>
        <v>QD2</v>
      </c>
      <c r="C24" s="79" t="str">
        <f aca="false">'Divisão dos Circuitos'!D22</f>
        <v>Colagem e Montagem - Circuito 1</v>
      </c>
      <c r="D24" s="108" t="n">
        <f aca="false">'Divisão dos Circuitos'!H22</f>
        <v>1920</v>
      </c>
      <c r="E24" s="108" t="n">
        <f aca="false">'Divisão dos Circuitos'!I22</f>
        <v>2400</v>
      </c>
      <c r="F24" s="108" t="n">
        <f aca="false">'Divisão dos Circuitos'!J22</f>
        <v>1440</v>
      </c>
      <c r="G24" s="80" t="n">
        <f aca="false">'Divisão dos Circuitos'!G22</f>
        <v>0.8</v>
      </c>
      <c r="H24" s="84" t="str">
        <f aca="false">IF('Divisão dos Circuitos'!F22=1,"Monofásico",IF('Divisão dos Circuitos'!F22=2,"Bifásico","Trifásico"))</f>
        <v>Monofásico</v>
      </c>
      <c r="I24" s="80" t="n">
        <f aca="false">'Divisão dos Circuitos'!K22</f>
        <v>10.9090909090909</v>
      </c>
      <c r="J24" s="80" t="n">
        <f aca="false">'Capac.Cond.Corre.'!E22</f>
        <v>1</v>
      </c>
      <c r="K24" s="80" t="n">
        <f aca="false">'Capac.Cond.Corre.'!G22</f>
        <v>1</v>
      </c>
      <c r="L24" s="84" t="n">
        <f aca="false">'Queda de Tensão'!H22</f>
        <v>25.8</v>
      </c>
      <c r="M24" s="80" t="n">
        <f aca="false">Sobrecarga!Q22</f>
        <v>2.5</v>
      </c>
      <c r="N24" s="95" t="n">
        <f aca="false">'Divisão dos Circuitos'!L22</f>
        <v>1</v>
      </c>
      <c r="O24" s="95" t="n">
        <f aca="false">'Divisão dos Circuitos'!M22</f>
        <v>16</v>
      </c>
      <c r="P24" s="95" t="n">
        <f aca="false">'Divisão dos Circuitos'!N22</f>
        <v>2</v>
      </c>
      <c r="Q24" s="95" t="n">
        <f aca="false">'Divisão dos Circuitos'!O22</f>
        <v>25</v>
      </c>
      <c r="R24" s="79" t="s">
        <v>283</v>
      </c>
      <c r="S24" s="80" t="n">
        <f aca="false">IF(ISNUMBER(SEARCH("R", R24)), I24, 0)</f>
        <v>10.9090909090909</v>
      </c>
      <c r="T24" s="80" t="n">
        <f aca="false">IF(ISNUMBER(SEARCH("S", R24)), I24, 0)</f>
        <v>0</v>
      </c>
      <c r="U24" s="80" t="n">
        <f aca="false">IF(ISNUMBER(SEARCH("T", R24)), I24, 0)</f>
        <v>0</v>
      </c>
    </row>
    <row r="25" customFormat="false" ht="15" hidden="false" customHeight="true" outlineLevel="0" collapsed="false">
      <c r="A25" s="79" t="str">
        <f aca="false">'Divisão dos Circuitos'!A23</f>
        <v>17 - TUGs</v>
      </c>
      <c r="B25" s="79" t="str">
        <f aca="false">'Divisão dos Circuitos'!C23</f>
        <v>QD2</v>
      </c>
      <c r="C25" s="79" t="str">
        <f aca="false">'Divisão dos Circuitos'!D23</f>
        <v>Colagem e Montagem - Circuito 2</v>
      </c>
      <c r="D25" s="108" t="n">
        <f aca="false">'Divisão dos Circuitos'!H23</f>
        <v>1440</v>
      </c>
      <c r="E25" s="108" t="n">
        <f aca="false">'Divisão dos Circuitos'!I23</f>
        <v>1800</v>
      </c>
      <c r="F25" s="108" t="n">
        <f aca="false">'Divisão dos Circuitos'!J23</f>
        <v>1080</v>
      </c>
      <c r="G25" s="80" t="n">
        <f aca="false">'Divisão dos Circuitos'!G23</f>
        <v>0.8</v>
      </c>
      <c r="H25" s="84" t="str">
        <f aca="false">IF('Divisão dos Circuitos'!F23=1,"Monofásico",IF('Divisão dos Circuitos'!F23=2,"Bifásico","Trifásico"))</f>
        <v>Monofásico</v>
      </c>
      <c r="I25" s="80" t="n">
        <f aca="false">'Divisão dos Circuitos'!K23</f>
        <v>8.18181818181818</v>
      </c>
      <c r="J25" s="80" t="n">
        <f aca="false">'Capac.Cond.Corre.'!E23</f>
        <v>1</v>
      </c>
      <c r="K25" s="80" t="n">
        <f aca="false">'Capac.Cond.Corre.'!G23</f>
        <v>1</v>
      </c>
      <c r="L25" s="84" t="n">
        <f aca="false">'Queda de Tensão'!H23</f>
        <v>18.5</v>
      </c>
      <c r="M25" s="80" t="n">
        <f aca="false">Sobrecarga!Q23</f>
        <v>2.5</v>
      </c>
      <c r="N25" s="95" t="n">
        <f aca="false">'Divisão dos Circuitos'!L23</f>
        <v>1</v>
      </c>
      <c r="O25" s="95" t="n">
        <f aca="false">'Divisão dos Circuitos'!M23</f>
        <v>10</v>
      </c>
      <c r="P25" s="95" t="n">
        <f aca="false">'Divisão dos Circuitos'!N23</f>
        <v>2</v>
      </c>
      <c r="Q25" s="95" t="n">
        <f aca="false">'Divisão dos Circuitos'!O23</f>
        <v>25</v>
      </c>
      <c r="R25" s="79" t="s">
        <v>283</v>
      </c>
      <c r="S25" s="80" t="n">
        <f aca="false">IF(ISNUMBER(SEARCH("R", R25)), I25, 0)</f>
        <v>8.18181818181818</v>
      </c>
      <c r="T25" s="80" t="n">
        <f aca="false">IF(ISNUMBER(SEARCH("S", R25)), I25, 0)</f>
        <v>0</v>
      </c>
      <c r="U25" s="80" t="n">
        <f aca="false">IF(ISNUMBER(SEARCH("T", R25)), I25, 0)</f>
        <v>0</v>
      </c>
    </row>
    <row r="26" customFormat="false" ht="15" hidden="false" customHeight="true" outlineLevel="0" collapsed="false">
      <c r="A26" s="79" t="str">
        <f aca="false">'Divisão dos Circuitos'!A24</f>
        <v>18 - TUGs</v>
      </c>
      <c r="B26" s="79" t="str">
        <f aca="false">'Divisão dos Circuitos'!C24</f>
        <v>QD2</v>
      </c>
      <c r="C26" s="79" t="str">
        <f aca="false">'Divisão dos Circuitos'!D24</f>
        <v>Sistemas de Serra - Circuito 1</v>
      </c>
      <c r="D26" s="108" t="n">
        <f aca="false">'Divisão dos Circuitos'!H24</f>
        <v>1920</v>
      </c>
      <c r="E26" s="108" t="n">
        <f aca="false">'Divisão dos Circuitos'!I24</f>
        <v>2400</v>
      </c>
      <c r="F26" s="108" t="n">
        <f aca="false">'Divisão dos Circuitos'!J24</f>
        <v>1440</v>
      </c>
      <c r="G26" s="80" t="n">
        <f aca="false">'Divisão dos Circuitos'!G24</f>
        <v>0.8</v>
      </c>
      <c r="H26" s="84" t="str">
        <f aca="false">IF('Divisão dos Circuitos'!F24=1,"Monofásico",IF('Divisão dos Circuitos'!F24=2,"Bifásico","Trifásico"))</f>
        <v>Monofásico</v>
      </c>
      <c r="I26" s="80" t="n">
        <f aca="false">'Divisão dos Circuitos'!K24</f>
        <v>10.9090909090909</v>
      </c>
      <c r="J26" s="80" t="n">
        <f aca="false">'Capac.Cond.Corre.'!E24</f>
        <v>1</v>
      </c>
      <c r="K26" s="80" t="n">
        <f aca="false">'Capac.Cond.Corre.'!G24</f>
        <v>1</v>
      </c>
      <c r="L26" s="84" t="n">
        <f aca="false">'Queda de Tensão'!H24</f>
        <v>42.7</v>
      </c>
      <c r="M26" s="80" t="n">
        <f aca="false">Sobrecarga!Q24</f>
        <v>4</v>
      </c>
      <c r="N26" s="95" t="n">
        <f aca="false">'Divisão dos Circuitos'!L24</f>
        <v>1</v>
      </c>
      <c r="O26" s="95" t="n">
        <f aca="false">'Divisão dos Circuitos'!M24</f>
        <v>16</v>
      </c>
      <c r="P26" s="95" t="n">
        <f aca="false">'Divisão dos Circuitos'!N24</f>
        <v>2</v>
      </c>
      <c r="Q26" s="95" t="n">
        <f aca="false">'Divisão dos Circuitos'!O24</f>
        <v>25</v>
      </c>
      <c r="R26" s="79" t="s">
        <v>281</v>
      </c>
      <c r="S26" s="80" t="n">
        <f aca="false">IF(ISNUMBER(SEARCH("R", R26)), I26, 0)</f>
        <v>0</v>
      </c>
      <c r="T26" s="80" t="n">
        <f aca="false">IF(ISNUMBER(SEARCH("S", R26)), I26, 0)</f>
        <v>10.9090909090909</v>
      </c>
      <c r="U26" s="80" t="n">
        <f aca="false">IF(ISNUMBER(SEARCH("T", R26)), I26, 0)</f>
        <v>0</v>
      </c>
    </row>
    <row r="27" customFormat="false" ht="15.75" hidden="false" customHeight="true" outlineLevel="0" collapsed="false">
      <c r="A27" s="79" t="str">
        <f aca="false">'Divisão dos Circuitos'!A25</f>
        <v>19 - TUGs</v>
      </c>
      <c r="B27" s="79" t="str">
        <f aca="false">'Divisão dos Circuitos'!C25</f>
        <v>QD2</v>
      </c>
      <c r="C27" s="79" t="str">
        <f aca="false">'Divisão dos Circuitos'!D25</f>
        <v>Sistemas de Serra - Circuito 2</v>
      </c>
      <c r="D27" s="108" t="n">
        <f aca="false">'Divisão dos Circuitos'!H25</f>
        <v>1440</v>
      </c>
      <c r="E27" s="108" t="n">
        <f aca="false">'Divisão dos Circuitos'!I25</f>
        <v>1800</v>
      </c>
      <c r="F27" s="108" t="n">
        <f aca="false">'Divisão dos Circuitos'!J25</f>
        <v>1080</v>
      </c>
      <c r="G27" s="80" t="n">
        <f aca="false">'Divisão dos Circuitos'!G25</f>
        <v>0.8</v>
      </c>
      <c r="H27" s="84" t="str">
        <f aca="false">IF('Divisão dos Circuitos'!F25=1,"Monofásico",IF('Divisão dos Circuitos'!F25=2,"Bifásico","Trifásico"))</f>
        <v>Monofásico</v>
      </c>
      <c r="I27" s="80" t="n">
        <f aca="false">'Divisão dos Circuitos'!K25</f>
        <v>8.18181818181818</v>
      </c>
      <c r="J27" s="80" t="n">
        <f aca="false">'Capac.Cond.Corre.'!E25</f>
        <v>1</v>
      </c>
      <c r="K27" s="80" t="n">
        <f aca="false">'Capac.Cond.Corre.'!G25</f>
        <v>1</v>
      </c>
      <c r="L27" s="84" t="n">
        <f aca="false">'Queda de Tensão'!H25</f>
        <v>39.5</v>
      </c>
      <c r="M27" s="80" t="n">
        <f aca="false">Sobrecarga!Q25</f>
        <v>2.5</v>
      </c>
      <c r="N27" s="95" t="n">
        <f aca="false">'Divisão dos Circuitos'!L25</f>
        <v>1</v>
      </c>
      <c r="O27" s="95" t="n">
        <f aca="false">'Divisão dos Circuitos'!M25</f>
        <v>10</v>
      </c>
      <c r="P27" s="95" t="n">
        <f aca="false">'Divisão dos Circuitos'!N25</f>
        <v>2</v>
      </c>
      <c r="Q27" s="95" t="n">
        <f aca="false">'Divisão dos Circuitos'!O25</f>
        <v>25</v>
      </c>
      <c r="R27" s="79" t="s">
        <v>281</v>
      </c>
      <c r="S27" s="80" t="n">
        <f aca="false">IF(ISNUMBER(SEARCH("R", R27)), I27, 0)</f>
        <v>0</v>
      </c>
      <c r="T27" s="80" t="n">
        <f aca="false">IF(ISNUMBER(SEARCH("S", R27)), I27, 0)</f>
        <v>8.18181818181818</v>
      </c>
      <c r="U27" s="80" t="n">
        <f aca="false">IF(ISNUMBER(SEARCH("T", R27)), I27, 0)</f>
        <v>0</v>
      </c>
    </row>
    <row r="28" customFormat="false" ht="15.75" hidden="false" customHeight="true" outlineLevel="0" collapsed="false">
      <c r="A28" s="79" t="str">
        <f aca="false">'Divisão dos Circuitos'!A26</f>
        <v>20 - TUGs</v>
      </c>
      <c r="B28" s="79" t="str">
        <f aca="false">'Divisão dos Circuitos'!C26</f>
        <v>QD2</v>
      </c>
      <c r="C28" s="79" t="str">
        <f aca="false">'Divisão dos Circuitos'!D26</f>
        <v>Inspeção Final - Circuito 1</v>
      </c>
      <c r="D28" s="108" t="n">
        <f aca="false">'Divisão dos Circuitos'!H26</f>
        <v>1440</v>
      </c>
      <c r="E28" s="108" t="n">
        <f aca="false">'Divisão dos Circuitos'!I26</f>
        <v>1800</v>
      </c>
      <c r="F28" s="108" t="n">
        <f aca="false">'Divisão dos Circuitos'!J26</f>
        <v>1080</v>
      </c>
      <c r="G28" s="80" t="n">
        <f aca="false">'Divisão dos Circuitos'!G26</f>
        <v>0.8</v>
      </c>
      <c r="H28" s="84" t="str">
        <f aca="false">IF('Divisão dos Circuitos'!F26=1,"Monofásico",IF('Divisão dos Circuitos'!F26=2,"Bifásico","Trifásico"))</f>
        <v>Monofásico</v>
      </c>
      <c r="I28" s="80" t="n">
        <f aca="false">'Divisão dos Circuitos'!K26</f>
        <v>8.18181818181818</v>
      </c>
      <c r="J28" s="80" t="n">
        <f aca="false">'Capac.Cond.Corre.'!E26</f>
        <v>1</v>
      </c>
      <c r="K28" s="80" t="n">
        <f aca="false">'Capac.Cond.Corre.'!G26</f>
        <v>1</v>
      </c>
      <c r="L28" s="84" t="n">
        <f aca="false">'Queda de Tensão'!H26</f>
        <v>30.4</v>
      </c>
      <c r="M28" s="80" t="n">
        <f aca="false">Sobrecarga!Q26</f>
        <v>2.5</v>
      </c>
      <c r="N28" s="95" t="n">
        <f aca="false">'Divisão dos Circuitos'!L26</f>
        <v>1</v>
      </c>
      <c r="O28" s="95" t="n">
        <f aca="false">'Divisão dos Circuitos'!M26</f>
        <v>10</v>
      </c>
      <c r="P28" s="95" t="n">
        <f aca="false">'Divisão dos Circuitos'!N26</f>
        <v>2</v>
      </c>
      <c r="Q28" s="95" t="n">
        <f aca="false">'Divisão dos Circuitos'!O26</f>
        <v>25</v>
      </c>
      <c r="R28" s="79" t="s">
        <v>282</v>
      </c>
      <c r="S28" s="80" t="n">
        <f aca="false">IF(ISNUMBER(SEARCH("R", R28)), I28, 0)</f>
        <v>0</v>
      </c>
      <c r="T28" s="80" t="n">
        <f aca="false">IF(ISNUMBER(SEARCH("S", R28)), I28, 0)</f>
        <v>0</v>
      </c>
      <c r="U28" s="80" t="n">
        <f aca="false">IF(ISNUMBER(SEARCH("T", R28)), I28, 0)</f>
        <v>8.18181818181818</v>
      </c>
    </row>
    <row r="29" customFormat="false" ht="15.75" hidden="false" customHeight="true" outlineLevel="0" collapsed="false">
      <c r="A29" s="79" t="str">
        <f aca="false">'Divisão dos Circuitos'!A27</f>
        <v>21 - TUGs</v>
      </c>
      <c r="B29" s="79" t="str">
        <f aca="false">'Divisão dos Circuitos'!C27</f>
        <v>QD2</v>
      </c>
      <c r="C29" s="79" t="str">
        <f aca="false">'Divisão dos Circuitos'!D27</f>
        <v>Inspeção Final - Circuito 2</v>
      </c>
      <c r="D29" s="108" t="n">
        <f aca="false">'Divisão dos Circuitos'!H27</f>
        <v>1440</v>
      </c>
      <c r="E29" s="108" t="n">
        <f aca="false">'Divisão dos Circuitos'!I27</f>
        <v>1800</v>
      </c>
      <c r="F29" s="108" t="n">
        <f aca="false">'Divisão dos Circuitos'!J27</f>
        <v>1080</v>
      </c>
      <c r="G29" s="80" t="n">
        <f aca="false">'Divisão dos Circuitos'!G27</f>
        <v>0.8</v>
      </c>
      <c r="H29" s="84" t="str">
        <f aca="false">IF('Divisão dos Circuitos'!F27=1,"Monofásico",IF('Divisão dos Circuitos'!F27=2,"Bifásico","Trifásico"))</f>
        <v>Monofásico</v>
      </c>
      <c r="I29" s="80" t="n">
        <f aca="false">'Divisão dos Circuitos'!K27</f>
        <v>8.18181818181818</v>
      </c>
      <c r="J29" s="80" t="n">
        <f aca="false">'Capac.Cond.Corre.'!E27</f>
        <v>1</v>
      </c>
      <c r="K29" s="80" t="n">
        <f aca="false">'Capac.Cond.Corre.'!G27</f>
        <v>1</v>
      </c>
      <c r="L29" s="84" t="n">
        <f aca="false">'Queda de Tensão'!H27</f>
        <v>34.4</v>
      </c>
      <c r="M29" s="80" t="n">
        <f aca="false">Sobrecarga!Q27</f>
        <v>2.5</v>
      </c>
      <c r="N29" s="95" t="n">
        <f aca="false">'Divisão dos Circuitos'!L27</f>
        <v>1</v>
      </c>
      <c r="O29" s="95" t="n">
        <f aca="false">'Divisão dos Circuitos'!M27</f>
        <v>10</v>
      </c>
      <c r="P29" s="95" t="n">
        <f aca="false">'Divisão dos Circuitos'!N27</f>
        <v>2</v>
      </c>
      <c r="Q29" s="95" t="n">
        <f aca="false">'Divisão dos Circuitos'!O27</f>
        <v>25</v>
      </c>
      <c r="R29" s="79" t="s">
        <v>283</v>
      </c>
      <c r="S29" s="80" t="n">
        <f aca="false">IF(ISNUMBER(SEARCH("R", R29)), I29, 0)</f>
        <v>8.18181818181818</v>
      </c>
      <c r="T29" s="80" t="n">
        <f aca="false">IF(ISNUMBER(SEARCH("S", R29)), I29, 0)</f>
        <v>0</v>
      </c>
      <c r="U29" s="80" t="n">
        <f aca="false">IF(ISNUMBER(SEARCH("T", R29)), I29, 0)</f>
        <v>0</v>
      </c>
    </row>
    <row r="30" customFormat="false" ht="15.75" hidden="false" customHeight="true" outlineLevel="0" collapsed="false">
      <c r="A30" s="79" t="str">
        <f aca="false">'Divisão dos Circuitos'!A28</f>
        <v>24 - TUGs Trifásicas</v>
      </c>
      <c r="B30" s="79" t="str">
        <f aca="false">'Divisão dos Circuitos'!C28</f>
        <v>QD2</v>
      </c>
      <c r="C30" s="79" t="str">
        <f aca="false">'Divisão dos Circuitos'!D28</f>
        <v>Colagem e Montagem - Circuito 1</v>
      </c>
      <c r="D30" s="108" t="n">
        <f aca="false">'Divisão dos Circuitos'!H28</f>
        <v>9600</v>
      </c>
      <c r="E30" s="108" t="n">
        <f aca="false">'Divisão dos Circuitos'!I28</f>
        <v>12000</v>
      </c>
      <c r="F30" s="108" t="n">
        <f aca="false">'Divisão dos Circuitos'!J28</f>
        <v>7200</v>
      </c>
      <c r="G30" s="80" t="n">
        <f aca="false">'Divisão dos Circuitos'!G28</f>
        <v>0.8</v>
      </c>
      <c r="H30" s="84" t="str">
        <f aca="false">IF('Divisão dos Circuitos'!F28=1,"Monofásico",IF('Divisão dos Circuitos'!F28=2,"Bifásico","Trifásico"))</f>
        <v>Trifásico</v>
      </c>
      <c r="I30" s="80" t="n">
        <f aca="false">'Divisão dos Circuitos'!K28</f>
        <v>18.2321137638829</v>
      </c>
      <c r="J30" s="80" t="n">
        <f aca="false">'Capac.Cond.Corre.'!E28</f>
        <v>1</v>
      </c>
      <c r="K30" s="80" t="n">
        <f aca="false">'Capac.Cond.Corre.'!G28</f>
        <v>1</v>
      </c>
      <c r="L30" s="84" t="n">
        <f aca="false">'Queda de Tensão'!H28</f>
        <v>23.9</v>
      </c>
      <c r="M30" s="80" t="n">
        <f aca="false">Sobrecarga!Q28</f>
        <v>2.5</v>
      </c>
      <c r="N30" s="95" t="n">
        <f aca="false">'Divisão dos Circuitos'!L28</f>
        <v>3</v>
      </c>
      <c r="O30" s="95" t="n">
        <f aca="false">'Divisão dos Circuitos'!M28</f>
        <v>20</v>
      </c>
      <c r="P30" s="95" t="n">
        <f aca="false">'Divisão dos Circuitos'!N28</f>
        <v>4</v>
      </c>
      <c r="Q30" s="95" t="n">
        <f aca="false">'Divisão dos Circuitos'!O28</f>
        <v>25</v>
      </c>
      <c r="R30" s="79" t="s">
        <v>284</v>
      </c>
      <c r="S30" s="80" t="n">
        <f aca="false">IF(ISNUMBER(SEARCH("R", R30)), I30, 0)</f>
        <v>18.2321137638829</v>
      </c>
      <c r="T30" s="80" t="n">
        <f aca="false">IF(ISNUMBER(SEARCH("S", R30)), I30, 0)</f>
        <v>18.2321137638829</v>
      </c>
      <c r="U30" s="80" t="n">
        <f aca="false">IF(ISNUMBER(SEARCH("T", R30)), I30, 0)</f>
        <v>18.2321137638829</v>
      </c>
    </row>
    <row r="31" customFormat="false" ht="15.75" hidden="false" customHeight="true" outlineLevel="0" collapsed="false">
      <c r="A31" s="79" t="str">
        <f aca="false">'Divisão dos Circuitos'!A29</f>
        <v>25 - TUGs Trifásicas</v>
      </c>
      <c r="B31" s="79" t="str">
        <f aca="false">'Divisão dos Circuitos'!C29</f>
        <v>QD2</v>
      </c>
      <c r="C31" s="79" t="str">
        <f aca="false">'Divisão dos Circuitos'!D29</f>
        <v>Colagem e Montagem - Circuito 2</v>
      </c>
      <c r="D31" s="108" t="n">
        <f aca="false">'Divisão dos Circuitos'!H29</f>
        <v>9600</v>
      </c>
      <c r="E31" s="108" t="n">
        <f aca="false">'Divisão dos Circuitos'!I29</f>
        <v>12000</v>
      </c>
      <c r="F31" s="108" t="n">
        <f aca="false">'Divisão dos Circuitos'!J29</f>
        <v>7200</v>
      </c>
      <c r="G31" s="80" t="n">
        <f aca="false">'Divisão dos Circuitos'!G29</f>
        <v>0.8</v>
      </c>
      <c r="H31" s="84" t="str">
        <f aca="false">IF('Divisão dos Circuitos'!F29=1,"Monofásico",IF('Divisão dos Circuitos'!F29=2,"Bifásico","Trifásico"))</f>
        <v>Trifásico</v>
      </c>
      <c r="I31" s="80" t="n">
        <f aca="false">'Divisão dos Circuitos'!K29</f>
        <v>18.2321137638829</v>
      </c>
      <c r="J31" s="80" t="n">
        <f aca="false">'Capac.Cond.Corre.'!E29</f>
        <v>1</v>
      </c>
      <c r="K31" s="80" t="n">
        <f aca="false">'Capac.Cond.Corre.'!G29</f>
        <v>1</v>
      </c>
      <c r="L31" s="84" t="n">
        <f aca="false">'Queda de Tensão'!H29</f>
        <v>16.6</v>
      </c>
      <c r="M31" s="80" t="n">
        <f aca="false">Sobrecarga!Q29</f>
        <v>2.5</v>
      </c>
      <c r="N31" s="95" t="n">
        <f aca="false">'Divisão dos Circuitos'!L29</f>
        <v>3</v>
      </c>
      <c r="O31" s="95" t="n">
        <f aca="false">'Divisão dos Circuitos'!M29</f>
        <v>20</v>
      </c>
      <c r="P31" s="95" t="n">
        <f aca="false">'Divisão dos Circuitos'!N29</f>
        <v>4</v>
      </c>
      <c r="Q31" s="95" t="n">
        <f aca="false">'Divisão dos Circuitos'!O29</f>
        <v>25</v>
      </c>
      <c r="R31" s="79" t="s">
        <v>284</v>
      </c>
      <c r="S31" s="80" t="n">
        <f aca="false">IF(ISNUMBER(SEARCH("R", R31)), I31, 0)</f>
        <v>18.2321137638829</v>
      </c>
      <c r="T31" s="80" t="n">
        <f aca="false">IF(ISNUMBER(SEARCH("S", R31)), I31, 0)</f>
        <v>18.2321137638829</v>
      </c>
      <c r="U31" s="80" t="n">
        <f aca="false">IF(ISNUMBER(SEARCH("T", R31)), I31, 0)</f>
        <v>18.2321137638829</v>
      </c>
    </row>
    <row r="32" customFormat="false" ht="15.75" hidden="false" customHeight="true" outlineLevel="0" collapsed="false">
      <c r="A32" s="79" t="str">
        <f aca="false">'Divisão dos Circuitos'!A30</f>
        <v>26 - TUGs Trifásicas</v>
      </c>
      <c r="B32" s="79" t="str">
        <f aca="false">'Divisão dos Circuitos'!C30</f>
        <v>QD2</v>
      </c>
      <c r="C32" s="79" t="str">
        <f aca="false">'Divisão dos Circuitos'!D30</f>
        <v>Sistemas de Serra - Circuito 1</v>
      </c>
      <c r="D32" s="108" t="n">
        <f aca="false">'Divisão dos Circuitos'!H30</f>
        <v>9600</v>
      </c>
      <c r="E32" s="108" t="n">
        <f aca="false">'Divisão dos Circuitos'!I30</f>
        <v>12000</v>
      </c>
      <c r="F32" s="108" t="n">
        <f aca="false">'Divisão dos Circuitos'!J30</f>
        <v>7200</v>
      </c>
      <c r="G32" s="80" t="n">
        <f aca="false">'Divisão dos Circuitos'!G30</f>
        <v>0.8</v>
      </c>
      <c r="H32" s="84" t="str">
        <f aca="false">IF('Divisão dos Circuitos'!F30=1,"Monofásico",IF('Divisão dos Circuitos'!F30=2,"Bifásico","Trifásico"))</f>
        <v>Trifásico</v>
      </c>
      <c r="I32" s="80" t="n">
        <f aca="false">'Divisão dos Circuitos'!K30</f>
        <v>18.2321137638829</v>
      </c>
      <c r="J32" s="80" t="n">
        <f aca="false">'Capac.Cond.Corre.'!E30</f>
        <v>1</v>
      </c>
      <c r="K32" s="80" t="n">
        <f aca="false">'Capac.Cond.Corre.'!G30</f>
        <v>1</v>
      </c>
      <c r="L32" s="84" t="n">
        <f aca="false">'Queda de Tensão'!H30</f>
        <v>44.3</v>
      </c>
      <c r="M32" s="80" t="n">
        <f aca="false">Sobrecarga!Q30</f>
        <v>4</v>
      </c>
      <c r="N32" s="95" t="n">
        <f aca="false">'Divisão dos Circuitos'!L30</f>
        <v>3</v>
      </c>
      <c r="O32" s="95" t="n">
        <f aca="false">'Divisão dos Circuitos'!M30</f>
        <v>20</v>
      </c>
      <c r="P32" s="95" t="n">
        <f aca="false">'Divisão dos Circuitos'!N30</f>
        <v>4</v>
      </c>
      <c r="Q32" s="95" t="n">
        <f aca="false">'Divisão dos Circuitos'!O30</f>
        <v>25</v>
      </c>
      <c r="R32" s="79" t="s">
        <v>284</v>
      </c>
      <c r="S32" s="80" t="n">
        <f aca="false">IF(ISNUMBER(SEARCH("R", R32)), I32, 0)</f>
        <v>18.2321137638829</v>
      </c>
      <c r="T32" s="80" t="n">
        <f aca="false">IF(ISNUMBER(SEARCH("S", R32)), I32, 0)</f>
        <v>18.2321137638829</v>
      </c>
      <c r="U32" s="80" t="n">
        <f aca="false">IF(ISNUMBER(SEARCH("T", R32)), I32, 0)</f>
        <v>18.2321137638829</v>
      </c>
    </row>
    <row r="33" customFormat="false" ht="15.75" hidden="false" customHeight="true" outlineLevel="0" collapsed="false">
      <c r="A33" s="79" t="str">
        <f aca="false">'Divisão dos Circuitos'!A31</f>
        <v>27 - TUGs Trifásicas</v>
      </c>
      <c r="B33" s="79" t="str">
        <f aca="false">'Divisão dos Circuitos'!C31</f>
        <v>QD2</v>
      </c>
      <c r="C33" s="79" t="str">
        <f aca="false">'Divisão dos Circuitos'!D31</f>
        <v>Inspeção Final</v>
      </c>
      <c r="D33" s="108" t="n">
        <f aca="false">'Divisão dos Circuitos'!H31</f>
        <v>14400</v>
      </c>
      <c r="E33" s="108" t="n">
        <f aca="false">'Divisão dos Circuitos'!I31</f>
        <v>18000</v>
      </c>
      <c r="F33" s="108" t="n">
        <f aca="false">'Divisão dos Circuitos'!J31</f>
        <v>10800</v>
      </c>
      <c r="G33" s="80" t="n">
        <f aca="false">'Divisão dos Circuitos'!G31</f>
        <v>0.8</v>
      </c>
      <c r="H33" s="84" t="str">
        <f aca="false">IF('Divisão dos Circuitos'!F31=1,"Monofásico",IF('Divisão dos Circuitos'!F31=2,"Bifásico","Trifásico"))</f>
        <v>Trifásico</v>
      </c>
      <c r="I33" s="80" t="n">
        <f aca="false">'Divisão dos Circuitos'!K31</f>
        <v>27.3481706458244</v>
      </c>
      <c r="J33" s="80" t="n">
        <f aca="false">'Capac.Cond.Corre.'!E31</f>
        <v>1</v>
      </c>
      <c r="K33" s="80" t="n">
        <f aca="false">'Capac.Cond.Corre.'!G31</f>
        <v>1</v>
      </c>
      <c r="L33" s="84" t="n">
        <f aca="false">'Queda de Tensão'!H31</f>
        <v>28.4</v>
      </c>
      <c r="M33" s="80" t="n">
        <f aca="false">Sobrecarga!Q31</f>
        <v>6</v>
      </c>
      <c r="N33" s="95" t="n">
        <f aca="false">'Divisão dos Circuitos'!L31</f>
        <v>3</v>
      </c>
      <c r="O33" s="95" t="n">
        <f aca="false">'Divisão dos Circuitos'!M31</f>
        <v>32</v>
      </c>
      <c r="P33" s="95" t="n">
        <f aca="false">'Divisão dos Circuitos'!N31</f>
        <v>4</v>
      </c>
      <c r="Q33" s="95" t="n">
        <f aca="false">'Divisão dos Circuitos'!O31</f>
        <v>40</v>
      </c>
      <c r="R33" s="79" t="s">
        <v>284</v>
      </c>
      <c r="S33" s="80" t="n">
        <f aca="false">IF(ISNUMBER(SEARCH("R", R33)), I33, 0)</f>
        <v>27.3481706458244</v>
      </c>
      <c r="T33" s="80" t="n">
        <f aca="false">IF(ISNUMBER(SEARCH("S", R33)), I33, 0)</f>
        <v>27.3481706458244</v>
      </c>
      <c r="U33" s="80" t="n">
        <f aca="false">IF(ISNUMBER(SEARCH("T", R33)), I33, 0)</f>
        <v>27.3481706458244</v>
      </c>
    </row>
    <row r="34" customFormat="false" ht="15.75" hidden="false" customHeight="true" outlineLevel="0" collapsed="false">
      <c r="A34" s="79" t="str">
        <f aca="false">'Divisão dos Circuitos'!A32</f>
        <v>30 - TUE</v>
      </c>
      <c r="B34" s="79" t="str">
        <f aca="false">'Divisão dos Circuitos'!C32</f>
        <v>QD2</v>
      </c>
      <c r="C34" s="79" t="str">
        <f aca="false">'Divisão dos Circuitos'!D32</f>
        <v>Secadores de Mãos - BWC 1 e 2</v>
      </c>
      <c r="D34" s="108" t="n">
        <f aca="false">'Divisão dos Circuitos'!H32</f>
        <v>3000</v>
      </c>
      <c r="E34" s="108" t="n">
        <f aca="false">'Divisão dos Circuitos'!I32</f>
        <v>3061.22448979592</v>
      </c>
      <c r="F34" s="108" t="n">
        <f aca="false">'Divisão dos Circuitos'!J32</f>
        <v>609.175981902014</v>
      </c>
      <c r="G34" s="80" t="n">
        <f aca="false">'Divisão dos Circuitos'!G32</f>
        <v>0.98</v>
      </c>
      <c r="H34" s="84" t="str">
        <f aca="false">IF('Divisão dos Circuitos'!F32=1,"Monofásico",IF('Divisão dos Circuitos'!F32=2,"Bifásico","Trifásico"))</f>
        <v>Monofásico</v>
      </c>
      <c r="I34" s="80" t="n">
        <f aca="false">'Divisão dos Circuitos'!K32</f>
        <v>13.9146567717996</v>
      </c>
      <c r="J34" s="80" t="n">
        <f aca="false">'Capac.Cond.Corre.'!E32</f>
        <v>1</v>
      </c>
      <c r="K34" s="80" t="n">
        <f aca="false">'Capac.Cond.Corre.'!G32</f>
        <v>0.7</v>
      </c>
      <c r="L34" s="84" t="n">
        <f aca="false">'Queda de Tensão'!H32</f>
        <v>15</v>
      </c>
      <c r="M34" s="80" t="n">
        <f aca="false">Sobrecarga!Q32</f>
        <v>2.5</v>
      </c>
      <c r="N34" s="95" t="n">
        <f aca="false">'Divisão dos Circuitos'!L32</f>
        <v>1</v>
      </c>
      <c r="O34" s="95" t="n">
        <f aca="false">'Divisão dos Circuitos'!M32</f>
        <v>16</v>
      </c>
      <c r="P34" s="95" t="n">
        <f aca="false">'Divisão dos Circuitos'!N32</f>
        <v>2</v>
      </c>
      <c r="Q34" s="95" t="n">
        <f aca="false">'Divisão dos Circuitos'!O32</f>
        <v>25</v>
      </c>
      <c r="R34" s="79" t="s">
        <v>282</v>
      </c>
      <c r="S34" s="80" t="n">
        <f aca="false">IF(ISNUMBER(SEARCH("R", R34)), I34, 0)</f>
        <v>0</v>
      </c>
      <c r="T34" s="80" t="n">
        <f aca="false">IF(ISNUMBER(SEARCH("S", R34)), I34, 0)</f>
        <v>0</v>
      </c>
      <c r="U34" s="80" t="n">
        <f aca="false">IF(ISNUMBER(SEARCH("T", R34)), I34, 0)</f>
        <v>13.9146567717996</v>
      </c>
    </row>
    <row r="35" customFormat="false" ht="15.75" hidden="false" customHeight="true" outlineLevel="0" collapsed="false">
      <c r="A35" s="79" t="str">
        <f aca="false">'Divisão dos Circuitos'!A33</f>
        <v>40 - TUGs Trifásicas</v>
      </c>
      <c r="B35" s="79" t="str">
        <f aca="false">'Divisão dos Circuitos'!C33</f>
        <v>QD2</v>
      </c>
      <c r="C35" s="79" t="str">
        <f aca="false">'Divisão dos Circuitos'!D33</f>
        <v>Sistemas de Serra - Circuito 2</v>
      </c>
      <c r="D35" s="108" t="n">
        <f aca="false">'Divisão dos Circuitos'!H33</f>
        <v>9600</v>
      </c>
      <c r="E35" s="108" t="n">
        <f aca="false">'Divisão dos Circuitos'!I33</f>
        <v>12000</v>
      </c>
      <c r="F35" s="108" t="n">
        <f aca="false">'Divisão dos Circuitos'!J33</f>
        <v>7200</v>
      </c>
      <c r="G35" s="80" t="n">
        <f aca="false">'Divisão dos Circuitos'!G33</f>
        <v>0.8</v>
      </c>
      <c r="H35" s="84" t="str">
        <f aca="false">IF('Divisão dos Circuitos'!F33=1,"Monofásico",IF('Divisão dos Circuitos'!F33=2,"Bifásico","Trifásico"))</f>
        <v>Trifásico</v>
      </c>
      <c r="I35" s="80" t="n">
        <f aca="false">'Divisão dos Circuitos'!K33</f>
        <v>18.2321137638829</v>
      </c>
      <c r="J35" s="80" t="n">
        <f aca="false">'Capac.Cond.Corre.'!E33</f>
        <v>1</v>
      </c>
      <c r="K35" s="80" t="n">
        <f aca="false">'Capac.Cond.Corre.'!G33</f>
        <v>1</v>
      </c>
      <c r="L35" s="84" t="n">
        <f aca="false">'Queda de Tensão'!H33</f>
        <v>41.1</v>
      </c>
      <c r="M35" s="80" t="n">
        <f aca="false">Sobrecarga!Q33</f>
        <v>2.5</v>
      </c>
      <c r="N35" s="95" t="n">
        <f aca="false">'Divisão dos Circuitos'!L33</f>
        <v>3</v>
      </c>
      <c r="O35" s="95" t="n">
        <f aca="false">'Divisão dos Circuitos'!M33</f>
        <v>20</v>
      </c>
      <c r="P35" s="95" t="n">
        <f aca="false">'Divisão dos Circuitos'!N33</f>
        <v>4</v>
      </c>
      <c r="Q35" s="95" t="n">
        <f aca="false">'Divisão dos Circuitos'!O33</f>
        <v>25</v>
      </c>
      <c r="R35" s="79" t="s">
        <v>284</v>
      </c>
      <c r="S35" s="80" t="n">
        <f aca="false">IF(ISNUMBER(SEARCH("R", R35)), I35, 0)</f>
        <v>18.2321137638829</v>
      </c>
      <c r="T35" s="80" t="n">
        <f aca="false">IF(ISNUMBER(SEARCH("S", R35)), I35, 0)</f>
        <v>18.2321137638829</v>
      </c>
      <c r="U35" s="80" t="n">
        <f aca="false">IF(ISNUMBER(SEARCH("T", R35)), I35, 0)</f>
        <v>18.2321137638829</v>
      </c>
    </row>
    <row r="36" customFormat="false" ht="15.75" hidden="false" customHeight="true" outlineLevel="0" collapsed="false">
      <c r="A36" s="79" t="str">
        <f aca="false">'Divisão dos Circuitos'!A34</f>
        <v>48 - TUE Bancada 5</v>
      </c>
      <c r="B36" s="79" t="str">
        <f aca="false">'Divisão dos Circuitos'!C34</f>
        <v>QD2</v>
      </c>
      <c r="C36" s="79" t="str">
        <f aca="false">'Divisão dos Circuitos'!D34</f>
        <v>Bancada 5</v>
      </c>
      <c r="D36" s="108" t="n">
        <f aca="false">'Divisão dos Circuitos'!H34</f>
        <v>2240</v>
      </c>
      <c r="E36" s="108" t="n">
        <f aca="false">'Divisão dos Circuitos'!I34</f>
        <v>2800</v>
      </c>
      <c r="F36" s="108" t="n">
        <f aca="false">'Divisão dos Circuitos'!J34</f>
        <v>1680</v>
      </c>
      <c r="G36" s="80" t="n">
        <f aca="false">'Divisão dos Circuitos'!G34</f>
        <v>0.8</v>
      </c>
      <c r="H36" s="84" t="str">
        <f aca="false">IF('Divisão dos Circuitos'!F34=1,"Monofásico",IF('Divisão dos Circuitos'!F34=2,"Bifásico","Trifásico"))</f>
        <v>Monofásico</v>
      </c>
      <c r="I36" s="80" t="n">
        <f aca="false">'Divisão dos Circuitos'!K34</f>
        <v>12.7272727272727</v>
      </c>
      <c r="J36" s="80" t="n">
        <f aca="false">'Capac.Cond.Corre.'!E34</f>
        <v>1</v>
      </c>
      <c r="K36" s="80" t="n">
        <f aca="false">'Capac.Cond.Corre.'!G34</f>
        <v>1</v>
      </c>
      <c r="L36" s="84" t="n">
        <f aca="false">'Queda de Tensão'!H34</f>
        <v>31</v>
      </c>
      <c r="M36" s="80" t="n">
        <f aca="false">Sobrecarga!Q34</f>
        <v>4</v>
      </c>
      <c r="N36" s="95" t="n">
        <f aca="false">'Divisão dos Circuitos'!L34</f>
        <v>1</v>
      </c>
      <c r="O36" s="95" t="n">
        <f aca="false">'Divisão dos Circuitos'!M34</f>
        <v>16</v>
      </c>
      <c r="P36" s="95" t="n">
        <f aca="false">'Divisão dos Circuitos'!N34</f>
        <v>2</v>
      </c>
      <c r="Q36" s="95" t="n">
        <f aca="false">'Divisão dos Circuitos'!O34</f>
        <v>25</v>
      </c>
      <c r="R36" s="79" t="s">
        <v>282</v>
      </c>
      <c r="S36" s="80" t="n">
        <f aca="false">IF(ISNUMBER(SEARCH("R", R36)), I36, 0)</f>
        <v>0</v>
      </c>
      <c r="T36" s="80" t="n">
        <f aca="false">IF(ISNUMBER(SEARCH("S", R36)), I36, 0)</f>
        <v>0</v>
      </c>
      <c r="U36" s="80" t="n">
        <f aca="false">IF(ISNUMBER(SEARCH("T", R36)), I36, 0)</f>
        <v>12.7272727272727</v>
      </c>
    </row>
    <row r="37" customFormat="false" ht="15.75" hidden="false" customHeight="true" outlineLevel="0" collapsed="false">
      <c r="A37" s="79" t="str">
        <f aca="false">'Divisão dos Circuitos'!A35</f>
        <v>49 - TUE Bancada 6</v>
      </c>
      <c r="B37" s="79" t="str">
        <f aca="false">'Divisão dos Circuitos'!C35</f>
        <v>QD2</v>
      </c>
      <c r="C37" s="79" t="str">
        <f aca="false">'Divisão dos Circuitos'!D35</f>
        <v>Bancada 6</v>
      </c>
      <c r="D37" s="108" t="n">
        <f aca="false">'Divisão dos Circuitos'!H35</f>
        <v>5440</v>
      </c>
      <c r="E37" s="108" t="n">
        <f aca="false">'Divisão dos Circuitos'!I35</f>
        <v>6800</v>
      </c>
      <c r="F37" s="108" t="n">
        <f aca="false">'Divisão dos Circuitos'!J35</f>
        <v>4080</v>
      </c>
      <c r="G37" s="80" t="n">
        <f aca="false">'Divisão dos Circuitos'!G35</f>
        <v>0.8</v>
      </c>
      <c r="H37" s="84" t="str">
        <f aca="false">IF('Divisão dos Circuitos'!F35=1,"Monofásico",IF('Divisão dos Circuitos'!F35=2,"Bifásico","Trifásico"))</f>
        <v>Bifásico</v>
      </c>
      <c r="I37" s="80" t="n">
        <f aca="false">'Divisão dos Circuitos'!K35</f>
        <v>17.8947368421053</v>
      </c>
      <c r="J37" s="80" t="n">
        <f aca="false">'Capac.Cond.Corre.'!E35</f>
        <v>1</v>
      </c>
      <c r="K37" s="80" t="n">
        <f aca="false">'Capac.Cond.Corre.'!G35</f>
        <v>1</v>
      </c>
      <c r="L37" s="84" t="n">
        <f aca="false">'Queda de Tensão'!H35</f>
        <v>36</v>
      </c>
      <c r="M37" s="80" t="n">
        <f aca="false">Sobrecarga!Q35</f>
        <v>2.5</v>
      </c>
      <c r="N37" s="95" t="n">
        <f aca="false">'Divisão dos Circuitos'!L35</f>
        <v>2</v>
      </c>
      <c r="O37" s="95" t="n">
        <f aca="false">'Divisão dos Circuitos'!M35</f>
        <v>20</v>
      </c>
      <c r="P37" s="95" t="n">
        <f aca="false">'Divisão dos Circuitos'!N35</f>
        <v>2</v>
      </c>
      <c r="Q37" s="95" t="n">
        <f aca="false">'Divisão dos Circuitos'!O35</f>
        <v>25</v>
      </c>
      <c r="R37" s="79" t="s">
        <v>287</v>
      </c>
      <c r="S37" s="80" t="n">
        <f aca="false">IF(ISNUMBER(SEARCH("R", R37)), I37, 0)</f>
        <v>17.8947368421053</v>
      </c>
      <c r="T37" s="80" t="n">
        <f aca="false">IF(ISNUMBER(SEARCH("S", R37)), I37, 0)</f>
        <v>17.8947368421053</v>
      </c>
      <c r="U37" s="80" t="n">
        <f aca="false">IF(ISNUMBER(SEARCH("T", R37)), I37, 0)</f>
        <v>0</v>
      </c>
    </row>
    <row r="38" customFormat="false" ht="15.75" hidden="false" customHeight="true" outlineLevel="0" collapsed="false">
      <c r="A38" s="109" t="s">
        <v>288</v>
      </c>
      <c r="B38" s="109"/>
      <c r="C38" s="109"/>
      <c r="D38" s="110" t="n">
        <f aca="false">SUM(D21:D37)</f>
        <v>77625.1</v>
      </c>
      <c r="E38" s="110" t="n">
        <f aca="false">SUM(E21:E37)</f>
        <v>95482.5376211091</v>
      </c>
      <c r="F38" s="110" t="n">
        <f aca="false">SUM(F21:F37)</f>
        <v>54400.0250643333</v>
      </c>
      <c r="G38" s="111"/>
      <c r="H38" s="112"/>
      <c r="I38" s="111"/>
      <c r="J38" s="111"/>
      <c r="K38" s="111"/>
      <c r="L38" s="112"/>
      <c r="M38" s="111"/>
      <c r="N38" s="109" t="s">
        <v>286</v>
      </c>
      <c r="O38" s="109"/>
      <c r="P38" s="109"/>
      <c r="Q38" s="109"/>
      <c r="R38" s="109"/>
      <c r="S38" s="111" t="n">
        <f aca="false">SUM(S21:S37)</f>
        <v>145.444089816189</v>
      </c>
      <c r="T38" s="111" t="n">
        <f aca="false">SUM(T21:T37)</f>
        <v>144.850425904343</v>
      </c>
      <c r="U38" s="111" t="n">
        <f aca="false">SUM(U21:U37)</f>
        <v>149.427278800061</v>
      </c>
    </row>
    <row r="39" customFormat="false" ht="15.75" hidden="false" customHeight="true" outlineLevel="0" collapsed="false">
      <c r="A39" s="107" t="s">
        <v>169</v>
      </c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</row>
    <row r="40" customFormat="false" ht="15.75" hidden="false" customHeight="true" outlineLevel="0" collapsed="false">
      <c r="A40" s="79" t="str">
        <f aca="false">'Divisão dos Circuitos'!A37</f>
        <v>03 - Iluminação</v>
      </c>
      <c r="B40" s="79" t="str">
        <f aca="false">'Divisão dos Circuitos'!C37</f>
        <v>QD3</v>
      </c>
      <c r="C40" s="79" t="str">
        <f aca="false">'Divisão dos Circuitos'!D37</f>
        <v>Sala de Estar, Reuniões, Recepção, Copa</v>
      </c>
      <c r="D40" s="108" t="n">
        <f aca="false">'Divisão dos Circuitos'!H37</f>
        <v>1940.4</v>
      </c>
      <c r="E40" s="108" t="n">
        <f aca="false">'Divisão dos Circuitos'!I37</f>
        <v>1960</v>
      </c>
      <c r="F40" s="108" t="n">
        <f aca="false">'Divisão dos Circuitos'!J37</f>
        <v>276.492025201451</v>
      </c>
      <c r="G40" s="80" t="n">
        <f aca="false">'Divisão dos Circuitos'!G37</f>
        <v>0.99</v>
      </c>
      <c r="H40" s="84" t="str">
        <f aca="false">IF('Divisão dos Circuitos'!F37=1,"Monofásico",IF('Divisão dos Circuitos'!F37=2,"Bifásico","Trifásico"))</f>
        <v>Monofásico</v>
      </c>
      <c r="I40" s="80" t="n">
        <f aca="false">'Divisão dos Circuitos'!K37</f>
        <v>8.90909090909091</v>
      </c>
      <c r="J40" s="80" t="n">
        <f aca="false">'Capac.Cond.Corre.'!E37</f>
        <v>1</v>
      </c>
      <c r="K40" s="80" t="n">
        <f aca="false">'Capac.Cond.Corre.'!G37</f>
        <v>0.7</v>
      </c>
      <c r="L40" s="84" t="n">
        <f aca="false">'Queda de Tensão'!H37</f>
        <v>20.1</v>
      </c>
      <c r="M40" s="80" t="n">
        <f aca="false">Sobrecarga!Q37</f>
        <v>1.5</v>
      </c>
      <c r="N40" s="95" t="n">
        <f aca="false">'Divisão dos Circuitos'!L37</f>
        <v>1</v>
      </c>
      <c r="O40" s="95" t="n">
        <f aca="false">'Divisão dos Circuitos'!M37</f>
        <v>10</v>
      </c>
      <c r="P40" s="95" t="n">
        <f aca="false">'Divisão dos Circuitos'!N37</f>
        <v>2</v>
      </c>
      <c r="Q40" s="95" t="n">
        <f aca="false">'Divisão dos Circuitos'!O37</f>
        <v>25</v>
      </c>
      <c r="R40" s="79" t="s">
        <v>283</v>
      </c>
      <c r="S40" s="80" t="n">
        <f aca="false">IF(ISNUMBER(SEARCH("R", R40)), I40, 0)</f>
        <v>8.90909090909091</v>
      </c>
      <c r="T40" s="80" t="n">
        <f aca="false">IF(ISNUMBER(SEARCH("S", R40)), I40, 0)</f>
        <v>0</v>
      </c>
      <c r="U40" s="80" t="n">
        <f aca="false">IF(ISNUMBER(SEARCH("T", R40)), I40, 0)</f>
        <v>0</v>
      </c>
    </row>
    <row r="41" customFormat="false" ht="15.75" hidden="false" customHeight="true" outlineLevel="0" collapsed="false">
      <c r="A41" s="79" t="str">
        <f aca="false">'Divisão dos Circuitos'!A38</f>
        <v>06 - TUGs</v>
      </c>
      <c r="B41" s="79" t="str">
        <f aca="false">'Divisão dos Circuitos'!C38</f>
        <v>QD3</v>
      </c>
      <c r="C41" s="79" t="str">
        <f aca="false">'Divisão dos Circuitos'!D38</f>
        <v>Copa</v>
      </c>
      <c r="D41" s="108" t="n">
        <f aca="false">'Divisão dos Circuitos'!H38</f>
        <v>1600</v>
      </c>
      <c r="E41" s="108" t="n">
        <f aca="false">'Divisão dos Circuitos'!I38</f>
        <v>2000</v>
      </c>
      <c r="F41" s="108" t="n">
        <f aca="false">'Divisão dos Circuitos'!J38</f>
        <v>1200</v>
      </c>
      <c r="G41" s="80" t="n">
        <f aca="false">'Divisão dos Circuitos'!G38</f>
        <v>0.8</v>
      </c>
      <c r="H41" s="84" t="str">
        <f aca="false">IF('Divisão dos Circuitos'!F38=1,"Monofásico",IF('Divisão dos Circuitos'!F38=2,"Bifásico","Trifásico"))</f>
        <v>Monofásico</v>
      </c>
      <c r="I41" s="80" t="n">
        <f aca="false">'Divisão dos Circuitos'!K38</f>
        <v>9.09090909090909</v>
      </c>
      <c r="J41" s="80" t="n">
        <f aca="false">'Capac.Cond.Corre.'!E38</f>
        <v>1</v>
      </c>
      <c r="K41" s="80" t="n">
        <f aca="false">'Capac.Cond.Corre.'!G38</f>
        <v>0.8</v>
      </c>
      <c r="L41" s="84" t="n">
        <f aca="false">'Queda de Tensão'!H38</f>
        <v>13.1</v>
      </c>
      <c r="M41" s="80" t="n">
        <f aca="false">Sobrecarga!Q38</f>
        <v>2.5</v>
      </c>
      <c r="N41" s="95" t="n">
        <f aca="false">'Divisão dos Circuitos'!L38</f>
        <v>1</v>
      </c>
      <c r="O41" s="95" t="n">
        <f aca="false">'Divisão dos Circuitos'!M38</f>
        <v>10</v>
      </c>
      <c r="P41" s="95" t="n">
        <f aca="false">'Divisão dos Circuitos'!N38</f>
        <v>2</v>
      </c>
      <c r="Q41" s="95" t="n">
        <f aca="false">'Divisão dos Circuitos'!O38</f>
        <v>25</v>
      </c>
      <c r="R41" s="79" t="s">
        <v>282</v>
      </c>
      <c r="S41" s="80" t="n">
        <f aca="false">IF(ISNUMBER(SEARCH("R", R41)), I41, 0)</f>
        <v>0</v>
      </c>
      <c r="T41" s="80" t="n">
        <f aca="false">IF(ISNUMBER(SEARCH("S", R41)), I41, 0)</f>
        <v>0</v>
      </c>
      <c r="U41" s="80" t="n">
        <f aca="false">IF(ISNUMBER(SEARCH("T", R41)), I41, 0)</f>
        <v>9.09090909090909</v>
      </c>
    </row>
    <row r="42" customFormat="false" ht="15.75" hidden="false" customHeight="true" outlineLevel="0" collapsed="false">
      <c r="A42" s="79" t="str">
        <f aca="false">'Divisão dos Circuitos'!A39</f>
        <v>08 - TUGs</v>
      </c>
      <c r="B42" s="79" t="str">
        <f aca="false">'Divisão dos Circuitos'!C39</f>
        <v>QD3</v>
      </c>
      <c r="C42" s="79" t="str">
        <f aca="false">'Divisão dos Circuitos'!D39</f>
        <v>Sanitários Administrativos (BWC 3 e 4)</v>
      </c>
      <c r="D42" s="108" t="n">
        <f aca="false">'Divisão dos Circuitos'!H39</f>
        <v>960</v>
      </c>
      <c r="E42" s="108" t="n">
        <f aca="false">'Divisão dos Circuitos'!I39</f>
        <v>1200</v>
      </c>
      <c r="F42" s="108" t="n">
        <f aca="false">'Divisão dos Circuitos'!J39</f>
        <v>720</v>
      </c>
      <c r="G42" s="80" t="n">
        <f aca="false">'Divisão dos Circuitos'!G39</f>
        <v>0.8</v>
      </c>
      <c r="H42" s="84" t="str">
        <f aca="false">IF('Divisão dos Circuitos'!F39=1,"Monofásico",IF('Divisão dos Circuitos'!F39=2,"Bifásico","Trifásico"))</f>
        <v>Monofásico</v>
      </c>
      <c r="I42" s="80" t="n">
        <f aca="false">'Divisão dos Circuitos'!K39</f>
        <v>5.45454545454545</v>
      </c>
      <c r="J42" s="80" t="n">
        <f aca="false">'Capac.Cond.Corre.'!E39</f>
        <v>1</v>
      </c>
      <c r="K42" s="80" t="n">
        <f aca="false">'Capac.Cond.Corre.'!G39</f>
        <v>0.7</v>
      </c>
      <c r="L42" s="84" t="n">
        <f aca="false">'Queda de Tensão'!H39</f>
        <v>28</v>
      </c>
      <c r="M42" s="80" t="n">
        <f aca="false">Sobrecarga!Q39</f>
        <v>2.5</v>
      </c>
      <c r="N42" s="95" t="n">
        <f aca="false">'Divisão dos Circuitos'!L39</f>
        <v>1</v>
      </c>
      <c r="O42" s="95" t="n">
        <f aca="false">'Divisão dos Circuitos'!M39</f>
        <v>10</v>
      </c>
      <c r="P42" s="95" t="n">
        <f aca="false">'Divisão dos Circuitos'!N39</f>
        <v>2</v>
      </c>
      <c r="Q42" s="95" t="n">
        <f aca="false">'Divisão dos Circuitos'!O39</f>
        <v>25</v>
      </c>
      <c r="R42" s="79" t="s">
        <v>283</v>
      </c>
      <c r="S42" s="80" t="n">
        <f aca="false">IF(ISNUMBER(SEARCH("R", R42)), I42, 0)</f>
        <v>5.45454545454545</v>
      </c>
      <c r="T42" s="80" t="n">
        <f aca="false">IF(ISNUMBER(SEARCH("S", R42)), I42, 0)</f>
        <v>0</v>
      </c>
      <c r="U42" s="80" t="n">
        <f aca="false">IF(ISNUMBER(SEARCH("T", R42)), I42, 0)</f>
        <v>0</v>
      </c>
    </row>
    <row r="43" customFormat="false" ht="15.75" hidden="false" customHeight="true" outlineLevel="0" collapsed="false">
      <c r="A43" s="79" t="str">
        <f aca="false">'Divisão dos Circuitos'!A40</f>
        <v>10 - TUGs</v>
      </c>
      <c r="B43" s="79" t="str">
        <f aca="false">'Divisão dos Circuitos'!C40</f>
        <v>QD3</v>
      </c>
      <c r="C43" s="79" t="str">
        <f aca="false">'Divisão dos Circuitos'!D40</f>
        <v>Sala de Estar, Sala de Reuniões</v>
      </c>
      <c r="D43" s="108" t="n">
        <f aca="false">'Divisão dos Circuitos'!H40</f>
        <v>2320</v>
      </c>
      <c r="E43" s="108" t="n">
        <f aca="false">'Divisão dos Circuitos'!I40</f>
        <v>2900</v>
      </c>
      <c r="F43" s="108" t="n">
        <f aca="false">'Divisão dos Circuitos'!J40</f>
        <v>1740</v>
      </c>
      <c r="G43" s="80" t="n">
        <f aca="false">'Divisão dos Circuitos'!G40</f>
        <v>0.8</v>
      </c>
      <c r="H43" s="84" t="str">
        <f aca="false">IF('Divisão dos Circuitos'!F40=1,"Monofásico",IF('Divisão dos Circuitos'!F40=2,"Bifásico","Trifásico"))</f>
        <v>Monofásico</v>
      </c>
      <c r="I43" s="80" t="n">
        <f aca="false">'Divisão dos Circuitos'!K40</f>
        <v>13.1818181818182</v>
      </c>
      <c r="J43" s="80" t="n">
        <f aca="false">'Capac.Cond.Corre.'!E40</f>
        <v>1</v>
      </c>
      <c r="K43" s="80" t="n">
        <f aca="false">'Capac.Cond.Corre.'!G40</f>
        <v>0.7</v>
      </c>
      <c r="L43" s="84" t="n">
        <f aca="false">'Queda de Tensão'!H40</f>
        <v>33.2</v>
      </c>
      <c r="M43" s="80" t="n">
        <f aca="false">Sobrecarga!Q40</f>
        <v>4</v>
      </c>
      <c r="N43" s="95" t="n">
        <f aca="false">'Divisão dos Circuitos'!L40</f>
        <v>1</v>
      </c>
      <c r="O43" s="95" t="n">
        <f aca="false">'Divisão dos Circuitos'!M40</f>
        <v>16</v>
      </c>
      <c r="P43" s="95" t="n">
        <f aca="false">'Divisão dos Circuitos'!N40</f>
        <v>2</v>
      </c>
      <c r="Q43" s="95" t="n">
        <f aca="false">'Divisão dos Circuitos'!O40</f>
        <v>25</v>
      </c>
      <c r="R43" s="79" t="s">
        <v>281</v>
      </c>
      <c r="S43" s="80" t="n">
        <f aca="false">IF(ISNUMBER(SEARCH("R", R43)), I43, 0)</f>
        <v>0</v>
      </c>
      <c r="T43" s="80" t="n">
        <f aca="false">IF(ISNUMBER(SEARCH("S", R43)), I43, 0)</f>
        <v>13.1818181818182</v>
      </c>
      <c r="U43" s="80" t="n">
        <f aca="false">IF(ISNUMBER(SEARCH("T", R43)), I43, 0)</f>
        <v>0</v>
      </c>
    </row>
    <row r="44" customFormat="false" ht="15.75" hidden="false" customHeight="true" outlineLevel="0" collapsed="false">
      <c r="A44" s="79" t="str">
        <f aca="false">'Divisão dos Circuitos'!A41</f>
        <v>11 - TUGs</v>
      </c>
      <c r="B44" s="79" t="str">
        <f aca="false">'Divisão dos Circuitos'!C41</f>
        <v>QD3</v>
      </c>
      <c r="C44" s="79" t="str">
        <f aca="false">'Divisão dos Circuitos'!D41</f>
        <v>Circulação 2 e 3</v>
      </c>
      <c r="D44" s="108" t="n">
        <f aca="false">'Divisão dos Circuitos'!H41</f>
        <v>1120</v>
      </c>
      <c r="E44" s="108" t="n">
        <f aca="false">'Divisão dos Circuitos'!I41</f>
        <v>1400</v>
      </c>
      <c r="F44" s="108" t="n">
        <f aca="false">'Divisão dos Circuitos'!J41</f>
        <v>840</v>
      </c>
      <c r="G44" s="80" t="n">
        <f aca="false">'Divisão dos Circuitos'!G41</f>
        <v>0.8</v>
      </c>
      <c r="H44" s="84" t="str">
        <f aca="false">IF('Divisão dos Circuitos'!F41=1,"Monofásico",IF('Divisão dos Circuitos'!F41=2,"Bifásico","Trifásico"))</f>
        <v>Monofásico</v>
      </c>
      <c r="I44" s="80" t="n">
        <f aca="false">'Divisão dos Circuitos'!K41</f>
        <v>6.36363636363636</v>
      </c>
      <c r="J44" s="80" t="n">
        <f aca="false">'Capac.Cond.Corre.'!E41</f>
        <v>1</v>
      </c>
      <c r="K44" s="80" t="n">
        <f aca="false">'Capac.Cond.Corre.'!G41</f>
        <v>0.7</v>
      </c>
      <c r="L44" s="84" t="n">
        <f aca="false">'Queda de Tensão'!H41</f>
        <v>27</v>
      </c>
      <c r="M44" s="80" t="n">
        <f aca="false">Sobrecarga!Q41</f>
        <v>2.5</v>
      </c>
      <c r="N44" s="95" t="n">
        <f aca="false">'Divisão dos Circuitos'!L41</f>
        <v>1</v>
      </c>
      <c r="O44" s="95" t="n">
        <f aca="false">'Divisão dos Circuitos'!M41</f>
        <v>10</v>
      </c>
      <c r="P44" s="95" t="n">
        <f aca="false">'Divisão dos Circuitos'!N41</f>
        <v>2</v>
      </c>
      <c r="Q44" s="95" t="n">
        <f aca="false">'Divisão dos Circuitos'!O41</f>
        <v>25</v>
      </c>
      <c r="R44" s="79" t="s">
        <v>281</v>
      </c>
      <c r="S44" s="80" t="n">
        <f aca="false">IF(ISNUMBER(SEARCH("R", R44)), I44, 0)</f>
        <v>0</v>
      </c>
      <c r="T44" s="80" t="n">
        <f aca="false">IF(ISNUMBER(SEARCH("S", R44)), I44, 0)</f>
        <v>6.36363636363636</v>
      </c>
      <c r="U44" s="80" t="n">
        <f aca="false">IF(ISNUMBER(SEARCH("T", R44)), I44, 0)</f>
        <v>0</v>
      </c>
    </row>
    <row r="45" customFormat="false" ht="15.75" hidden="false" customHeight="true" outlineLevel="0" collapsed="false">
      <c r="A45" s="79" t="str">
        <f aca="false">'Divisão dos Circuitos'!A42</f>
        <v>31 - TUE</v>
      </c>
      <c r="B45" s="79" t="str">
        <f aca="false">'Divisão dos Circuitos'!C42</f>
        <v>QD3</v>
      </c>
      <c r="C45" s="79" t="str">
        <f aca="false">'Divisão dos Circuitos'!D42</f>
        <v>Secadores de Mãos - BWC 3 e 4</v>
      </c>
      <c r="D45" s="108" t="n">
        <f aca="false">'Divisão dos Circuitos'!H42</f>
        <v>3000</v>
      </c>
      <c r="E45" s="108" t="n">
        <f aca="false">'Divisão dos Circuitos'!I42</f>
        <v>3061.22448979592</v>
      </c>
      <c r="F45" s="108" t="n">
        <f aca="false">'Divisão dos Circuitos'!J42</f>
        <v>609.175981902014</v>
      </c>
      <c r="G45" s="80" t="n">
        <f aca="false">'Divisão dos Circuitos'!G42</f>
        <v>0.98</v>
      </c>
      <c r="H45" s="84" t="str">
        <f aca="false">IF('Divisão dos Circuitos'!F42=1,"Monofásico",IF('Divisão dos Circuitos'!F42=2,"Bifásico","Trifásico"))</f>
        <v>Monofásico</v>
      </c>
      <c r="I45" s="80" t="n">
        <f aca="false">'Divisão dos Circuitos'!K42</f>
        <v>13.9146567717996</v>
      </c>
      <c r="J45" s="80" t="n">
        <f aca="false">'Capac.Cond.Corre.'!E42</f>
        <v>1</v>
      </c>
      <c r="K45" s="80" t="n">
        <f aca="false">'Capac.Cond.Corre.'!G42</f>
        <v>0.7</v>
      </c>
      <c r="L45" s="84" t="n">
        <f aca="false">'Queda de Tensão'!H42</f>
        <v>31.3</v>
      </c>
      <c r="M45" s="80" t="n">
        <f aca="false">Sobrecarga!Q42</f>
        <v>4</v>
      </c>
      <c r="N45" s="95" t="n">
        <f aca="false">'Divisão dos Circuitos'!L42</f>
        <v>1</v>
      </c>
      <c r="O45" s="95" t="n">
        <f aca="false">'Divisão dos Circuitos'!M42</f>
        <v>16</v>
      </c>
      <c r="P45" s="95" t="n">
        <f aca="false">'Divisão dos Circuitos'!N42</f>
        <v>2</v>
      </c>
      <c r="Q45" s="95" t="n">
        <f aca="false">'Divisão dos Circuitos'!O42</f>
        <v>25</v>
      </c>
      <c r="R45" s="79" t="s">
        <v>281</v>
      </c>
      <c r="S45" s="80" t="n">
        <f aca="false">IF(ISNUMBER(SEARCH("R", R45)), I45, 0)</f>
        <v>0</v>
      </c>
      <c r="T45" s="80" t="n">
        <f aca="false">IF(ISNUMBER(SEARCH("S", R45)), I45, 0)</f>
        <v>13.9146567717996</v>
      </c>
      <c r="U45" s="80" t="n">
        <f aca="false">IF(ISNUMBER(SEARCH("T", R45)), I45, 0)</f>
        <v>0</v>
      </c>
    </row>
    <row r="46" customFormat="false" ht="15.75" hidden="false" customHeight="true" outlineLevel="0" collapsed="false">
      <c r="A46" s="79" t="str">
        <f aca="false">'Divisão dos Circuitos'!A43</f>
        <v>32 - TUE</v>
      </c>
      <c r="B46" s="79" t="str">
        <f aca="false">'Divisão dos Circuitos'!C43</f>
        <v>QD3</v>
      </c>
      <c r="C46" s="79" t="str">
        <f aca="false">'Divisão dos Circuitos'!D43</f>
        <v>Ar Condicionado - Sala de Estar</v>
      </c>
      <c r="D46" s="108" t="n">
        <f aca="false">'Divisão dos Circuitos'!H43</f>
        <v>1900</v>
      </c>
      <c r="E46" s="108" t="n">
        <f aca="false">'Divisão dos Circuitos'!I43</f>
        <v>2065.21739130435</v>
      </c>
      <c r="F46" s="108" t="n">
        <f aca="false">'Divisão dos Circuitos'!J43</f>
        <v>809.396610658789</v>
      </c>
      <c r="G46" s="80" t="n">
        <f aca="false">'Divisão dos Circuitos'!G43</f>
        <v>0.92</v>
      </c>
      <c r="H46" s="84" t="str">
        <f aca="false">IF('Divisão dos Circuitos'!F43=1,"Monofásico",IF('Divisão dos Circuitos'!F43=2,"Bifásico","Trifásico"))</f>
        <v>Monofásico</v>
      </c>
      <c r="I46" s="80" t="n">
        <f aca="false">'Divisão dos Circuitos'!K43</f>
        <v>9.38735177865613</v>
      </c>
      <c r="J46" s="80" t="n">
        <f aca="false">'Capac.Cond.Corre.'!E43</f>
        <v>1</v>
      </c>
      <c r="K46" s="80" t="n">
        <f aca="false">'Capac.Cond.Corre.'!G43</f>
        <v>0.7</v>
      </c>
      <c r="L46" s="84" t="n">
        <f aca="false">'Queda de Tensão'!H43</f>
        <v>18.6</v>
      </c>
      <c r="M46" s="80" t="n">
        <f aca="false">Sobrecarga!Q43</f>
        <v>2.5</v>
      </c>
      <c r="N46" s="95" t="n">
        <f aca="false">'Divisão dos Circuitos'!L43</f>
        <v>1</v>
      </c>
      <c r="O46" s="95" t="n">
        <f aca="false">'Divisão dos Circuitos'!M43</f>
        <v>10</v>
      </c>
      <c r="P46" s="95" t="n">
        <f aca="false">'Divisão dos Circuitos'!N43</f>
        <v>2</v>
      </c>
      <c r="Q46" s="95" t="n">
        <f aca="false">'Divisão dos Circuitos'!O43</f>
        <v>25</v>
      </c>
      <c r="R46" s="79" t="s">
        <v>282</v>
      </c>
      <c r="S46" s="80" t="n">
        <f aca="false">IF(ISNUMBER(SEARCH("R", R46)), I46, 0)</f>
        <v>0</v>
      </c>
      <c r="T46" s="80" t="n">
        <f aca="false">IF(ISNUMBER(SEARCH("S", R46)), I46, 0)</f>
        <v>0</v>
      </c>
      <c r="U46" s="80" t="n">
        <f aca="false">IF(ISNUMBER(SEARCH("T", R46)), I46, 0)</f>
        <v>9.38735177865613</v>
      </c>
    </row>
    <row r="47" customFormat="false" ht="15.75" hidden="false" customHeight="true" outlineLevel="0" collapsed="false">
      <c r="A47" s="79" t="str">
        <f aca="false">'Divisão dos Circuitos'!A44</f>
        <v>33 - TUE</v>
      </c>
      <c r="B47" s="79" t="str">
        <f aca="false">'Divisão dos Circuitos'!C44</f>
        <v>QD3</v>
      </c>
      <c r="C47" s="79" t="str">
        <f aca="false">'Divisão dos Circuitos'!D44</f>
        <v>Ar Condicionado - Sala de Reuniões</v>
      </c>
      <c r="D47" s="108" t="n">
        <f aca="false">'Divisão dos Circuitos'!H44</f>
        <v>2500</v>
      </c>
      <c r="E47" s="108" t="n">
        <f aca="false">'Divisão dos Circuitos'!I44</f>
        <v>2717.39130434783</v>
      </c>
      <c r="F47" s="108" t="n">
        <f aca="false">'Divisão dos Circuitos'!J44</f>
        <v>1064.99554034051</v>
      </c>
      <c r="G47" s="80" t="n">
        <f aca="false">'Divisão dos Circuitos'!G44</f>
        <v>0.92</v>
      </c>
      <c r="H47" s="84" t="str">
        <f aca="false">IF('Divisão dos Circuitos'!F44=1,"Monofásico",IF('Divisão dos Circuitos'!F44=2,"Bifásico","Trifásico"))</f>
        <v>Monofásico</v>
      </c>
      <c r="I47" s="80" t="n">
        <f aca="false">'Divisão dos Circuitos'!K44</f>
        <v>12.3517786561265</v>
      </c>
      <c r="J47" s="80" t="n">
        <f aca="false">'Capac.Cond.Corre.'!E44</f>
        <v>1</v>
      </c>
      <c r="K47" s="80" t="n">
        <f aca="false">'Capac.Cond.Corre.'!G44</f>
        <v>0.7</v>
      </c>
      <c r="L47" s="84" t="n">
        <f aca="false">'Queda de Tensão'!H44</f>
        <v>22.5</v>
      </c>
      <c r="M47" s="80" t="n">
        <f aca="false">Sobrecarga!Q44</f>
        <v>2.5</v>
      </c>
      <c r="N47" s="95" t="n">
        <f aca="false">'Divisão dos Circuitos'!L44</f>
        <v>1</v>
      </c>
      <c r="O47" s="95" t="n">
        <f aca="false">'Divisão dos Circuitos'!M44</f>
        <v>16</v>
      </c>
      <c r="P47" s="95" t="n">
        <f aca="false">'Divisão dos Circuitos'!N44</f>
        <v>2</v>
      </c>
      <c r="Q47" s="95" t="n">
        <f aca="false">'Divisão dos Circuitos'!O44</f>
        <v>25</v>
      </c>
      <c r="R47" s="79" t="s">
        <v>283</v>
      </c>
      <c r="S47" s="80" t="n">
        <f aca="false">IF(ISNUMBER(SEARCH("R", R47)), I47, 0)</f>
        <v>12.3517786561265</v>
      </c>
      <c r="T47" s="80" t="n">
        <f aca="false">IF(ISNUMBER(SEARCH("S", R47)), I47, 0)</f>
        <v>0</v>
      </c>
      <c r="U47" s="80" t="n">
        <f aca="false">IF(ISNUMBER(SEARCH("T", R47)), I47, 0)</f>
        <v>0</v>
      </c>
    </row>
    <row r="48" customFormat="false" ht="15.75" hidden="false" customHeight="true" outlineLevel="0" collapsed="false">
      <c r="A48" s="79" t="str">
        <f aca="false">'Divisão dos Circuitos'!A45</f>
        <v>34 - TUE</v>
      </c>
      <c r="B48" s="79" t="str">
        <f aca="false">'Divisão dos Circuitos'!C45</f>
        <v>QD3</v>
      </c>
      <c r="C48" s="79" t="str">
        <f aca="false">'Divisão dos Circuitos'!D45</f>
        <v>Ar Condicionado - Recepção</v>
      </c>
      <c r="D48" s="108" t="n">
        <f aca="false">'Divisão dos Circuitos'!H45</f>
        <v>1400</v>
      </c>
      <c r="E48" s="108" t="n">
        <f aca="false">'Divisão dos Circuitos'!I45</f>
        <v>1521.73913043478</v>
      </c>
      <c r="F48" s="108" t="n">
        <f aca="false">'Divisão dos Circuitos'!J45</f>
        <v>596.397502590687</v>
      </c>
      <c r="G48" s="80" t="n">
        <f aca="false">'Divisão dos Circuitos'!G45</f>
        <v>0.92</v>
      </c>
      <c r="H48" s="84" t="str">
        <f aca="false">IF('Divisão dos Circuitos'!F45=1,"Monofásico",IF('Divisão dos Circuitos'!F45=2,"Bifásico","Trifásico"))</f>
        <v>Monofásico</v>
      </c>
      <c r="I48" s="80" t="n">
        <f aca="false">'Divisão dos Circuitos'!K45</f>
        <v>6.91699604743083</v>
      </c>
      <c r="J48" s="80" t="n">
        <f aca="false">'Capac.Cond.Corre.'!E45</f>
        <v>1</v>
      </c>
      <c r="K48" s="80" t="n">
        <f aca="false">'Capac.Cond.Corre.'!G45</f>
        <v>0.7</v>
      </c>
      <c r="L48" s="84" t="n">
        <f aca="false">'Queda de Tensão'!H45</f>
        <v>15.8</v>
      </c>
      <c r="M48" s="80" t="n">
        <f aca="false">Sobrecarga!Q45</f>
        <v>2.5</v>
      </c>
      <c r="N48" s="95" t="n">
        <f aca="false">'Divisão dos Circuitos'!L45</f>
        <v>1</v>
      </c>
      <c r="O48" s="95" t="n">
        <f aca="false">'Divisão dos Circuitos'!M45</f>
        <v>10</v>
      </c>
      <c r="P48" s="95" t="n">
        <f aca="false">'Divisão dos Circuitos'!N45</f>
        <v>2</v>
      </c>
      <c r="Q48" s="95" t="n">
        <f aca="false">'Divisão dos Circuitos'!O45</f>
        <v>25</v>
      </c>
      <c r="R48" s="79" t="s">
        <v>282</v>
      </c>
      <c r="S48" s="80" t="n">
        <f aca="false">IF(ISNUMBER(SEARCH("R", R48)), I48, 0)</f>
        <v>0</v>
      </c>
      <c r="T48" s="80" t="n">
        <f aca="false">IF(ISNUMBER(SEARCH("S", R48)), I48, 0)</f>
        <v>0</v>
      </c>
      <c r="U48" s="80" t="n">
        <f aca="false">IF(ISNUMBER(SEARCH("T", R48)), I48, 0)</f>
        <v>6.91699604743083</v>
      </c>
    </row>
    <row r="49" customFormat="false" ht="15.75" hidden="false" customHeight="true" outlineLevel="0" collapsed="false">
      <c r="A49" s="79" t="str">
        <f aca="false">'Divisão dos Circuitos'!A46</f>
        <v>42 - TUGs</v>
      </c>
      <c r="B49" s="79" t="str">
        <f aca="false">'Divisão dos Circuitos'!C46</f>
        <v>QD3</v>
      </c>
      <c r="C49" s="79" t="str">
        <f aca="false">'Divisão dos Circuitos'!D46</f>
        <v>Recepção, Ante Sala</v>
      </c>
      <c r="D49" s="108" t="n">
        <f aca="false">'Divisão dos Circuitos'!H46</f>
        <v>1360</v>
      </c>
      <c r="E49" s="108" t="n">
        <f aca="false">'Divisão dos Circuitos'!I46</f>
        <v>1700</v>
      </c>
      <c r="F49" s="108" t="n">
        <f aca="false">'Divisão dos Circuitos'!J46</f>
        <v>1020</v>
      </c>
      <c r="G49" s="80" t="n">
        <f aca="false">'Divisão dos Circuitos'!G46</f>
        <v>0.8</v>
      </c>
      <c r="H49" s="84" t="str">
        <f aca="false">IF('Divisão dos Circuitos'!F46=1,"Monofásico",IF('Divisão dos Circuitos'!F46=2,"Bifásico","Trifásico"))</f>
        <v>Monofásico</v>
      </c>
      <c r="I49" s="80" t="n">
        <f aca="false">'Divisão dos Circuitos'!K46</f>
        <v>7.72727272727273</v>
      </c>
      <c r="J49" s="80" t="n">
        <f aca="false">'Capac.Cond.Corre.'!E46</f>
        <v>1</v>
      </c>
      <c r="K49" s="80" t="n">
        <f aca="false">'Capac.Cond.Corre.'!G46</f>
        <v>0.7</v>
      </c>
      <c r="L49" s="84" t="n">
        <f aca="false">'Queda de Tensão'!H46</f>
        <v>28.8</v>
      </c>
      <c r="M49" s="80" t="n">
        <f aca="false">Sobrecarga!Q46</f>
        <v>2.5</v>
      </c>
      <c r="N49" s="95" t="n">
        <f aca="false">'Divisão dos Circuitos'!L46</f>
        <v>1</v>
      </c>
      <c r="O49" s="95" t="n">
        <f aca="false">'Divisão dos Circuitos'!M46</f>
        <v>10</v>
      </c>
      <c r="P49" s="95" t="n">
        <f aca="false">'Divisão dos Circuitos'!N46</f>
        <v>2</v>
      </c>
      <c r="Q49" s="95" t="n">
        <f aca="false">'Divisão dos Circuitos'!O46</f>
        <v>25</v>
      </c>
      <c r="R49" s="79" t="s">
        <v>282</v>
      </c>
      <c r="S49" s="80" t="n">
        <f aca="false">IF(ISNUMBER(SEARCH("R", R49)), I49, 0)</f>
        <v>0</v>
      </c>
      <c r="T49" s="80" t="n">
        <f aca="false">IF(ISNUMBER(SEARCH("S", R49)), I49, 0)</f>
        <v>0</v>
      </c>
      <c r="U49" s="80" t="n">
        <f aca="false">IF(ISNUMBER(SEARCH("T", R49)), I49, 0)</f>
        <v>7.72727272727273</v>
      </c>
    </row>
    <row r="50" customFormat="false" ht="15.75" hidden="false" customHeight="true" outlineLevel="0" collapsed="false">
      <c r="A50" s="79" t="str">
        <f aca="false">'Divisão dos Circuitos'!A47</f>
        <v>43 - Iluminação</v>
      </c>
      <c r="B50" s="79" t="str">
        <f aca="false">'Divisão dos Circuitos'!C47</f>
        <v>QD3</v>
      </c>
      <c r="C50" s="79" t="str">
        <f aca="false">'Divisão dos Circuitos'!D47</f>
        <v>Ante Sala, Circulação 2, Circulação 3, BWC 3 e 4</v>
      </c>
      <c r="D50" s="108" t="n">
        <f aca="false">'Divisão dos Circuitos'!H47</f>
        <v>1445.4</v>
      </c>
      <c r="E50" s="108" t="n">
        <f aca="false">'Divisão dos Circuitos'!I47</f>
        <v>1460</v>
      </c>
      <c r="F50" s="108" t="n">
        <f aca="false">'Divisão dos Circuitos'!J47</f>
        <v>205.958345303122</v>
      </c>
      <c r="G50" s="80" t="n">
        <f aca="false">'Divisão dos Circuitos'!G47</f>
        <v>0.99</v>
      </c>
      <c r="H50" s="84" t="str">
        <f aca="false">IF('Divisão dos Circuitos'!F47=1,"Monofásico",IF('Divisão dos Circuitos'!F47=2,"Bifásico","Trifásico"))</f>
        <v>Monofásico</v>
      </c>
      <c r="I50" s="80" t="n">
        <f aca="false">'Divisão dos Circuitos'!K47</f>
        <v>6.63636363636364</v>
      </c>
      <c r="J50" s="80" t="n">
        <f aca="false">'Capac.Cond.Corre.'!E47</f>
        <v>1</v>
      </c>
      <c r="K50" s="80" t="n">
        <f aca="false">'Capac.Cond.Corre.'!G47</f>
        <v>0.7</v>
      </c>
      <c r="L50" s="84" t="n">
        <f aca="false">'Queda de Tensão'!H47</f>
        <v>29.2</v>
      </c>
      <c r="M50" s="80" t="n">
        <f aca="false">Sobrecarga!Q47</f>
        <v>1.5</v>
      </c>
      <c r="N50" s="95" t="n">
        <f aca="false">'Divisão dos Circuitos'!L47</f>
        <v>1</v>
      </c>
      <c r="O50" s="95" t="n">
        <f aca="false">'Divisão dos Circuitos'!M47</f>
        <v>10</v>
      </c>
      <c r="P50" s="95" t="n">
        <f aca="false">'Divisão dos Circuitos'!N47</f>
        <v>2</v>
      </c>
      <c r="Q50" s="95" t="n">
        <f aca="false">'Divisão dos Circuitos'!O47</f>
        <v>25</v>
      </c>
      <c r="R50" s="79" t="s">
        <v>283</v>
      </c>
      <c r="S50" s="80" t="n">
        <f aca="false">IF(ISNUMBER(SEARCH("R", R50)), I50, 0)</f>
        <v>6.63636363636364</v>
      </c>
      <c r="T50" s="80" t="n">
        <f aca="false">IF(ISNUMBER(SEARCH("S", R50)), I50, 0)</f>
        <v>0</v>
      </c>
      <c r="U50" s="80" t="n">
        <f aca="false">IF(ISNUMBER(SEARCH("T", R50)), I50, 0)</f>
        <v>0</v>
      </c>
    </row>
    <row r="51" customFormat="false" ht="15.75" hidden="false" customHeight="true" outlineLevel="0" collapsed="false">
      <c r="A51" s="109" t="s">
        <v>289</v>
      </c>
      <c r="B51" s="109"/>
      <c r="C51" s="109"/>
      <c r="D51" s="110" t="n">
        <f aca="false">SUM(D40:D50)</f>
        <v>19545.8</v>
      </c>
      <c r="E51" s="110" t="n">
        <f aca="false">SUM(E40:E50)</f>
        <v>21985.5723158829</v>
      </c>
      <c r="F51" s="110" t="n">
        <f aca="false">SUM(F40:F50)</f>
        <v>9082.41600599657</v>
      </c>
      <c r="G51" s="111"/>
      <c r="H51" s="112"/>
      <c r="I51" s="111"/>
      <c r="J51" s="111"/>
      <c r="K51" s="111"/>
      <c r="L51" s="112"/>
      <c r="M51" s="111"/>
      <c r="N51" s="109" t="s">
        <v>286</v>
      </c>
      <c r="O51" s="109"/>
      <c r="P51" s="109"/>
      <c r="Q51" s="109"/>
      <c r="R51" s="109"/>
      <c r="S51" s="111" t="n">
        <f aca="false">SUM(S40:S50)</f>
        <v>33.3517786561265</v>
      </c>
      <c r="T51" s="111" t="n">
        <f aca="false">SUM(T40:T50)</f>
        <v>33.4601113172542</v>
      </c>
      <c r="U51" s="111" t="n">
        <f aca="false">SUM(U40:U50)</f>
        <v>33.1225296442688</v>
      </c>
    </row>
    <row r="52" customFormat="false" ht="15.75" hidden="false" customHeight="true" outlineLevel="0" collapsed="false">
      <c r="A52" s="107" t="s">
        <v>192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</row>
    <row r="53" customFormat="false" ht="15.75" hidden="false" customHeight="true" outlineLevel="0" collapsed="false">
      <c r="A53" s="79" t="str">
        <f aca="false">'Divisão dos Circuitos'!A49</f>
        <v>04 - Iluminação</v>
      </c>
      <c r="B53" s="79" t="str">
        <f aca="false">'Divisão dos Circuitos'!C49</f>
        <v>QD4</v>
      </c>
      <c r="C53" s="79" t="str">
        <f aca="false">'Divisão dos Circuitos'!D49</f>
        <v>Circulação 1, Vídeo Conferência, Presidência, Diretoria Técnica, Depósito, Subestação</v>
      </c>
      <c r="D53" s="108" t="n">
        <f aca="false">'Divisão dos Circuitos'!H49</f>
        <v>2376</v>
      </c>
      <c r="E53" s="108" t="n">
        <f aca="false">'Divisão dos Circuitos'!I49</f>
        <v>2400</v>
      </c>
      <c r="F53" s="108" t="n">
        <f aca="false">'Divisão dos Circuitos'!J49</f>
        <v>338.561663511981</v>
      </c>
      <c r="G53" s="80" t="n">
        <f aca="false">'Divisão dos Circuitos'!G49</f>
        <v>0.99</v>
      </c>
      <c r="H53" s="84" t="str">
        <f aca="false">IF('Divisão dos Circuitos'!F49=1,"Monofásico",IF('Divisão dos Circuitos'!F49=2,"Bifásico","Trifásico"))</f>
        <v>Monofásico</v>
      </c>
      <c r="I53" s="80" t="n">
        <f aca="false">'Divisão dos Circuitos'!K49</f>
        <v>10.9090909090909</v>
      </c>
      <c r="J53" s="80" t="n">
        <f aca="false">'Capac.Cond.Corre.'!E49</f>
        <v>1</v>
      </c>
      <c r="K53" s="80" t="n">
        <f aca="false">'Capac.Cond.Corre.'!G49</f>
        <v>0.7</v>
      </c>
      <c r="L53" s="84" t="n">
        <f aca="false">'Queda de Tensão'!H49</f>
        <v>19.4</v>
      </c>
      <c r="M53" s="80" t="n">
        <f aca="false">Sobrecarga!Q49</f>
        <v>2.5</v>
      </c>
      <c r="N53" s="95" t="n">
        <f aca="false">'Divisão dos Circuitos'!L49</f>
        <v>1</v>
      </c>
      <c r="O53" s="95" t="n">
        <f aca="false">'Divisão dos Circuitos'!M49</f>
        <v>16</v>
      </c>
      <c r="P53" s="95" t="n">
        <f aca="false">'Divisão dos Circuitos'!N49</f>
        <v>2</v>
      </c>
      <c r="Q53" s="95" t="n">
        <f aca="false">'Divisão dos Circuitos'!O49</f>
        <v>25</v>
      </c>
      <c r="R53" s="79" t="s">
        <v>283</v>
      </c>
      <c r="S53" s="80" t="n">
        <f aca="false">IF(ISNUMBER(SEARCH("R", R53)), I53, 0)</f>
        <v>10.9090909090909</v>
      </c>
      <c r="T53" s="80" t="n">
        <f aca="false">IF(ISNUMBER(SEARCH("S", R53)), I53, 0)</f>
        <v>0</v>
      </c>
      <c r="U53" s="80" t="n">
        <f aca="false">IF(ISNUMBER(SEARCH("T", R53)), I53, 0)</f>
        <v>0</v>
      </c>
    </row>
    <row r="54" customFormat="false" ht="15.75" hidden="false" customHeight="true" outlineLevel="0" collapsed="false">
      <c r="A54" s="79" t="str">
        <f aca="false">'Divisão dos Circuitos'!A50</f>
        <v>09 - TUGs</v>
      </c>
      <c r="B54" s="79" t="str">
        <f aca="false">'Divisão dos Circuitos'!C50</f>
        <v>QD4</v>
      </c>
      <c r="C54" s="79" t="str">
        <f aca="false">'Divisão dos Circuitos'!D50</f>
        <v>Vídeo Conferência, Presidência</v>
      </c>
      <c r="D54" s="108" t="n">
        <f aca="false">'Divisão dos Circuitos'!H50</f>
        <v>2080</v>
      </c>
      <c r="E54" s="108" t="n">
        <f aca="false">'Divisão dos Circuitos'!I50</f>
        <v>2600</v>
      </c>
      <c r="F54" s="108" t="n">
        <f aca="false">'Divisão dos Circuitos'!J50</f>
        <v>1560</v>
      </c>
      <c r="G54" s="80" t="n">
        <f aca="false">'Divisão dos Circuitos'!G50</f>
        <v>0.8</v>
      </c>
      <c r="H54" s="84" t="str">
        <f aca="false">IF('Divisão dos Circuitos'!F50=1,"Monofásico",IF('Divisão dos Circuitos'!F50=2,"Bifásico","Trifásico"))</f>
        <v>Monofásico</v>
      </c>
      <c r="I54" s="80" t="n">
        <f aca="false">'Divisão dos Circuitos'!K50</f>
        <v>11.8181818181818</v>
      </c>
      <c r="J54" s="80" t="n">
        <f aca="false">'Capac.Cond.Corre.'!E50</f>
        <v>1</v>
      </c>
      <c r="K54" s="80" t="n">
        <f aca="false">'Capac.Cond.Corre.'!G50</f>
        <v>0.7</v>
      </c>
      <c r="L54" s="84" t="n">
        <f aca="false">'Queda de Tensão'!H50</f>
        <v>27.2</v>
      </c>
      <c r="M54" s="80" t="n">
        <f aca="false">Sobrecarga!Q50</f>
        <v>2.5</v>
      </c>
      <c r="N54" s="95" t="n">
        <f aca="false">'Divisão dos Circuitos'!L50</f>
        <v>1</v>
      </c>
      <c r="O54" s="95" t="n">
        <f aca="false">'Divisão dos Circuitos'!M50</f>
        <v>16</v>
      </c>
      <c r="P54" s="95" t="n">
        <f aca="false">'Divisão dos Circuitos'!N50</f>
        <v>2</v>
      </c>
      <c r="Q54" s="95" t="n">
        <f aca="false">'Divisão dos Circuitos'!O50</f>
        <v>25</v>
      </c>
      <c r="R54" s="79" t="s">
        <v>282</v>
      </c>
      <c r="S54" s="80" t="n">
        <f aca="false">IF(ISNUMBER(SEARCH("R", R54)), I54, 0)</f>
        <v>0</v>
      </c>
      <c r="T54" s="80" t="n">
        <f aca="false">IF(ISNUMBER(SEARCH("S", R54)), I54, 0)</f>
        <v>0</v>
      </c>
      <c r="U54" s="80" t="n">
        <f aca="false">IF(ISNUMBER(SEARCH("T", R54)), I54, 0)</f>
        <v>11.8181818181818</v>
      </c>
    </row>
    <row r="55" customFormat="false" ht="15.75" hidden="false" customHeight="true" outlineLevel="0" collapsed="false">
      <c r="A55" s="79" t="str">
        <f aca="false">'Divisão dos Circuitos'!A51</f>
        <v>28 - TUE</v>
      </c>
      <c r="B55" s="79" t="str">
        <f aca="false">'Divisão dos Circuitos'!C51</f>
        <v>QD4</v>
      </c>
      <c r="C55" s="79" t="str">
        <f aca="false">'Divisão dos Circuitos'!D51</f>
        <v>Depósito</v>
      </c>
      <c r="D55" s="108" t="n">
        <f aca="false">'Divisão dos Circuitos'!H51</f>
        <v>6000</v>
      </c>
      <c r="E55" s="108" t="n">
        <f aca="false">'Divisão dos Circuitos'!I51</f>
        <v>6000</v>
      </c>
      <c r="F55" s="108" t="n">
        <f aca="false">'Divisão dos Circuitos'!J51</f>
        <v>0</v>
      </c>
      <c r="G55" s="80" t="n">
        <f aca="false">'Divisão dos Circuitos'!G51</f>
        <v>1</v>
      </c>
      <c r="H55" s="84" t="str">
        <f aca="false">IF('Divisão dos Circuitos'!F51=1,"Monofásico",IF('Divisão dos Circuitos'!F51=2,"Bifásico","Trifásico"))</f>
        <v>Monofásico</v>
      </c>
      <c r="I55" s="80" t="n">
        <f aca="false">'Divisão dos Circuitos'!K51</f>
        <v>27.2727272727273</v>
      </c>
      <c r="J55" s="80" t="n">
        <f aca="false">'Capac.Cond.Corre.'!E51</f>
        <v>1</v>
      </c>
      <c r="K55" s="80" t="n">
        <f aca="false">'Capac.Cond.Corre.'!G51</f>
        <v>0.7</v>
      </c>
      <c r="L55" s="84" t="n">
        <f aca="false">'Queda de Tensão'!H51</f>
        <v>8.8</v>
      </c>
      <c r="M55" s="80" t="n">
        <f aca="false">Sobrecarga!Q51</f>
        <v>10</v>
      </c>
      <c r="N55" s="95" t="n">
        <f aca="false">'Divisão dos Circuitos'!L51</f>
        <v>1</v>
      </c>
      <c r="O55" s="95" t="n">
        <f aca="false">'Divisão dos Circuitos'!M51</f>
        <v>32</v>
      </c>
      <c r="P55" s="95" t="n">
        <f aca="false">'Divisão dos Circuitos'!N51</f>
        <v>2</v>
      </c>
      <c r="Q55" s="95" t="n">
        <f aca="false">'Divisão dos Circuitos'!O51</f>
        <v>40</v>
      </c>
      <c r="R55" s="79" t="s">
        <v>283</v>
      </c>
      <c r="S55" s="80" t="n">
        <f aca="false">IF(ISNUMBER(SEARCH("R", R55)), I55, 0)</f>
        <v>27.2727272727273</v>
      </c>
      <c r="T55" s="80" t="n">
        <f aca="false">IF(ISNUMBER(SEARCH("S", R55)), I55, 0)</f>
        <v>0</v>
      </c>
      <c r="U55" s="80" t="n">
        <f aca="false">IF(ISNUMBER(SEARCH("T", R55)), I55, 0)</f>
        <v>0</v>
      </c>
    </row>
    <row r="56" customFormat="false" ht="15.75" hidden="false" customHeight="true" outlineLevel="0" collapsed="false">
      <c r="A56" s="79" t="str">
        <f aca="false">'Divisão dos Circuitos'!A52</f>
        <v>29 - TUE</v>
      </c>
      <c r="B56" s="79" t="str">
        <f aca="false">'Divisão dos Circuitos'!C52</f>
        <v>QD4</v>
      </c>
      <c r="C56" s="79" t="str">
        <f aca="false">'Divisão dos Circuitos'!D52</f>
        <v>Subestação</v>
      </c>
      <c r="D56" s="108" t="n">
        <f aca="false">'Divisão dos Circuitos'!H52</f>
        <v>6000</v>
      </c>
      <c r="E56" s="108" t="n">
        <f aca="false">'Divisão dos Circuitos'!I52</f>
        <v>6000</v>
      </c>
      <c r="F56" s="108" t="n">
        <f aca="false">'Divisão dos Circuitos'!J52</f>
        <v>0</v>
      </c>
      <c r="G56" s="80" t="n">
        <f aca="false">'Divisão dos Circuitos'!G52</f>
        <v>1</v>
      </c>
      <c r="H56" s="84" t="str">
        <f aca="false">IF('Divisão dos Circuitos'!F52=1,"Monofásico",IF('Divisão dos Circuitos'!F52=2,"Bifásico","Trifásico"))</f>
        <v>Monofásico</v>
      </c>
      <c r="I56" s="80" t="n">
        <f aca="false">'Divisão dos Circuitos'!K52</f>
        <v>27.2727272727273</v>
      </c>
      <c r="J56" s="80" t="n">
        <f aca="false">'Capac.Cond.Corre.'!E52</f>
        <v>1</v>
      </c>
      <c r="K56" s="80" t="n">
        <f aca="false">'Capac.Cond.Corre.'!G52</f>
        <v>0.7</v>
      </c>
      <c r="L56" s="84" t="n">
        <f aca="false">'Queda de Tensão'!H52</f>
        <v>15.8</v>
      </c>
      <c r="M56" s="80" t="n">
        <f aca="false">Sobrecarga!Q52</f>
        <v>10</v>
      </c>
      <c r="N56" s="95" t="n">
        <f aca="false">'Divisão dos Circuitos'!L52</f>
        <v>1</v>
      </c>
      <c r="O56" s="95" t="n">
        <f aca="false">'Divisão dos Circuitos'!M52</f>
        <v>32</v>
      </c>
      <c r="P56" s="95" t="n">
        <f aca="false">'Divisão dos Circuitos'!N52</f>
        <v>2</v>
      </c>
      <c r="Q56" s="95" t="n">
        <f aca="false">'Divisão dos Circuitos'!O52</f>
        <v>40</v>
      </c>
      <c r="R56" s="79" t="s">
        <v>282</v>
      </c>
      <c r="S56" s="80" t="n">
        <f aca="false">IF(ISNUMBER(SEARCH("R", R56)), I56, 0)</f>
        <v>0</v>
      </c>
      <c r="T56" s="80" t="n">
        <f aca="false">IF(ISNUMBER(SEARCH("S", R56)), I56, 0)</f>
        <v>0</v>
      </c>
      <c r="U56" s="80" t="n">
        <f aca="false">IF(ISNUMBER(SEARCH("T", R56)), I56, 0)</f>
        <v>27.2727272727273</v>
      </c>
    </row>
    <row r="57" customFormat="false" ht="15.75" hidden="false" customHeight="true" outlineLevel="0" collapsed="false">
      <c r="A57" s="79" t="str">
        <f aca="false">'Divisão dos Circuitos'!A53</f>
        <v>35 - TUE</v>
      </c>
      <c r="B57" s="79" t="str">
        <f aca="false">'Divisão dos Circuitos'!C53</f>
        <v>QD4</v>
      </c>
      <c r="C57" s="79" t="str">
        <f aca="false">'Divisão dos Circuitos'!D53</f>
        <v>Ar Condicionado - Vídeo Conferência</v>
      </c>
      <c r="D57" s="108" t="n">
        <f aca="false">'Divisão dos Circuitos'!H53</f>
        <v>1900</v>
      </c>
      <c r="E57" s="108" t="n">
        <f aca="false">'Divisão dos Circuitos'!I53</f>
        <v>2065.21739130435</v>
      </c>
      <c r="F57" s="108" t="n">
        <f aca="false">'Divisão dos Circuitos'!J53</f>
        <v>809.396610658789</v>
      </c>
      <c r="G57" s="80" t="n">
        <f aca="false">'Divisão dos Circuitos'!G53</f>
        <v>0.92</v>
      </c>
      <c r="H57" s="84" t="str">
        <f aca="false">IF('Divisão dos Circuitos'!F53=1,"Monofásico",IF('Divisão dos Circuitos'!F53=2,"Bifásico","Trifásico"))</f>
        <v>Monofásico</v>
      </c>
      <c r="I57" s="80" t="n">
        <f aca="false">'Divisão dos Circuitos'!K53</f>
        <v>9.38735177865613</v>
      </c>
      <c r="J57" s="80" t="n">
        <f aca="false">'Capac.Cond.Corre.'!E53</f>
        <v>1</v>
      </c>
      <c r="K57" s="80" t="n">
        <f aca="false">'Capac.Cond.Corre.'!G53</f>
        <v>0.7</v>
      </c>
      <c r="L57" s="84" t="n">
        <f aca="false">'Queda de Tensão'!H53</f>
        <v>15.5</v>
      </c>
      <c r="M57" s="80" t="n">
        <f aca="false">Sobrecarga!Q53</f>
        <v>2.5</v>
      </c>
      <c r="N57" s="95" t="n">
        <f aca="false">'Divisão dos Circuitos'!L53</f>
        <v>1</v>
      </c>
      <c r="O57" s="95" t="n">
        <f aca="false">'Divisão dos Circuitos'!M53</f>
        <v>10</v>
      </c>
      <c r="P57" s="95" t="n">
        <f aca="false">'Divisão dos Circuitos'!N53</f>
        <v>2</v>
      </c>
      <c r="Q57" s="95" t="n">
        <f aca="false">'Divisão dos Circuitos'!O53</f>
        <v>25</v>
      </c>
      <c r="R57" s="79" t="s">
        <v>281</v>
      </c>
      <c r="S57" s="80" t="n">
        <f aca="false">IF(ISNUMBER(SEARCH("R", R57)), I57, 0)</f>
        <v>0</v>
      </c>
      <c r="T57" s="80" t="n">
        <f aca="false">IF(ISNUMBER(SEARCH("S", R57)), I57, 0)</f>
        <v>9.38735177865613</v>
      </c>
      <c r="U57" s="80" t="n">
        <f aca="false">IF(ISNUMBER(SEARCH("T", R57)), I57, 0)</f>
        <v>0</v>
      </c>
    </row>
    <row r="58" customFormat="false" ht="15.75" hidden="false" customHeight="true" outlineLevel="0" collapsed="false">
      <c r="A58" s="79" t="str">
        <f aca="false">'Divisão dos Circuitos'!A54</f>
        <v>36 - TUE</v>
      </c>
      <c r="B58" s="79" t="str">
        <f aca="false">'Divisão dos Circuitos'!C54</f>
        <v>QD4</v>
      </c>
      <c r="C58" s="79" t="str">
        <f aca="false">'Divisão dos Circuitos'!D54</f>
        <v>Ar Condicionado - Presidência</v>
      </c>
      <c r="D58" s="108" t="n">
        <f aca="false">'Divisão dos Circuitos'!H54</f>
        <v>1400</v>
      </c>
      <c r="E58" s="108" t="n">
        <f aca="false">'Divisão dos Circuitos'!I54</f>
        <v>1521.73913043478</v>
      </c>
      <c r="F58" s="108" t="n">
        <f aca="false">'Divisão dos Circuitos'!J54</f>
        <v>596.397502590687</v>
      </c>
      <c r="G58" s="80" t="n">
        <f aca="false">'Divisão dos Circuitos'!G54</f>
        <v>0.92</v>
      </c>
      <c r="H58" s="84" t="str">
        <f aca="false">IF('Divisão dos Circuitos'!F54=1,"Monofásico",IF('Divisão dos Circuitos'!F54=2,"Bifásico","Trifásico"))</f>
        <v>Monofásico</v>
      </c>
      <c r="I58" s="80" t="n">
        <f aca="false">'Divisão dos Circuitos'!K54</f>
        <v>6.91699604743083</v>
      </c>
      <c r="J58" s="80" t="n">
        <f aca="false">'Capac.Cond.Corre.'!E54</f>
        <v>1</v>
      </c>
      <c r="K58" s="80" t="n">
        <f aca="false">'Capac.Cond.Corre.'!G54</f>
        <v>0.8</v>
      </c>
      <c r="L58" s="84" t="n">
        <f aca="false">'Queda de Tensão'!H54</f>
        <v>16.8</v>
      </c>
      <c r="M58" s="80" t="n">
        <f aca="false">Sobrecarga!Q54</f>
        <v>2.5</v>
      </c>
      <c r="N58" s="95" t="n">
        <f aca="false">'Divisão dos Circuitos'!L54</f>
        <v>1</v>
      </c>
      <c r="O58" s="95" t="n">
        <f aca="false">'Divisão dos Circuitos'!M54</f>
        <v>10</v>
      </c>
      <c r="P58" s="95" t="n">
        <f aca="false">'Divisão dos Circuitos'!N54</f>
        <v>2</v>
      </c>
      <c r="Q58" s="95" t="n">
        <f aca="false">'Divisão dos Circuitos'!O54</f>
        <v>25</v>
      </c>
      <c r="R58" s="79" t="s">
        <v>281</v>
      </c>
      <c r="S58" s="80" t="n">
        <f aca="false">IF(ISNUMBER(SEARCH("R", R58)), I58, 0)</f>
        <v>0</v>
      </c>
      <c r="T58" s="80" t="n">
        <f aca="false">IF(ISNUMBER(SEARCH("S", R58)), I58, 0)</f>
        <v>6.91699604743083</v>
      </c>
      <c r="U58" s="80" t="n">
        <f aca="false">IF(ISNUMBER(SEARCH("T", R58)), I58, 0)</f>
        <v>0</v>
      </c>
    </row>
    <row r="59" customFormat="false" ht="15.75" hidden="false" customHeight="true" outlineLevel="0" collapsed="false">
      <c r="A59" s="79" t="str">
        <f aca="false">'Divisão dos Circuitos'!A55</f>
        <v>37 - TUE</v>
      </c>
      <c r="B59" s="79" t="str">
        <f aca="false">'Divisão dos Circuitos'!C55</f>
        <v>QD4</v>
      </c>
      <c r="C59" s="79" t="str">
        <f aca="false">'Divisão dos Circuitos'!D55</f>
        <v>Ar Condicionado - Diretoria Técnica</v>
      </c>
      <c r="D59" s="108" t="n">
        <f aca="false">'Divisão dos Circuitos'!H55</f>
        <v>1400</v>
      </c>
      <c r="E59" s="108" t="n">
        <f aca="false">'Divisão dos Circuitos'!I55</f>
        <v>1521.73913043478</v>
      </c>
      <c r="F59" s="108" t="n">
        <f aca="false">'Divisão dos Circuitos'!J55</f>
        <v>596.397502590687</v>
      </c>
      <c r="G59" s="80" t="n">
        <f aca="false">'Divisão dos Circuitos'!G55</f>
        <v>0.92</v>
      </c>
      <c r="H59" s="84" t="str">
        <f aca="false">IF('Divisão dos Circuitos'!F55=1,"Monofásico",IF('Divisão dos Circuitos'!F55=2,"Bifásico","Trifásico"))</f>
        <v>Monofásico</v>
      </c>
      <c r="I59" s="80" t="n">
        <f aca="false">'Divisão dos Circuitos'!K55</f>
        <v>6.91699604743083</v>
      </c>
      <c r="J59" s="80" t="n">
        <f aca="false">'Capac.Cond.Corre.'!E55</f>
        <v>1</v>
      </c>
      <c r="K59" s="80" t="n">
        <f aca="false">'Capac.Cond.Corre.'!G55</f>
        <v>0.7</v>
      </c>
      <c r="L59" s="84" t="n">
        <f aca="false">'Queda de Tensão'!H55</f>
        <v>7</v>
      </c>
      <c r="M59" s="80" t="n">
        <f aca="false">Sobrecarga!Q55</f>
        <v>2.5</v>
      </c>
      <c r="N59" s="95" t="n">
        <f aca="false">'Divisão dos Circuitos'!L55</f>
        <v>1</v>
      </c>
      <c r="O59" s="95" t="n">
        <f aca="false">'Divisão dos Circuitos'!M55</f>
        <v>10</v>
      </c>
      <c r="P59" s="95" t="n">
        <f aca="false">'Divisão dos Circuitos'!N55</f>
        <v>2</v>
      </c>
      <c r="Q59" s="95" t="n">
        <f aca="false">'Divisão dos Circuitos'!O55</f>
        <v>25</v>
      </c>
      <c r="R59" s="79" t="s">
        <v>281</v>
      </c>
      <c r="S59" s="80" t="n">
        <f aca="false">IF(ISNUMBER(SEARCH("R", R59)), I59, 0)</f>
        <v>0</v>
      </c>
      <c r="T59" s="80" t="n">
        <f aca="false">IF(ISNUMBER(SEARCH("S", R59)), I59, 0)</f>
        <v>6.91699604743083</v>
      </c>
      <c r="U59" s="80" t="n">
        <f aca="false">IF(ISNUMBER(SEARCH("T", R59)), I59, 0)</f>
        <v>0</v>
      </c>
    </row>
    <row r="60" customFormat="false" ht="15.75" hidden="false" customHeight="true" outlineLevel="0" collapsed="false">
      <c r="A60" s="79" t="str">
        <f aca="false">'Divisão dos Circuitos'!A56</f>
        <v>41 - TUGs</v>
      </c>
      <c r="B60" s="79" t="str">
        <f aca="false">'Divisão dos Circuitos'!C56</f>
        <v>QD4</v>
      </c>
      <c r="C60" s="79" t="str">
        <f aca="false">'Divisão dos Circuitos'!D56</f>
        <v>Diretoria Técnica, Depósito, Circulação 1, Subestação</v>
      </c>
      <c r="D60" s="108" t="n">
        <f aca="false">'Divisão dos Circuitos'!H56</f>
        <v>2640</v>
      </c>
      <c r="E60" s="108" t="n">
        <f aca="false">'Divisão dos Circuitos'!I56</f>
        <v>3300</v>
      </c>
      <c r="F60" s="108" t="n">
        <f aca="false">'Divisão dos Circuitos'!J56</f>
        <v>1980</v>
      </c>
      <c r="G60" s="80" t="n">
        <f aca="false">'Divisão dos Circuitos'!G56</f>
        <v>0.8</v>
      </c>
      <c r="H60" s="84" t="str">
        <f aca="false">IF('Divisão dos Circuitos'!F56=1,"Monofásico",IF('Divisão dos Circuitos'!F56=2,"Bifásico","Trifásico"))</f>
        <v>Monofásico</v>
      </c>
      <c r="I60" s="80" t="n">
        <f aca="false">'Divisão dos Circuitos'!K56</f>
        <v>15</v>
      </c>
      <c r="J60" s="80" t="n">
        <f aca="false">'Capac.Cond.Corre.'!E56</f>
        <v>1</v>
      </c>
      <c r="K60" s="80" t="n">
        <f aca="false">'Capac.Cond.Corre.'!G56</f>
        <v>0.7</v>
      </c>
      <c r="L60" s="84" t="n">
        <f aca="false">'Queda de Tensão'!H56</f>
        <v>24.8</v>
      </c>
      <c r="M60" s="80" t="n">
        <f aca="false">Sobrecarga!Q56</f>
        <v>2.5</v>
      </c>
      <c r="N60" s="95" t="n">
        <f aca="false">'Divisão dos Circuitos'!L56</f>
        <v>1</v>
      </c>
      <c r="O60" s="95" t="n">
        <f aca="false">'Divisão dos Circuitos'!M56</f>
        <v>16</v>
      </c>
      <c r="P60" s="95" t="n">
        <f aca="false">'Divisão dos Circuitos'!N56</f>
        <v>2</v>
      </c>
      <c r="Q60" s="95" t="n">
        <f aca="false">'Divisão dos Circuitos'!O56</f>
        <v>25</v>
      </c>
      <c r="R60" s="79" t="s">
        <v>281</v>
      </c>
      <c r="S60" s="80" t="n">
        <f aca="false">IF(ISNUMBER(SEARCH("R", R60)), I60, 0)</f>
        <v>0</v>
      </c>
      <c r="T60" s="80" t="n">
        <f aca="false">IF(ISNUMBER(SEARCH("S", R60)), I60, 0)</f>
        <v>15</v>
      </c>
      <c r="U60" s="80" t="n">
        <f aca="false">IF(ISNUMBER(SEARCH("T", R60)), I60, 0)</f>
        <v>0</v>
      </c>
    </row>
    <row r="61" customFormat="false" ht="15.75" hidden="false" customHeight="true" outlineLevel="0" collapsed="false">
      <c r="A61" s="109" t="s">
        <v>290</v>
      </c>
      <c r="B61" s="109"/>
      <c r="C61" s="109"/>
      <c r="D61" s="110" t="n">
        <f aca="false">SUM(D53:D60)</f>
        <v>23796</v>
      </c>
      <c r="E61" s="110" t="n">
        <f aca="false">SUM(E53:E60)</f>
        <v>25408.6956521739</v>
      </c>
      <c r="F61" s="110" t="n">
        <f aca="false">SUM(F53:F60)</f>
        <v>5880.75327935214</v>
      </c>
      <c r="G61" s="111"/>
      <c r="H61" s="112"/>
      <c r="I61" s="111"/>
      <c r="J61" s="111"/>
      <c r="K61" s="111"/>
      <c r="L61" s="112"/>
      <c r="M61" s="111"/>
      <c r="N61" s="109" t="s">
        <v>286</v>
      </c>
      <c r="O61" s="109"/>
      <c r="P61" s="109"/>
      <c r="Q61" s="109"/>
      <c r="R61" s="109"/>
      <c r="S61" s="111" t="n">
        <f aca="false">SUM(S53:S60)</f>
        <v>38.1818181818182</v>
      </c>
      <c r="T61" s="111" t="n">
        <f aca="false">SUM(T53:T60)</f>
        <v>38.2213438735178</v>
      </c>
      <c r="U61" s="111" t="n">
        <f aca="false">SUM(U53:U60)</f>
        <v>39.0909090909091</v>
      </c>
    </row>
    <row r="62" customFormat="false" ht="15.75" hidden="false" customHeight="true" outlineLevel="0" collapsed="false">
      <c r="A62" s="113" t="s">
        <v>291</v>
      </c>
      <c r="B62" s="113"/>
      <c r="C62" s="113"/>
      <c r="D62" s="114" t="n">
        <f aca="false">D19+D38+D51+D61</f>
        <v>176927.9</v>
      </c>
      <c r="E62" s="114" t="n">
        <f aca="false">E19+E38+E51+E61</f>
        <v>212261.654074014</v>
      </c>
      <c r="F62" s="114" t="n">
        <f aca="false">F19+F38+F51+F61</f>
        <v>109899.618628955</v>
      </c>
      <c r="G62" s="115"/>
      <c r="H62" s="116"/>
      <c r="I62" s="115"/>
      <c r="J62" s="115"/>
      <c r="K62" s="115"/>
      <c r="L62" s="117"/>
      <c r="M62" s="115"/>
      <c r="N62" s="113" t="s">
        <v>292</v>
      </c>
      <c r="O62" s="113"/>
      <c r="P62" s="113"/>
      <c r="Q62" s="113"/>
      <c r="R62" s="113"/>
      <c r="S62" s="115" t="n">
        <f aca="false">S19+S38+S51+S61</f>
        <v>323.542505346029</v>
      </c>
      <c r="T62" s="115" t="n">
        <f aca="false">T19+T38+T51+T61</f>
        <v>322.118738354503</v>
      </c>
      <c r="U62" s="115" t="n">
        <f aca="false">U19+U38+U51+U61</f>
        <v>325.478263499862</v>
      </c>
    </row>
    <row r="63" customFormat="false" ht="15.75" hidden="false" customHeight="true" outlineLevel="0" collapsed="false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</row>
    <row r="64" customFormat="false" ht="15.75" hidden="false" customHeight="true" outlineLevel="0" collapsed="false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</row>
    <row r="65" customFormat="false" ht="15.75" hidden="false" customHeight="true" outlineLevel="0" collapsed="false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</row>
    <row r="66" customFormat="false" ht="15.75" hidden="false" customHeight="true" outlineLevel="0" collapsed="false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</row>
    <row r="67" customFormat="false" ht="15.75" hidden="false" customHeight="true" outlineLevel="0" collapsed="false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</row>
    <row r="68" customFormat="false" ht="15.75" hidden="false" customHeight="true" outlineLevel="0" collapsed="false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</row>
    <row r="69" customFormat="false" ht="15.75" hidden="false" customHeight="true" outlineLevel="0" collapsed="false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</row>
    <row r="70" customFormat="false" ht="15.75" hidden="false" customHeight="true" outlineLevel="0" collapsed="false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</row>
    <row r="71" customFormat="false" ht="15.75" hidden="false" customHeight="true" outlineLevel="0" collapsed="false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</row>
    <row r="72" customFormat="false" ht="15.75" hidden="false" customHeight="true" outlineLevel="0" collapsed="false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</row>
    <row r="73" customFormat="false" ht="15.75" hidden="false" customHeight="true" outlineLevel="0" collapsed="false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</row>
    <row r="74" customFormat="false" ht="15.75" hidden="false" customHeight="true" outlineLevel="0" collapsed="false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</row>
    <row r="75" customFormat="false" ht="15.75" hidden="false" customHeight="true" outlineLevel="0" collapsed="false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</row>
    <row r="76" customFormat="false" ht="15.75" hidden="false" customHeight="true" outlineLevel="0" collapsed="false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</row>
    <row r="77" customFormat="false" ht="15.75" hidden="false" customHeight="true" outlineLevel="0" collapsed="false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</row>
    <row r="78" customFormat="false" ht="15.75" hidden="false" customHeight="true" outlineLevel="0" collapsed="false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</row>
    <row r="79" customFormat="false" ht="15.75" hidden="false" customHeight="true" outlineLevel="0" collapsed="false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</row>
    <row r="80" customFormat="false" ht="15.75" hidden="false" customHeight="true" outlineLevel="0" collapsed="false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</row>
    <row r="81" customFormat="false" ht="15.75" hidden="false" customHeight="true" outlineLevel="0" collapsed="false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</row>
    <row r="82" customFormat="false" ht="15.75" hidden="false" customHeight="true" outlineLevel="0" collapsed="false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</row>
    <row r="83" customFormat="false" ht="15.75" hidden="false" customHeight="true" outlineLevel="0" collapsed="false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</row>
    <row r="84" customFormat="false" ht="15.75" hidden="false" customHeight="true" outlineLevel="0" collapsed="false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</row>
    <row r="85" customFormat="false" ht="15.75" hidden="false" customHeight="true" outlineLevel="0" collapsed="false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</row>
    <row r="86" customFormat="false" ht="15.75" hidden="false" customHeight="true" outlineLevel="0" collapsed="false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</row>
    <row r="87" customFormat="false" ht="15.75" hidden="false" customHeight="true" outlineLevel="0" collapsed="false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</row>
    <row r="88" customFormat="false" ht="15.75" hidden="false" customHeight="true" outlineLevel="0" collapsed="false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</row>
    <row r="89" customFormat="false" ht="15.75" hidden="false" customHeight="true" outlineLevel="0" collapsed="false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</row>
    <row r="90" customFormat="false" ht="15.75" hidden="false" customHeight="true" outlineLevel="0" collapsed="false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</row>
    <row r="91" customFormat="false" ht="15.75" hidden="false" customHeight="true" outlineLevel="0" collapsed="false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</row>
    <row r="92" customFormat="false" ht="15.75" hidden="false" customHeight="true" outlineLevel="0" collapsed="false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</row>
    <row r="93" customFormat="false" ht="15.75" hidden="false" customHeight="true" outlineLevel="0" collapsed="false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</row>
    <row r="94" customFormat="false" ht="15.75" hidden="false" customHeight="true" outlineLevel="0" collapsed="false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</row>
    <row r="95" customFormat="false" ht="15.75" hidden="false" customHeight="true" outlineLevel="0" collapsed="false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</row>
    <row r="96" customFormat="false" ht="15.75" hidden="false" customHeight="true" outlineLevel="0" collapsed="false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</row>
    <row r="97" customFormat="false" ht="15.75" hidden="false" customHeight="true" outlineLevel="0" collapsed="false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</row>
    <row r="98" customFormat="false" ht="15.75" hidden="false" customHeight="true" outlineLevel="0" collapsed="false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</row>
    <row r="99" customFormat="false" ht="15.75" hidden="false" customHeight="true" outlineLevel="0" collapsed="false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</row>
    <row r="100" customFormat="false" ht="15.75" hidden="false" customHeight="true" outlineLevel="0" collapsed="false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</row>
    <row r="101" customFormat="false" ht="15.75" hidden="false" customHeight="true" outlineLevel="0" collapsed="false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</row>
    <row r="102" customFormat="false" ht="15.75" hidden="false" customHeight="true" outlineLevel="0" collapsed="false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</row>
    <row r="103" customFormat="false" ht="15.75" hidden="false" customHeight="true" outlineLevel="0" collapsed="false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</row>
    <row r="104" customFormat="false" ht="15.75" hidden="false" customHeight="true" outlineLevel="0" collapsed="false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</row>
    <row r="105" customFormat="false" ht="15.75" hidden="false" customHeight="true" outlineLevel="0" collapsed="false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</row>
    <row r="106" customFormat="false" ht="15.75" hidden="false" customHeight="true" outlineLevel="0" collapsed="false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</row>
    <row r="107" customFormat="false" ht="15.75" hidden="false" customHeight="true" outlineLevel="0" collapsed="false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</row>
    <row r="108" customFormat="false" ht="15.75" hidden="false" customHeight="true" outlineLevel="0" collapsed="false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</row>
    <row r="109" customFormat="false" ht="15.75" hidden="false" customHeight="true" outlineLevel="0" collapsed="false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</row>
    <row r="110" customFormat="false" ht="15.75" hidden="false" customHeight="true" outlineLevel="0" collapsed="false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</row>
    <row r="111" customFormat="false" ht="15.75" hidden="false" customHeight="true" outlineLevel="0" collapsed="false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</row>
    <row r="112" customFormat="false" ht="15.75" hidden="false" customHeight="true" outlineLevel="0" collapsed="false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</row>
    <row r="113" customFormat="false" ht="15.75" hidden="false" customHeight="true" outlineLevel="0" collapsed="false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</row>
    <row r="114" customFormat="false" ht="15.75" hidden="false" customHeight="true" outlineLevel="0" collapsed="false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</row>
    <row r="115" customFormat="false" ht="15.75" hidden="false" customHeight="true" outlineLevel="0" collapsed="false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</row>
    <row r="116" customFormat="false" ht="15.75" hidden="false" customHeight="true" outlineLevel="0" collapsed="false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</row>
    <row r="117" customFormat="false" ht="15.75" hidden="false" customHeight="true" outlineLevel="0" collapsed="false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</row>
    <row r="118" customFormat="false" ht="15.75" hidden="false" customHeight="true" outlineLevel="0" collapsed="false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</row>
    <row r="119" customFormat="false" ht="15.75" hidden="false" customHeight="true" outlineLevel="0" collapsed="false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</row>
    <row r="120" customFormat="false" ht="15.75" hidden="false" customHeight="true" outlineLevel="0" collapsed="false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</row>
    <row r="121" customFormat="false" ht="15.75" hidden="false" customHeight="true" outlineLevel="0" collapsed="false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</row>
    <row r="122" customFormat="false" ht="15.75" hidden="false" customHeight="true" outlineLevel="0" collapsed="false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</row>
    <row r="123" customFormat="false" ht="15.75" hidden="false" customHeight="true" outlineLevel="0" collapsed="false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</row>
    <row r="124" customFormat="false" ht="15.75" hidden="false" customHeight="true" outlineLevel="0" collapsed="false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</row>
    <row r="125" customFormat="false" ht="15.75" hidden="false" customHeight="true" outlineLevel="0" collapsed="false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</row>
    <row r="126" customFormat="false" ht="15.75" hidden="false" customHeight="true" outlineLevel="0" collapsed="false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</row>
    <row r="127" customFormat="false" ht="15.75" hidden="false" customHeight="true" outlineLevel="0" collapsed="false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</row>
    <row r="128" customFormat="false" ht="15.75" hidden="false" customHeight="true" outlineLevel="0" collapsed="false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</row>
    <row r="129" customFormat="false" ht="15.75" hidden="false" customHeight="true" outlineLevel="0" collapsed="false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</row>
    <row r="130" customFormat="false" ht="15.75" hidden="false" customHeight="true" outlineLevel="0" collapsed="false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</row>
    <row r="131" customFormat="false" ht="15.75" hidden="false" customHeight="true" outlineLevel="0" collapsed="false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</row>
    <row r="132" customFormat="false" ht="15.75" hidden="false" customHeight="true" outlineLevel="0" collapsed="false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</row>
    <row r="133" customFormat="false" ht="15.75" hidden="false" customHeight="true" outlineLevel="0" collapsed="false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</row>
    <row r="134" customFormat="false" ht="15.75" hidden="false" customHeight="true" outlineLevel="0" collapsed="false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</row>
    <row r="135" customFormat="false" ht="15.75" hidden="false" customHeight="true" outlineLevel="0" collapsed="false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</row>
    <row r="136" customFormat="false" ht="15.75" hidden="false" customHeight="true" outlineLevel="0" collapsed="false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</row>
    <row r="137" customFormat="false" ht="15.75" hidden="false" customHeight="true" outlineLevel="0" collapsed="false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</row>
    <row r="138" customFormat="false" ht="15.75" hidden="false" customHeight="true" outlineLevel="0" collapsed="false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</row>
    <row r="139" customFormat="false" ht="15.75" hidden="false" customHeight="true" outlineLevel="0" collapsed="false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</row>
    <row r="140" customFormat="false" ht="15.75" hidden="false" customHeight="true" outlineLevel="0" collapsed="false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</row>
    <row r="141" customFormat="false" ht="15.75" hidden="false" customHeight="true" outlineLevel="0" collapsed="false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</row>
    <row r="142" customFormat="false" ht="15.75" hidden="false" customHeight="true" outlineLevel="0" collapsed="false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</row>
    <row r="143" customFormat="false" ht="15.75" hidden="false" customHeight="true" outlineLevel="0" collapsed="false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</row>
    <row r="144" customFormat="false" ht="15.75" hidden="false" customHeight="true" outlineLevel="0" collapsed="false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</row>
    <row r="145" customFormat="false" ht="15.75" hidden="false" customHeight="true" outlineLevel="0" collapsed="false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</row>
    <row r="146" customFormat="false" ht="15.75" hidden="false" customHeight="true" outlineLevel="0" collapsed="false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</row>
    <row r="147" customFormat="false" ht="15.75" hidden="false" customHeight="true" outlineLevel="0" collapsed="false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</row>
    <row r="148" customFormat="false" ht="15.75" hidden="false" customHeight="true" outlineLevel="0" collapsed="false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</row>
    <row r="149" customFormat="false" ht="15.75" hidden="false" customHeight="true" outlineLevel="0" collapsed="false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</row>
    <row r="150" customFormat="false" ht="15.75" hidden="false" customHeight="true" outlineLevel="0" collapsed="false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</row>
    <row r="151" customFormat="false" ht="15.75" hidden="false" customHeight="true" outlineLevel="0" collapsed="false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</row>
    <row r="152" customFormat="false" ht="15.75" hidden="false" customHeight="true" outlineLevel="0" collapsed="false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</row>
    <row r="153" customFormat="false" ht="15.75" hidden="false" customHeight="true" outlineLevel="0" collapsed="false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</row>
    <row r="154" customFormat="false" ht="15.75" hidden="false" customHeight="true" outlineLevel="0" collapsed="false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</row>
    <row r="155" customFormat="false" ht="15.75" hidden="false" customHeight="true" outlineLevel="0" collapsed="false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</row>
    <row r="156" customFormat="false" ht="15.75" hidden="false" customHeight="true" outlineLevel="0" collapsed="false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</row>
    <row r="157" customFormat="false" ht="15.75" hidden="false" customHeight="true" outlineLevel="0" collapsed="false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</row>
    <row r="158" customFormat="false" ht="15.75" hidden="false" customHeight="true" outlineLevel="0" collapsed="false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</row>
    <row r="159" customFormat="false" ht="15.75" hidden="false" customHeight="true" outlineLevel="0" collapsed="false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</row>
    <row r="160" customFormat="false" ht="15.75" hidden="false" customHeight="true" outlineLevel="0" collapsed="false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</row>
    <row r="161" customFormat="false" ht="15.75" hidden="false" customHeight="true" outlineLevel="0" collapsed="false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</row>
    <row r="162" customFormat="false" ht="15.75" hidden="false" customHeight="true" outlineLevel="0" collapsed="false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</row>
    <row r="163" customFormat="false" ht="15.75" hidden="false" customHeight="true" outlineLevel="0" collapsed="false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</row>
    <row r="164" customFormat="false" ht="15.75" hidden="false" customHeight="true" outlineLevel="0" collapsed="false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</row>
    <row r="165" customFormat="false" ht="15.75" hidden="false" customHeight="true" outlineLevel="0" collapsed="false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</row>
    <row r="166" customFormat="false" ht="15.75" hidden="false" customHeight="true" outlineLevel="0" collapsed="false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</row>
    <row r="167" customFormat="false" ht="15.75" hidden="false" customHeight="true" outlineLevel="0" collapsed="false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</row>
    <row r="168" customFormat="false" ht="15.75" hidden="false" customHeight="true" outlineLevel="0" collapsed="false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</row>
    <row r="169" customFormat="false" ht="15.75" hidden="false" customHeight="true" outlineLevel="0" collapsed="false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</row>
    <row r="170" customFormat="false" ht="15.75" hidden="false" customHeight="true" outlineLevel="0" collapsed="false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</row>
    <row r="171" customFormat="false" ht="15.75" hidden="false" customHeight="true" outlineLevel="0" collapsed="false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</row>
    <row r="172" customFormat="false" ht="15.75" hidden="false" customHeight="true" outlineLevel="0" collapsed="false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</row>
    <row r="173" customFormat="false" ht="15.75" hidden="false" customHeight="true" outlineLevel="0" collapsed="false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</row>
    <row r="174" customFormat="false" ht="15.75" hidden="false" customHeight="true" outlineLevel="0" collapsed="false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</row>
    <row r="175" customFormat="false" ht="15.75" hidden="false" customHeight="true" outlineLevel="0" collapsed="false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</row>
    <row r="176" customFormat="false" ht="15.75" hidden="false" customHeight="true" outlineLevel="0" collapsed="false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</row>
    <row r="177" customFormat="false" ht="15.75" hidden="false" customHeight="true" outlineLevel="0" collapsed="false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</row>
    <row r="178" customFormat="false" ht="15.75" hidden="false" customHeight="true" outlineLevel="0" collapsed="false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</row>
    <row r="179" customFormat="false" ht="15.75" hidden="false" customHeight="true" outlineLevel="0" collapsed="false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</row>
    <row r="180" customFormat="false" ht="15.75" hidden="false" customHeight="true" outlineLevel="0" collapsed="false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</row>
    <row r="181" customFormat="false" ht="15.75" hidden="false" customHeight="true" outlineLevel="0" collapsed="false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</row>
    <row r="182" customFormat="false" ht="15.75" hidden="false" customHeight="true" outlineLevel="0" collapsed="false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</row>
    <row r="183" customFormat="false" ht="15.75" hidden="false" customHeight="true" outlineLevel="0" collapsed="false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</row>
    <row r="184" customFormat="false" ht="15.75" hidden="false" customHeight="true" outlineLevel="0" collapsed="false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</row>
    <row r="185" customFormat="false" ht="15.75" hidden="false" customHeight="true" outlineLevel="0" collapsed="false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</row>
    <row r="186" customFormat="false" ht="15.75" hidden="false" customHeight="true" outlineLevel="0" collapsed="false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</row>
    <row r="187" customFormat="false" ht="15.75" hidden="false" customHeight="true" outlineLevel="0" collapsed="false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</row>
    <row r="188" customFormat="false" ht="15.75" hidden="false" customHeight="true" outlineLevel="0" collapsed="false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</row>
    <row r="189" customFormat="false" ht="15.75" hidden="false" customHeight="true" outlineLevel="0" collapsed="false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</row>
    <row r="190" customFormat="false" ht="15.75" hidden="false" customHeight="true" outlineLevel="0" collapsed="false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</row>
    <row r="191" customFormat="false" ht="15.75" hidden="false" customHeight="true" outlineLevel="0" collapsed="false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</row>
    <row r="192" customFormat="false" ht="15.75" hidden="false" customHeight="true" outlineLevel="0" collapsed="false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</row>
    <row r="193" customFormat="false" ht="15.75" hidden="false" customHeight="true" outlineLevel="0" collapsed="false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</row>
    <row r="194" customFormat="false" ht="15.75" hidden="false" customHeight="true" outlineLevel="0" collapsed="false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</row>
    <row r="195" customFormat="false" ht="15.75" hidden="false" customHeight="true" outlineLevel="0" collapsed="false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</row>
    <row r="196" customFormat="false" ht="15.75" hidden="false" customHeight="true" outlineLevel="0" collapsed="false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</row>
    <row r="197" customFormat="false" ht="15.75" hidden="false" customHeight="true" outlineLevel="0" collapsed="false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</row>
    <row r="198" customFormat="false" ht="15.75" hidden="false" customHeight="true" outlineLevel="0" collapsed="false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</row>
    <row r="199" customFormat="false" ht="15.75" hidden="false" customHeight="true" outlineLevel="0" collapsed="false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</row>
    <row r="200" customFormat="false" ht="15.75" hidden="false" customHeight="true" outlineLevel="0" collapsed="false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</row>
    <row r="201" customFormat="false" ht="15.75" hidden="false" customHeight="true" outlineLevel="0" collapsed="false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</row>
    <row r="202" customFormat="false" ht="15.75" hidden="false" customHeight="true" outlineLevel="0" collapsed="false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</row>
    <row r="203" customFormat="false" ht="15.75" hidden="false" customHeight="true" outlineLevel="0" collapsed="false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</row>
    <row r="204" customFormat="false" ht="15.75" hidden="false" customHeight="true" outlineLevel="0" collapsed="false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</row>
    <row r="205" customFormat="false" ht="15.75" hidden="false" customHeight="true" outlineLevel="0" collapsed="false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</row>
    <row r="206" customFormat="false" ht="15.75" hidden="false" customHeight="true" outlineLevel="0" collapsed="false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</row>
    <row r="207" customFormat="false" ht="15.75" hidden="false" customHeight="true" outlineLevel="0" collapsed="false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</row>
    <row r="208" customFormat="false" ht="15.75" hidden="false" customHeight="true" outlineLevel="0" collapsed="false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</row>
    <row r="209" customFormat="false" ht="15.75" hidden="false" customHeight="true" outlineLevel="0" collapsed="false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</row>
    <row r="210" customFormat="false" ht="15.75" hidden="false" customHeight="true" outlineLevel="0" collapsed="false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</row>
    <row r="211" customFormat="false" ht="15.75" hidden="false" customHeight="true" outlineLevel="0" collapsed="false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</row>
    <row r="212" customFormat="false" ht="15.75" hidden="false" customHeight="true" outlineLevel="0" collapsed="false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</row>
    <row r="213" customFormat="false" ht="15.75" hidden="false" customHeight="true" outlineLevel="0" collapsed="false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</row>
    <row r="214" customFormat="false" ht="15.75" hidden="false" customHeight="true" outlineLevel="0" collapsed="false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</row>
    <row r="215" customFormat="false" ht="15.75" hidden="false" customHeight="true" outlineLevel="0" collapsed="false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</row>
    <row r="216" customFormat="false" ht="15.75" hidden="false" customHeight="true" outlineLevel="0" collapsed="false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</row>
    <row r="217" customFormat="false" ht="15.75" hidden="false" customHeight="true" outlineLevel="0" collapsed="false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</row>
    <row r="218" customFormat="false" ht="15.75" hidden="false" customHeight="true" outlineLevel="0" collapsed="false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</row>
    <row r="219" customFormat="false" ht="15.75" hidden="false" customHeight="true" outlineLevel="0" collapsed="false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</row>
    <row r="220" customFormat="false" ht="15.75" hidden="false" customHeight="true" outlineLevel="0" collapsed="false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</row>
    <row r="221" customFormat="false" ht="15.75" hidden="false" customHeight="true" outlineLevel="0" collapsed="false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</row>
    <row r="222" customFormat="false" ht="15.75" hidden="false" customHeight="true" outlineLevel="0" collapsed="false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</row>
    <row r="223" customFormat="false" ht="15.75" hidden="false" customHeight="true" outlineLevel="0" collapsed="false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</row>
    <row r="224" customFormat="false" ht="15.75" hidden="false" customHeight="true" outlineLevel="0" collapsed="false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</row>
    <row r="225" customFormat="false" ht="15.75" hidden="false" customHeight="true" outlineLevel="0" collapsed="false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</row>
    <row r="226" customFormat="false" ht="15.75" hidden="false" customHeight="true" outlineLevel="0" collapsed="false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</row>
    <row r="227" customFormat="false" ht="15.75" hidden="false" customHeight="true" outlineLevel="0" collapsed="false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</row>
    <row r="228" customFormat="false" ht="15.75" hidden="false" customHeight="true" outlineLevel="0" collapsed="false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</row>
    <row r="229" customFormat="false" ht="15.75" hidden="false" customHeight="true" outlineLevel="0" collapsed="false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</row>
    <row r="230" customFormat="false" ht="15.75" hidden="false" customHeight="true" outlineLevel="0" collapsed="false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</row>
    <row r="231" customFormat="false" ht="15.75" hidden="false" customHeight="true" outlineLevel="0" collapsed="false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</row>
    <row r="232" customFormat="false" ht="15.75" hidden="false" customHeight="true" outlineLevel="0" collapsed="false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</row>
    <row r="233" customFormat="false" ht="15.75" hidden="false" customHeight="true" outlineLevel="0" collapsed="false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</row>
    <row r="234" customFormat="false" ht="15.75" hidden="false" customHeight="true" outlineLevel="0" collapsed="false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</row>
    <row r="235" customFormat="false" ht="15.75" hidden="false" customHeight="true" outlineLevel="0" collapsed="false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</row>
    <row r="236" customFormat="false" ht="15.75" hidden="false" customHeight="true" outlineLevel="0" collapsed="false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</row>
    <row r="237" customFormat="false" ht="15.75" hidden="false" customHeight="true" outlineLevel="0" collapsed="false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</row>
    <row r="238" customFormat="false" ht="15.75" hidden="false" customHeight="true" outlineLevel="0" collapsed="false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</row>
    <row r="239" customFormat="false" ht="15.75" hidden="false" customHeight="true" outlineLevel="0" collapsed="false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</row>
    <row r="240" customFormat="false" ht="15.75" hidden="false" customHeight="true" outlineLevel="0" collapsed="false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</row>
    <row r="241" customFormat="false" ht="15.75" hidden="false" customHeight="true" outlineLevel="0" collapsed="false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</row>
    <row r="242" customFormat="false" ht="15.75" hidden="false" customHeight="true" outlineLevel="0" collapsed="false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</row>
    <row r="243" customFormat="false" ht="15.75" hidden="false" customHeight="true" outlineLevel="0" collapsed="false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</row>
    <row r="244" customFormat="false" ht="15.75" hidden="false" customHeight="true" outlineLevel="0" collapsed="false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</row>
    <row r="245" customFormat="false" ht="15.75" hidden="false" customHeight="true" outlineLevel="0" collapsed="false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</row>
    <row r="246" customFormat="false" ht="15.75" hidden="false" customHeight="true" outlineLevel="0" collapsed="false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</row>
    <row r="247" customFormat="false" ht="15.75" hidden="false" customHeight="true" outlineLevel="0" collapsed="false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</row>
    <row r="248" customFormat="false" ht="15.75" hidden="false" customHeight="true" outlineLevel="0" collapsed="false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</row>
    <row r="249" customFormat="false" ht="15.75" hidden="false" customHeight="true" outlineLevel="0" collapsed="false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</row>
    <row r="250" customFormat="false" ht="15.75" hidden="false" customHeight="true" outlineLevel="0" collapsed="false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</row>
    <row r="251" customFormat="false" ht="15.75" hidden="false" customHeight="true" outlineLevel="0" collapsed="false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</row>
    <row r="252" customFormat="false" ht="15.75" hidden="false" customHeight="true" outlineLevel="0" collapsed="false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</row>
    <row r="253" customFormat="false" ht="15.75" hidden="false" customHeight="true" outlineLevel="0" collapsed="false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</row>
    <row r="254" customFormat="false" ht="15.75" hidden="false" customHeight="true" outlineLevel="0" collapsed="false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</row>
    <row r="255" customFormat="false" ht="15.75" hidden="false" customHeight="true" outlineLevel="0" collapsed="false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</row>
    <row r="256" customFormat="false" ht="15.75" hidden="false" customHeight="true" outlineLevel="0" collapsed="false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</row>
    <row r="257" customFormat="false" ht="15.75" hidden="false" customHeight="true" outlineLevel="0" collapsed="false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</row>
    <row r="258" customFormat="false" ht="15.75" hidden="false" customHeight="true" outlineLevel="0" collapsed="false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</row>
    <row r="259" customFormat="false" ht="15.75" hidden="false" customHeight="true" outlineLevel="0" collapsed="false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</row>
    <row r="260" customFormat="false" ht="15.75" hidden="false" customHeight="true" outlineLevel="0" collapsed="false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</row>
    <row r="261" customFormat="false" ht="15.75" hidden="false" customHeight="true" outlineLevel="0" collapsed="false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</row>
    <row r="262" customFormat="false" ht="15.75" hidden="false" customHeight="true" outlineLevel="0" collapsed="false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</row>
    <row r="263" customFormat="false" ht="15.75" hidden="false" customHeight="true" outlineLevel="0" collapsed="false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</row>
    <row r="264" customFormat="false" ht="15.75" hidden="false" customHeight="true" outlineLevel="0" collapsed="false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</row>
    <row r="265" customFormat="false" ht="15.75" hidden="false" customHeight="true" outlineLevel="0" collapsed="false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</row>
    <row r="266" customFormat="false" ht="15.75" hidden="false" customHeight="true" outlineLevel="0" collapsed="false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</row>
    <row r="267" customFormat="false" ht="15.75" hidden="false" customHeight="true" outlineLevel="0" collapsed="false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</row>
    <row r="268" customFormat="false" ht="15.75" hidden="false" customHeight="true" outlineLevel="0" collapsed="false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</row>
    <row r="269" customFormat="false" ht="15.75" hidden="false" customHeight="true" outlineLevel="0" collapsed="false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</row>
    <row r="270" customFormat="false" ht="15.75" hidden="false" customHeight="true" outlineLevel="0" collapsed="false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</row>
    <row r="271" customFormat="false" ht="15.75" hidden="false" customHeight="true" outlineLevel="0" collapsed="false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</row>
    <row r="272" customFormat="false" ht="15.75" hidden="false" customHeight="true" outlineLevel="0" collapsed="false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</row>
    <row r="273" customFormat="false" ht="15.75" hidden="false" customHeight="true" outlineLevel="0" collapsed="false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</row>
    <row r="274" customFormat="false" ht="15.75" hidden="false" customHeight="true" outlineLevel="0" collapsed="false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</row>
    <row r="275" customFormat="false" ht="15.75" hidden="false" customHeight="true" outlineLevel="0" collapsed="false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</row>
    <row r="276" customFormat="false" ht="15.75" hidden="false" customHeight="true" outlineLevel="0" collapsed="false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</row>
    <row r="277" customFormat="false" ht="15.75" hidden="false" customHeight="true" outlineLevel="0" collapsed="false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</row>
    <row r="278" customFormat="false" ht="15.75" hidden="false" customHeight="true" outlineLevel="0" collapsed="false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</row>
    <row r="279" customFormat="false" ht="15.75" hidden="false" customHeight="true" outlineLevel="0" collapsed="false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</row>
    <row r="280" customFormat="false" ht="15.75" hidden="false" customHeight="true" outlineLevel="0" collapsed="false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</row>
    <row r="281" customFormat="false" ht="15.75" hidden="false" customHeight="true" outlineLevel="0" collapsed="false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</row>
    <row r="282" customFormat="false" ht="15.75" hidden="false" customHeight="true" outlineLevel="0" collapsed="false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</row>
    <row r="283" customFormat="false" ht="15.75" hidden="false" customHeight="true" outlineLevel="0" collapsed="false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</row>
    <row r="284" customFormat="false" ht="15.75" hidden="false" customHeight="true" outlineLevel="0" collapsed="false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</row>
    <row r="285" customFormat="false" ht="15.75" hidden="false" customHeight="true" outlineLevel="0" collapsed="false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</row>
    <row r="286" customFormat="false" ht="15.75" hidden="false" customHeight="true" outlineLevel="0" collapsed="false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</row>
    <row r="287" customFormat="false" ht="15.75" hidden="false" customHeight="true" outlineLevel="0" collapsed="false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</row>
    <row r="288" customFormat="false" ht="15.75" hidden="false" customHeight="true" outlineLevel="0" collapsed="false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</row>
    <row r="289" customFormat="false" ht="15.75" hidden="false" customHeight="true" outlineLevel="0" collapsed="false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</row>
    <row r="290" customFormat="false" ht="15.75" hidden="false" customHeight="true" outlineLevel="0" collapsed="false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</row>
    <row r="291" customFormat="false" ht="15.75" hidden="false" customHeight="true" outlineLevel="0" collapsed="false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</row>
    <row r="292" customFormat="false" ht="15.75" hidden="false" customHeight="true" outlineLevel="0" collapsed="false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</row>
    <row r="293" customFormat="false" ht="15.75" hidden="false" customHeight="true" outlineLevel="0" collapsed="false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</row>
    <row r="294" customFormat="false" ht="15.75" hidden="false" customHeight="true" outlineLevel="0" collapsed="false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</row>
    <row r="295" customFormat="false" ht="15.75" hidden="false" customHeight="true" outlineLevel="0" collapsed="false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</row>
    <row r="296" customFormat="false" ht="15.75" hidden="false" customHeight="true" outlineLevel="0" collapsed="false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</row>
    <row r="297" customFormat="false" ht="15.75" hidden="false" customHeight="true" outlineLevel="0" collapsed="false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</row>
    <row r="298" customFormat="false" ht="15.75" hidden="false" customHeight="true" outlineLevel="0" collapsed="false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</row>
    <row r="299" customFormat="false" ht="15.75" hidden="false" customHeight="true" outlineLevel="0" collapsed="false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</row>
    <row r="300" customFormat="false" ht="15.75" hidden="false" customHeight="true" outlineLevel="0" collapsed="false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</row>
    <row r="301" customFormat="false" ht="15.75" hidden="false" customHeight="true" outlineLevel="0" collapsed="false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</row>
    <row r="302" customFormat="false" ht="15.75" hidden="false" customHeight="true" outlineLevel="0" collapsed="false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</row>
    <row r="303" customFormat="false" ht="15.75" hidden="false" customHeight="true" outlineLevel="0" collapsed="false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</row>
    <row r="304" customFormat="false" ht="15.75" hidden="false" customHeight="true" outlineLevel="0" collapsed="false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</row>
    <row r="305" customFormat="false" ht="15.75" hidden="false" customHeight="true" outlineLevel="0" collapsed="false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</row>
    <row r="306" customFormat="false" ht="15.75" hidden="false" customHeight="true" outlineLevel="0" collapsed="false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</row>
    <row r="307" customFormat="false" ht="15.75" hidden="false" customHeight="true" outlineLevel="0" collapsed="false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</row>
    <row r="308" customFormat="false" ht="15.75" hidden="false" customHeight="true" outlineLevel="0" collapsed="false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</row>
    <row r="309" customFormat="false" ht="15.75" hidden="false" customHeight="true" outlineLevel="0" collapsed="false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</row>
    <row r="310" customFormat="false" ht="15.75" hidden="false" customHeight="true" outlineLevel="0" collapsed="false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</row>
    <row r="311" customFormat="false" ht="15.75" hidden="false" customHeight="true" outlineLevel="0" collapsed="false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</row>
    <row r="312" customFormat="false" ht="15.75" hidden="false" customHeight="true" outlineLevel="0" collapsed="false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</row>
    <row r="313" customFormat="false" ht="15.75" hidden="false" customHeight="true" outlineLevel="0" collapsed="false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</row>
    <row r="314" customFormat="false" ht="15.75" hidden="false" customHeight="true" outlineLevel="0" collapsed="false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</row>
    <row r="315" customFormat="false" ht="15.75" hidden="false" customHeight="true" outlineLevel="0" collapsed="false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</row>
    <row r="316" customFormat="false" ht="15.75" hidden="false" customHeight="true" outlineLevel="0" collapsed="false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</row>
    <row r="317" customFormat="false" ht="15.75" hidden="false" customHeight="true" outlineLevel="0" collapsed="false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</row>
    <row r="318" customFormat="false" ht="15.75" hidden="false" customHeight="true" outlineLevel="0" collapsed="false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</row>
    <row r="319" customFormat="false" ht="15.75" hidden="false" customHeight="true" outlineLevel="0" collapsed="false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</row>
    <row r="320" customFormat="false" ht="15.75" hidden="false" customHeight="true" outlineLevel="0" collapsed="false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</row>
    <row r="321" customFormat="false" ht="15.75" hidden="false" customHeight="true" outlineLevel="0" collapsed="false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</row>
    <row r="322" customFormat="false" ht="15.75" hidden="false" customHeight="true" outlineLevel="0" collapsed="false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</row>
    <row r="323" customFormat="false" ht="15.75" hidden="false" customHeight="true" outlineLevel="0" collapsed="false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</row>
    <row r="324" customFormat="false" ht="15.75" hidden="false" customHeight="true" outlineLevel="0" collapsed="false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</row>
    <row r="325" customFormat="false" ht="15.75" hidden="false" customHeight="true" outlineLevel="0" collapsed="false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</row>
    <row r="326" customFormat="false" ht="15.75" hidden="false" customHeight="true" outlineLevel="0" collapsed="false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</row>
    <row r="327" customFormat="false" ht="15.75" hidden="false" customHeight="true" outlineLevel="0" collapsed="false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</row>
    <row r="328" customFormat="false" ht="15.75" hidden="false" customHeight="true" outlineLevel="0" collapsed="false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</row>
    <row r="329" customFormat="false" ht="15.75" hidden="false" customHeight="true" outlineLevel="0" collapsed="false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</row>
    <row r="330" customFormat="false" ht="15.75" hidden="false" customHeight="true" outlineLevel="0" collapsed="false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</row>
    <row r="331" customFormat="false" ht="15.75" hidden="false" customHeight="true" outlineLevel="0" collapsed="false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</row>
    <row r="332" customFormat="false" ht="15.75" hidden="false" customHeight="true" outlineLevel="0" collapsed="false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</row>
    <row r="333" customFormat="false" ht="15.75" hidden="false" customHeight="true" outlineLevel="0" collapsed="false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</row>
    <row r="334" customFormat="false" ht="15.75" hidden="false" customHeight="true" outlineLevel="0" collapsed="false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</row>
    <row r="335" customFormat="false" ht="15.75" hidden="false" customHeight="true" outlineLevel="0" collapsed="false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</row>
    <row r="336" customFormat="false" ht="15.75" hidden="false" customHeight="true" outlineLevel="0" collapsed="false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</row>
    <row r="337" customFormat="false" ht="15.75" hidden="false" customHeight="true" outlineLevel="0" collapsed="false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</row>
    <row r="338" customFormat="false" ht="15.75" hidden="false" customHeight="true" outlineLevel="0" collapsed="false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</row>
    <row r="339" customFormat="false" ht="15.75" hidden="false" customHeight="true" outlineLevel="0" collapsed="false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</row>
    <row r="340" customFormat="false" ht="15.75" hidden="false" customHeight="true" outlineLevel="0" collapsed="false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</row>
    <row r="341" customFormat="false" ht="15.75" hidden="false" customHeight="true" outlineLevel="0" collapsed="false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</row>
    <row r="342" customFormat="false" ht="15.75" hidden="false" customHeight="true" outlineLevel="0" collapsed="false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</row>
    <row r="343" customFormat="false" ht="15.75" hidden="false" customHeight="true" outlineLevel="0" collapsed="false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</row>
    <row r="344" customFormat="false" ht="15.75" hidden="false" customHeight="true" outlineLevel="0" collapsed="false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</row>
    <row r="345" customFormat="false" ht="15.75" hidden="false" customHeight="true" outlineLevel="0" collapsed="false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</row>
    <row r="346" customFormat="false" ht="15.75" hidden="false" customHeight="true" outlineLevel="0" collapsed="false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</row>
    <row r="347" customFormat="false" ht="15.75" hidden="false" customHeight="true" outlineLevel="0" collapsed="false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</row>
    <row r="348" customFormat="false" ht="15.75" hidden="false" customHeight="true" outlineLevel="0" collapsed="false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</row>
    <row r="349" customFormat="false" ht="15.75" hidden="false" customHeight="true" outlineLevel="0" collapsed="false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</row>
    <row r="350" customFormat="false" ht="15.75" hidden="false" customHeight="true" outlineLevel="0" collapsed="false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</row>
    <row r="351" customFormat="false" ht="15.75" hidden="false" customHeight="true" outlineLevel="0" collapsed="false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</row>
    <row r="352" customFormat="false" ht="15.75" hidden="false" customHeight="true" outlineLevel="0" collapsed="false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</row>
    <row r="353" customFormat="false" ht="15.75" hidden="false" customHeight="true" outlineLevel="0" collapsed="false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</row>
    <row r="354" customFormat="false" ht="15.75" hidden="false" customHeight="true" outlineLevel="0" collapsed="false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</row>
    <row r="355" customFormat="false" ht="15.75" hidden="false" customHeight="true" outlineLevel="0" collapsed="false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</row>
    <row r="356" customFormat="false" ht="15.75" hidden="false" customHeight="true" outlineLevel="0" collapsed="false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</row>
    <row r="357" customFormat="false" ht="15.75" hidden="false" customHeight="true" outlineLevel="0" collapsed="false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</row>
    <row r="358" customFormat="false" ht="15.75" hidden="false" customHeight="true" outlineLevel="0" collapsed="false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</row>
    <row r="359" customFormat="false" ht="15.75" hidden="false" customHeight="true" outlineLevel="0" collapsed="false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</row>
    <row r="360" customFormat="false" ht="15.75" hidden="false" customHeight="true" outlineLevel="0" collapsed="false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</row>
    <row r="361" customFormat="false" ht="15.75" hidden="false" customHeight="true" outlineLevel="0" collapsed="false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</row>
    <row r="362" customFormat="false" ht="15.75" hidden="false" customHeight="true" outlineLevel="0" collapsed="false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</row>
    <row r="363" customFormat="false" ht="15.75" hidden="false" customHeight="true" outlineLevel="0" collapsed="false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</row>
    <row r="364" customFormat="false" ht="15.75" hidden="false" customHeight="true" outlineLevel="0" collapsed="false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</row>
    <row r="365" customFormat="false" ht="15.75" hidden="false" customHeight="true" outlineLevel="0" collapsed="false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</row>
    <row r="366" customFormat="false" ht="15.75" hidden="false" customHeight="true" outlineLevel="0" collapsed="false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</row>
    <row r="367" customFormat="false" ht="15.75" hidden="false" customHeight="true" outlineLevel="0" collapsed="false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</row>
    <row r="368" customFormat="false" ht="15.75" hidden="false" customHeight="true" outlineLevel="0" collapsed="false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</row>
    <row r="369" customFormat="false" ht="15.75" hidden="false" customHeight="true" outlineLevel="0" collapsed="false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</row>
    <row r="370" customFormat="false" ht="15.75" hidden="false" customHeight="true" outlineLevel="0" collapsed="false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</row>
    <row r="371" customFormat="false" ht="15.75" hidden="false" customHeight="true" outlineLevel="0" collapsed="false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</row>
    <row r="372" customFormat="false" ht="15.75" hidden="false" customHeight="true" outlineLevel="0" collapsed="false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</row>
    <row r="373" customFormat="false" ht="15.75" hidden="false" customHeight="true" outlineLevel="0" collapsed="false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</row>
    <row r="374" customFormat="false" ht="15.75" hidden="false" customHeight="true" outlineLevel="0" collapsed="false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</row>
    <row r="375" customFormat="false" ht="15.75" hidden="false" customHeight="true" outlineLevel="0" collapsed="false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</row>
    <row r="376" customFormat="false" ht="15.75" hidden="false" customHeight="true" outlineLevel="0" collapsed="false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</row>
    <row r="377" customFormat="false" ht="15.75" hidden="false" customHeight="true" outlineLevel="0" collapsed="false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</row>
    <row r="378" customFormat="false" ht="15.75" hidden="false" customHeight="true" outlineLevel="0" collapsed="false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</row>
    <row r="379" customFormat="false" ht="15.75" hidden="false" customHeight="true" outlineLevel="0" collapsed="false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</row>
    <row r="380" customFormat="false" ht="15.75" hidden="false" customHeight="true" outlineLevel="0" collapsed="false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</row>
    <row r="381" customFormat="false" ht="15.75" hidden="false" customHeight="true" outlineLevel="0" collapsed="false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</row>
    <row r="382" customFormat="false" ht="15.75" hidden="false" customHeight="true" outlineLevel="0" collapsed="false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</row>
    <row r="383" customFormat="false" ht="15.75" hidden="false" customHeight="true" outlineLevel="0" collapsed="false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</row>
    <row r="384" customFormat="false" ht="15.75" hidden="false" customHeight="true" outlineLevel="0" collapsed="false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</row>
    <row r="385" customFormat="false" ht="15.75" hidden="false" customHeight="true" outlineLevel="0" collapsed="false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</row>
    <row r="386" customFormat="false" ht="15.75" hidden="false" customHeight="true" outlineLevel="0" collapsed="false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</row>
    <row r="387" customFormat="false" ht="15.75" hidden="false" customHeight="true" outlineLevel="0" collapsed="false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</row>
    <row r="388" customFormat="false" ht="15.75" hidden="false" customHeight="true" outlineLevel="0" collapsed="false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</row>
    <row r="389" customFormat="false" ht="15.75" hidden="false" customHeight="true" outlineLevel="0" collapsed="false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</row>
    <row r="390" customFormat="false" ht="15.75" hidden="false" customHeight="true" outlineLevel="0" collapsed="false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</row>
    <row r="391" customFormat="false" ht="15.75" hidden="false" customHeight="true" outlineLevel="0" collapsed="false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</row>
    <row r="392" customFormat="false" ht="15.75" hidden="false" customHeight="true" outlineLevel="0" collapsed="false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</row>
    <row r="393" customFormat="false" ht="15.75" hidden="false" customHeight="true" outlineLevel="0" collapsed="false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</row>
    <row r="394" customFormat="false" ht="15.75" hidden="false" customHeight="true" outlineLevel="0" collapsed="false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</row>
    <row r="395" customFormat="false" ht="15.75" hidden="false" customHeight="true" outlineLevel="0" collapsed="false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</row>
    <row r="396" customFormat="false" ht="15.75" hidden="false" customHeight="true" outlineLevel="0" collapsed="false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</row>
    <row r="397" customFormat="false" ht="15.75" hidden="false" customHeight="true" outlineLevel="0" collapsed="false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</row>
    <row r="398" customFormat="false" ht="15.75" hidden="false" customHeight="true" outlineLevel="0" collapsed="false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</row>
    <row r="399" customFormat="false" ht="15.75" hidden="false" customHeight="true" outlineLevel="0" collapsed="false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</row>
    <row r="400" customFormat="false" ht="15.75" hidden="false" customHeight="true" outlineLevel="0" collapsed="false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</row>
    <row r="401" customFormat="false" ht="15.75" hidden="false" customHeight="true" outlineLevel="0" collapsed="false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</row>
    <row r="402" customFormat="false" ht="15.75" hidden="false" customHeight="true" outlineLevel="0" collapsed="false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</row>
    <row r="403" customFormat="false" ht="15.75" hidden="false" customHeight="true" outlineLevel="0" collapsed="false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</row>
    <row r="404" customFormat="false" ht="15.75" hidden="false" customHeight="true" outlineLevel="0" collapsed="false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</row>
    <row r="405" customFormat="false" ht="15.75" hidden="false" customHeight="true" outlineLevel="0" collapsed="false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</row>
    <row r="406" customFormat="false" ht="15.75" hidden="false" customHeight="true" outlineLevel="0" collapsed="false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</row>
    <row r="407" customFormat="false" ht="15.75" hidden="false" customHeight="true" outlineLevel="0" collapsed="false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</row>
    <row r="408" customFormat="false" ht="15.75" hidden="false" customHeight="true" outlineLevel="0" collapsed="false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</row>
    <row r="409" customFormat="false" ht="15.75" hidden="false" customHeight="true" outlineLevel="0" collapsed="false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</row>
    <row r="410" customFormat="false" ht="15.75" hidden="false" customHeight="true" outlineLevel="0" collapsed="false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</row>
    <row r="411" customFormat="false" ht="15.75" hidden="false" customHeight="true" outlineLevel="0" collapsed="false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</row>
    <row r="412" customFormat="false" ht="15.75" hidden="false" customHeight="true" outlineLevel="0" collapsed="false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</row>
    <row r="413" customFormat="false" ht="15.75" hidden="false" customHeight="true" outlineLevel="0" collapsed="false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</row>
    <row r="414" customFormat="false" ht="15.75" hidden="false" customHeight="true" outlineLevel="0" collapsed="false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</row>
    <row r="415" customFormat="false" ht="15.75" hidden="false" customHeight="true" outlineLevel="0" collapsed="false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</row>
    <row r="416" customFormat="false" ht="15.75" hidden="false" customHeight="true" outlineLevel="0" collapsed="false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</row>
    <row r="417" customFormat="false" ht="15.75" hidden="false" customHeight="true" outlineLevel="0" collapsed="false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</row>
    <row r="418" customFormat="false" ht="15.75" hidden="false" customHeight="true" outlineLevel="0" collapsed="false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</row>
    <row r="419" customFormat="false" ht="15.75" hidden="false" customHeight="true" outlineLevel="0" collapsed="false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</row>
    <row r="420" customFormat="false" ht="15.75" hidden="false" customHeight="true" outlineLevel="0" collapsed="false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</row>
    <row r="421" customFormat="false" ht="15.75" hidden="false" customHeight="true" outlineLevel="0" collapsed="false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</row>
    <row r="422" customFormat="false" ht="15.75" hidden="false" customHeight="true" outlineLevel="0" collapsed="false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</row>
    <row r="423" customFormat="false" ht="15.75" hidden="false" customHeight="true" outlineLevel="0" collapsed="false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</row>
    <row r="424" customFormat="false" ht="15.75" hidden="false" customHeight="true" outlineLevel="0" collapsed="false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</row>
    <row r="425" customFormat="false" ht="15.75" hidden="false" customHeight="true" outlineLevel="0" collapsed="false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</row>
    <row r="426" customFormat="false" ht="15.75" hidden="false" customHeight="true" outlineLevel="0" collapsed="false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</row>
    <row r="427" customFormat="false" ht="15.75" hidden="false" customHeight="true" outlineLevel="0" collapsed="false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</row>
    <row r="428" customFormat="false" ht="15.75" hidden="false" customHeight="true" outlineLevel="0" collapsed="false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</row>
    <row r="429" customFormat="false" ht="15.75" hidden="false" customHeight="true" outlineLevel="0" collapsed="false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</row>
    <row r="430" customFormat="false" ht="15.75" hidden="false" customHeight="true" outlineLevel="0" collapsed="false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</row>
    <row r="431" customFormat="false" ht="15.75" hidden="false" customHeight="true" outlineLevel="0" collapsed="false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</row>
    <row r="432" customFormat="false" ht="15.75" hidden="false" customHeight="true" outlineLevel="0" collapsed="false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</row>
    <row r="433" customFormat="false" ht="15.75" hidden="false" customHeight="true" outlineLevel="0" collapsed="false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</row>
    <row r="434" customFormat="false" ht="15.75" hidden="false" customHeight="true" outlineLevel="0" collapsed="false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</row>
    <row r="435" customFormat="false" ht="15.75" hidden="false" customHeight="true" outlineLevel="0" collapsed="false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</row>
    <row r="436" customFormat="false" ht="15.75" hidden="false" customHeight="true" outlineLevel="0" collapsed="false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</row>
    <row r="437" customFormat="false" ht="15.75" hidden="false" customHeight="true" outlineLevel="0" collapsed="false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</row>
    <row r="438" customFormat="false" ht="15.75" hidden="false" customHeight="true" outlineLevel="0" collapsed="false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</row>
    <row r="439" customFormat="false" ht="15.75" hidden="false" customHeight="true" outlineLevel="0" collapsed="false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</row>
    <row r="440" customFormat="false" ht="15.75" hidden="false" customHeight="true" outlineLevel="0" collapsed="false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</row>
    <row r="441" customFormat="false" ht="15.75" hidden="false" customHeight="true" outlineLevel="0" collapsed="false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</row>
    <row r="442" customFormat="false" ht="15.75" hidden="false" customHeight="true" outlineLevel="0" collapsed="false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</row>
    <row r="443" customFormat="false" ht="15.75" hidden="false" customHeight="true" outlineLevel="0" collapsed="false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</row>
    <row r="444" customFormat="false" ht="15.75" hidden="false" customHeight="true" outlineLevel="0" collapsed="false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</row>
    <row r="445" customFormat="false" ht="15.75" hidden="false" customHeight="true" outlineLevel="0" collapsed="false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</row>
    <row r="446" customFormat="false" ht="15.75" hidden="false" customHeight="true" outlineLevel="0" collapsed="false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</row>
    <row r="447" customFormat="false" ht="15.75" hidden="false" customHeight="true" outlineLevel="0" collapsed="false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</row>
    <row r="448" customFormat="false" ht="15.75" hidden="false" customHeight="true" outlineLevel="0" collapsed="false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</row>
    <row r="449" customFormat="false" ht="15.75" hidden="false" customHeight="true" outlineLevel="0" collapsed="false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</row>
    <row r="450" customFormat="false" ht="15.75" hidden="false" customHeight="true" outlineLevel="0" collapsed="false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</row>
    <row r="451" customFormat="false" ht="15.75" hidden="false" customHeight="true" outlineLevel="0" collapsed="false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</row>
    <row r="452" customFormat="false" ht="15.75" hidden="false" customHeight="true" outlineLevel="0" collapsed="false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</row>
    <row r="453" customFormat="false" ht="15.75" hidden="false" customHeight="true" outlineLevel="0" collapsed="false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</row>
    <row r="454" customFormat="false" ht="15.75" hidden="false" customHeight="true" outlineLevel="0" collapsed="false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</row>
    <row r="455" customFormat="false" ht="15.75" hidden="false" customHeight="true" outlineLevel="0" collapsed="false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</row>
    <row r="456" customFormat="false" ht="15.75" hidden="false" customHeight="true" outlineLevel="0" collapsed="false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</row>
    <row r="457" customFormat="false" ht="15.75" hidden="false" customHeight="true" outlineLevel="0" collapsed="false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</row>
    <row r="458" customFormat="false" ht="15.75" hidden="false" customHeight="true" outlineLevel="0" collapsed="false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</row>
    <row r="459" customFormat="false" ht="15.75" hidden="false" customHeight="true" outlineLevel="0" collapsed="false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</row>
    <row r="460" customFormat="false" ht="15.75" hidden="false" customHeight="true" outlineLevel="0" collapsed="false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</row>
    <row r="461" customFormat="false" ht="15.75" hidden="false" customHeight="true" outlineLevel="0" collapsed="false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</row>
    <row r="462" customFormat="false" ht="15.75" hidden="false" customHeight="true" outlineLevel="0" collapsed="false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</row>
    <row r="463" customFormat="false" ht="15.75" hidden="false" customHeight="true" outlineLevel="0" collapsed="false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</row>
    <row r="464" customFormat="false" ht="15.75" hidden="false" customHeight="true" outlineLevel="0" collapsed="false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</row>
    <row r="465" customFormat="false" ht="15.75" hidden="false" customHeight="true" outlineLevel="0" collapsed="false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</row>
    <row r="466" customFormat="false" ht="15.75" hidden="false" customHeight="true" outlineLevel="0" collapsed="false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</row>
    <row r="467" customFormat="false" ht="15.75" hidden="false" customHeight="true" outlineLevel="0" collapsed="false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</row>
    <row r="468" customFormat="false" ht="15.75" hidden="false" customHeight="true" outlineLevel="0" collapsed="false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</row>
    <row r="469" customFormat="false" ht="15.75" hidden="false" customHeight="true" outlineLevel="0" collapsed="false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</row>
    <row r="470" customFormat="false" ht="15.75" hidden="false" customHeight="true" outlineLevel="0" collapsed="false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</row>
    <row r="471" customFormat="false" ht="15.75" hidden="false" customHeight="true" outlineLevel="0" collapsed="false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</row>
    <row r="472" customFormat="false" ht="15.75" hidden="false" customHeight="true" outlineLevel="0" collapsed="false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</row>
    <row r="473" customFormat="false" ht="15.75" hidden="false" customHeight="true" outlineLevel="0" collapsed="false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</row>
    <row r="474" customFormat="false" ht="15.75" hidden="false" customHeight="true" outlineLevel="0" collapsed="false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</row>
    <row r="475" customFormat="false" ht="15.75" hidden="false" customHeight="true" outlineLevel="0" collapsed="false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</row>
    <row r="476" customFormat="false" ht="15.75" hidden="false" customHeight="true" outlineLevel="0" collapsed="false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</row>
    <row r="477" customFormat="false" ht="15.75" hidden="false" customHeight="true" outlineLevel="0" collapsed="false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</row>
    <row r="478" customFormat="false" ht="15.75" hidden="false" customHeight="true" outlineLevel="0" collapsed="false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</row>
    <row r="479" customFormat="false" ht="15.75" hidden="false" customHeight="true" outlineLevel="0" collapsed="false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</row>
    <row r="480" customFormat="false" ht="15.75" hidden="false" customHeight="true" outlineLevel="0" collapsed="false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</row>
    <row r="481" customFormat="false" ht="15.75" hidden="false" customHeight="true" outlineLevel="0" collapsed="false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</row>
    <row r="482" customFormat="false" ht="15.75" hidden="false" customHeight="true" outlineLevel="0" collapsed="false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</row>
    <row r="483" customFormat="false" ht="15.75" hidden="false" customHeight="true" outlineLevel="0" collapsed="false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</row>
    <row r="484" customFormat="false" ht="15.75" hidden="false" customHeight="true" outlineLevel="0" collapsed="false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</row>
    <row r="485" customFormat="false" ht="15.75" hidden="false" customHeight="true" outlineLevel="0" collapsed="false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</row>
    <row r="486" customFormat="false" ht="15.75" hidden="false" customHeight="true" outlineLevel="0" collapsed="false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</row>
    <row r="487" customFormat="false" ht="15.75" hidden="false" customHeight="true" outlineLevel="0" collapsed="false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</row>
    <row r="488" customFormat="false" ht="15.75" hidden="false" customHeight="true" outlineLevel="0" collapsed="false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</row>
    <row r="489" customFormat="false" ht="15.75" hidden="false" customHeight="true" outlineLevel="0" collapsed="false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</row>
    <row r="490" customFormat="false" ht="15.75" hidden="false" customHeight="true" outlineLevel="0" collapsed="false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</row>
    <row r="491" customFormat="false" ht="15.75" hidden="false" customHeight="true" outlineLevel="0" collapsed="false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</row>
    <row r="492" customFormat="false" ht="15.75" hidden="false" customHeight="true" outlineLevel="0" collapsed="false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</row>
    <row r="493" customFormat="false" ht="15.75" hidden="false" customHeight="true" outlineLevel="0" collapsed="false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</row>
    <row r="494" customFormat="false" ht="15.75" hidden="false" customHeight="true" outlineLevel="0" collapsed="false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</row>
    <row r="495" customFormat="false" ht="15.75" hidden="false" customHeight="true" outlineLevel="0" collapsed="false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</row>
    <row r="496" customFormat="false" ht="15.75" hidden="false" customHeight="true" outlineLevel="0" collapsed="false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</row>
    <row r="497" customFormat="false" ht="15.75" hidden="false" customHeight="true" outlineLevel="0" collapsed="false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</row>
    <row r="498" customFormat="false" ht="15.75" hidden="false" customHeight="true" outlineLevel="0" collapsed="false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</row>
    <row r="499" customFormat="false" ht="15.75" hidden="false" customHeight="true" outlineLevel="0" collapsed="false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</row>
    <row r="500" customFormat="false" ht="15.75" hidden="false" customHeight="true" outlineLevel="0" collapsed="false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</row>
    <row r="501" customFormat="false" ht="15.75" hidden="false" customHeight="true" outlineLevel="0" collapsed="false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</row>
    <row r="502" customFormat="false" ht="15.75" hidden="false" customHeight="true" outlineLevel="0" collapsed="false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</row>
    <row r="503" customFormat="false" ht="15.75" hidden="false" customHeight="true" outlineLevel="0" collapsed="false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</row>
    <row r="504" customFormat="false" ht="15.75" hidden="false" customHeight="true" outlineLevel="0" collapsed="false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</row>
    <row r="505" customFormat="false" ht="15.75" hidden="false" customHeight="true" outlineLevel="0" collapsed="false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</row>
    <row r="506" customFormat="false" ht="15.75" hidden="false" customHeight="true" outlineLevel="0" collapsed="false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</row>
    <row r="507" customFormat="false" ht="15.75" hidden="false" customHeight="true" outlineLevel="0" collapsed="false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</row>
    <row r="508" customFormat="false" ht="15.75" hidden="false" customHeight="true" outlineLevel="0" collapsed="false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</row>
    <row r="509" customFormat="false" ht="15.75" hidden="false" customHeight="true" outlineLevel="0" collapsed="false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</row>
    <row r="510" customFormat="false" ht="15.75" hidden="false" customHeight="true" outlineLevel="0" collapsed="false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</row>
    <row r="511" customFormat="false" ht="15.75" hidden="false" customHeight="true" outlineLevel="0" collapsed="false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</row>
    <row r="512" customFormat="false" ht="15.75" hidden="false" customHeight="true" outlineLevel="0" collapsed="false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</row>
    <row r="513" customFormat="false" ht="15.75" hidden="false" customHeight="true" outlineLevel="0" collapsed="false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</row>
    <row r="514" customFormat="false" ht="15.75" hidden="false" customHeight="true" outlineLevel="0" collapsed="false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</row>
    <row r="515" customFormat="false" ht="15.75" hidden="false" customHeight="true" outlineLevel="0" collapsed="false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</row>
    <row r="516" customFormat="false" ht="15.75" hidden="false" customHeight="true" outlineLevel="0" collapsed="false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</row>
    <row r="517" customFormat="false" ht="15.75" hidden="false" customHeight="true" outlineLevel="0" collapsed="false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</row>
    <row r="518" customFormat="false" ht="15.75" hidden="false" customHeight="true" outlineLevel="0" collapsed="false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</row>
    <row r="519" customFormat="false" ht="15.75" hidden="false" customHeight="true" outlineLevel="0" collapsed="false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</row>
    <row r="520" customFormat="false" ht="15.75" hidden="false" customHeight="true" outlineLevel="0" collapsed="false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</row>
    <row r="521" customFormat="false" ht="15.75" hidden="false" customHeight="true" outlineLevel="0" collapsed="false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</row>
    <row r="522" customFormat="false" ht="15.75" hidden="false" customHeight="true" outlineLevel="0" collapsed="false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</row>
    <row r="523" customFormat="false" ht="15.75" hidden="false" customHeight="true" outlineLevel="0" collapsed="false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</row>
    <row r="524" customFormat="false" ht="15.75" hidden="false" customHeight="true" outlineLevel="0" collapsed="false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</row>
    <row r="525" customFormat="false" ht="15.75" hidden="false" customHeight="true" outlineLevel="0" collapsed="false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</row>
    <row r="526" customFormat="false" ht="15.75" hidden="false" customHeight="true" outlineLevel="0" collapsed="false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</row>
    <row r="527" customFormat="false" ht="15.75" hidden="false" customHeight="true" outlineLevel="0" collapsed="false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</row>
    <row r="528" customFormat="false" ht="15.75" hidden="false" customHeight="true" outlineLevel="0" collapsed="false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</row>
    <row r="529" customFormat="false" ht="15.75" hidden="false" customHeight="true" outlineLevel="0" collapsed="false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</row>
    <row r="530" customFormat="false" ht="15.75" hidden="false" customHeight="true" outlineLevel="0" collapsed="false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</row>
    <row r="531" customFormat="false" ht="15.75" hidden="false" customHeight="true" outlineLevel="0" collapsed="false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</row>
    <row r="532" customFormat="false" ht="15.75" hidden="false" customHeight="true" outlineLevel="0" collapsed="false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</row>
    <row r="533" customFormat="false" ht="15.75" hidden="false" customHeight="true" outlineLevel="0" collapsed="false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</row>
    <row r="534" customFormat="false" ht="15.75" hidden="false" customHeight="true" outlineLevel="0" collapsed="false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</row>
    <row r="535" customFormat="false" ht="15.75" hidden="false" customHeight="true" outlineLevel="0" collapsed="false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</row>
    <row r="536" customFormat="false" ht="15.75" hidden="false" customHeight="true" outlineLevel="0" collapsed="false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</row>
    <row r="537" customFormat="false" ht="15.75" hidden="false" customHeight="true" outlineLevel="0" collapsed="false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</row>
    <row r="538" customFormat="false" ht="15.75" hidden="false" customHeight="true" outlineLevel="0" collapsed="false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</row>
    <row r="539" customFormat="false" ht="15.75" hidden="false" customHeight="true" outlineLevel="0" collapsed="false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</row>
    <row r="540" customFormat="false" ht="15.75" hidden="false" customHeight="true" outlineLevel="0" collapsed="false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</row>
    <row r="541" customFormat="false" ht="15.75" hidden="false" customHeight="true" outlineLevel="0" collapsed="false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</row>
    <row r="542" customFormat="false" ht="15.75" hidden="false" customHeight="true" outlineLevel="0" collapsed="false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</row>
    <row r="543" customFormat="false" ht="15.75" hidden="false" customHeight="true" outlineLevel="0" collapsed="false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</row>
    <row r="544" customFormat="false" ht="15.75" hidden="false" customHeight="true" outlineLevel="0" collapsed="false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</row>
    <row r="545" customFormat="false" ht="15.75" hidden="false" customHeight="true" outlineLevel="0" collapsed="false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</row>
    <row r="546" customFormat="false" ht="15.75" hidden="false" customHeight="true" outlineLevel="0" collapsed="false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</row>
    <row r="547" customFormat="false" ht="15.75" hidden="false" customHeight="true" outlineLevel="0" collapsed="false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</row>
    <row r="548" customFormat="false" ht="15.75" hidden="false" customHeight="true" outlineLevel="0" collapsed="false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</row>
    <row r="549" customFormat="false" ht="15.75" hidden="false" customHeight="true" outlineLevel="0" collapsed="false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</row>
    <row r="550" customFormat="false" ht="15.75" hidden="false" customHeight="true" outlineLevel="0" collapsed="false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</row>
    <row r="551" customFormat="false" ht="15.75" hidden="false" customHeight="true" outlineLevel="0" collapsed="false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</row>
    <row r="552" customFormat="false" ht="15.75" hidden="false" customHeight="true" outlineLevel="0" collapsed="false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</row>
    <row r="553" customFormat="false" ht="15.75" hidden="false" customHeight="true" outlineLevel="0" collapsed="false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</row>
    <row r="554" customFormat="false" ht="15.75" hidden="false" customHeight="true" outlineLevel="0" collapsed="false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</row>
    <row r="555" customFormat="false" ht="15.75" hidden="false" customHeight="true" outlineLevel="0" collapsed="false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</row>
    <row r="556" customFormat="false" ht="15.75" hidden="false" customHeight="true" outlineLevel="0" collapsed="false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</row>
    <row r="557" customFormat="false" ht="15.75" hidden="false" customHeight="true" outlineLevel="0" collapsed="false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</row>
    <row r="558" customFormat="false" ht="15.75" hidden="false" customHeight="true" outlineLevel="0" collapsed="false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</row>
    <row r="559" customFormat="false" ht="15.75" hidden="false" customHeight="true" outlineLevel="0" collapsed="false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</row>
    <row r="560" customFormat="false" ht="15.75" hidden="false" customHeight="true" outlineLevel="0" collapsed="false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</row>
    <row r="561" customFormat="false" ht="15.75" hidden="false" customHeight="true" outlineLevel="0" collapsed="false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</row>
    <row r="562" customFormat="false" ht="15.75" hidden="false" customHeight="true" outlineLevel="0" collapsed="false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</row>
    <row r="563" customFormat="false" ht="15.75" hidden="false" customHeight="true" outlineLevel="0" collapsed="false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</row>
    <row r="564" customFormat="false" ht="15.75" hidden="false" customHeight="true" outlineLevel="0" collapsed="false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</row>
    <row r="565" customFormat="false" ht="15.75" hidden="false" customHeight="true" outlineLevel="0" collapsed="false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</row>
    <row r="566" customFormat="false" ht="15.75" hidden="false" customHeight="true" outlineLevel="0" collapsed="false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</row>
    <row r="567" customFormat="false" ht="15.75" hidden="false" customHeight="true" outlineLevel="0" collapsed="false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</row>
    <row r="568" customFormat="false" ht="15.75" hidden="false" customHeight="true" outlineLevel="0" collapsed="false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</row>
    <row r="569" customFormat="false" ht="15.75" hidden="false" customHeight="true" outlineLevel="0" collapsed="false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</row>
    <row r="570" customFormat="false" ht="15.75" hidden="false" customHeight="true" outlineLevel="0" collapsed="false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</row>
    <row r="571" customFormat="false" ht="15.75" hidden="false" customHeight="true" outlineLevel="0" collapsed="false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</row>
    <row r="572" customFormat="false" ht="15.75" hidden="false" customHeight="true" outlineLevel="0" collapsed="false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</row>
    <row r="573" customFormat="false" ht="15.75" hidden="false" customHeight="true" outlineLevel="0" collapsed="false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</row>
    <row r="574" customFormat="false" ht="15.75" hidden="false" customHeight="true" outlineLevel="0" collapsed="false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</row>
    <row r="575" customFormat="false" ht="15.75" hidden="false" customHeight="true" outlineLevel="0" collapsed="false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</row>
    <row r="576" customFormat="false" ht="15.75" hidden="false" customHeight="true" outlineLevel="0" collapsed="false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</row>
    <row r="577" customFormat="false" ht="15.75" hidden="false" customHeight="true" outlineLevel="0" collapsed="false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</row>
    <row r="578" customFormat="false" ht="15.75" hidden="false" customHeight="true" outlineLevel="0" collapsed="false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</row>
    <row r="579" customFormat="false" ht="15.75" hidden="false" customHeight="true" outlineLevel="0" collapsed="false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</row>
    <row r="580" customFormat="false" ht="15.75" hidden="false" customHeight="true" outlineLevel="0" collapsed="false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</row>
    <row r="581" customFormat="false" ht="15.75" hidden="false" customHeight="true" outlineLevel="0" collapsed="false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</row>
    <row r="582" customFormat="false" ht="15.75" hidden="false" customHeight="true" outlineLevel="0" collapsed="false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</row>
    <row r="583" customFormat="false" ht="15.75" hidden="false" customHeight="true" outlineLevel="0" collapsed="false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</row>
    <row r="584" customFormat="false" ht="15.75" hidden="false" customHeight="true" outlineLevel="0" collapsed="false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</row>
    <row r="585" customFormat="false" ht="15.75" hidden="false" customHeight="true" outlineLevel="0" collapsed="false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</row>
    <row r="586" customFormat="false" ht="15.75" hidden="false" customHeight="true" outlineLevel="0" collapsed="false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</row>
    <row r="587" customFormat="false" ht="15.75" hidden="false" customHeight="true" outlineLevel="0" collapsed="false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</row>
    <row r="588" customFormat="false" ht="15.75" hidden="false" customHeight="true" outlineLevel="0" collapsed="false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</row>
    <row r="589" customFormat="false" ht="15.75" hidden="false" customHeight="true" outlineLevel="0" collapsed="false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</row>
    <row r="590" customFormat="false" ht="15.75" hidden="false" customHeight="true" outlineLevel="0" collapsed="false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</row>
    <row r="591" customFormat="false" ht="15.75" hidden="false" customHeight="true" outlineLevel="0" collapsed="false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</row>
    <row r="592" customFormat="false" ht="15.75" hidden="false" customHeight="true" outlineLevel="0" collapsed="false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</row>
    <row r="593" customFormat="false" ht="15.75" hidden="false" customHeight="true" outlineLevel="0" collapsed="false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</row>
    <row r="594" customFormat="false" ht="15.75" hidden="false" customHeight="true" outlineLevel="0" collapsed="false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</row>
    <row r="595" customFormat="false" ht="15.75" hidden="false" customHeight="true" outlineLevel="0" collapsed="false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</row>
    <row r="596" customFormat="false" ht="15.75" hidden="false" customHeight="true" outlineLevel="0" collapsed="false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</row>
    <row r="597" customFormat="false" ht="15.75" hidden="false" customHeight="true" outlineLevel="0" collapsed="false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</row>
    <row r="598" customFormat="false" ht="15.75" hidden="false" customHeight="true" outlineLevel="0" collapsed="false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</row>
    <row r="599" customFormat="false" ht="15.75" hidden="false" customHeight="true" outlineLevel="0" collapsed="false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</row>
    <row r="600" customFormat="false" ht="15.75" hidden="false" customHeight="true" outlineLevel="0" collapsed="false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</row>
    <row r="601" customFormat="false" ht="15.75" hidden="false" customHeight="true" outlineLevel="0" collapsed="false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</row>
    <row r="602" customFormat="false" ht="15.75" hidden="false" customHeight="true" outlineLevel="0" collapsed="false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</row>
    <row r="603" customFormat="false" ht="15.75" hidden="false" customHeight="true" outlineLevel="0" collapsed="false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</row>
    <row r="604" customFormat="false" ht="15.75" hidden="false" customHeight="true" outlineLevel="0" collapsed="false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</row>
    <row r="605" customFormat="false" ht="15.75" hidden="false" customHeight="true" outlineLevel="0" collapsed="false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</row>
    <row r="606" customFormat="false" ht="15.75" hidden="false" customHeight="true" outlineLevel="0" collapsed="false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</row>
    <row r="607" customFormat="false" ht="15.75" hidden="false" customHeight="true" outlineLevel="0" collapsed="false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</row>
    <row r="608" customFormat="false" ht="15.75" hidden="false" customHeight="true" outlineLevel="0" collapsed="false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</row>
    <row r="609" customFormat="false" ht="15.75" hidden="false" customHeight="true" outlineLevel="0" collapsed="false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</row>
    <row r="610" customFormat="false" ht="15.75" hidden="false" customHeight="true" outlineLevel="0" collapsed="false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</row>
    <row r="611" customFormat="false" ht="15.75" hidden="false" customHeight="true" outlineLevel="0" collapsed="false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</row>
    <row r="612" customFormat="false" ht="15.75" hidden="false" customHeight="true" outlineLevel="0" collapsed="false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</row>
    <row r="613" customFormat="false" ht="15.75" hidden="false" customHeight="true" outlineLevel="0" collapsed="false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</row>
    <row r="614" customFormat="false" ht="15.75" hidden="false" customHeight="true" outlineLevel="0" collapsed="false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</row>
    <row r="615" customFormat="false" ht="15.75" hidden="false" customHeight="true" outlineLevel="0" collapsed="false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</row>
    <row r="616" customFormat="false" ht="15.75" hidden="false" customHeight="true" outlineLevel="0" collapsed="false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</row>
    <row r="617" customFormat="false" ht="15.75" hidden="false" customHeight="true" outlineLevel="0" collapsed="false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</row>
    <row r="618" customFormat="false" ht="15.75" hidden="false" customHeight="true" outlineLevel="0" collapsed="false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</row>
    <row r="619" customFormat="false" ht="15.75" hidden="false" customHeight="true" outlineLevel="0" collapsed="false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</row>
    <row r="620" customFormat="false" ht="15.75" hidden="false" customHeight="true" outlineLevel="0" collapsed="false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</row>
    <row r="621" customFormat="false" ht="15.75" hidden="false" customHeight="true" outlineLevel="0" collapsed="false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</row>
    <row r="622" customFormat="false" ht="15.75" hidden="false" customHeight="true" outlineLevel="0" collapsed="false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</row>
    <row r="623" customFormat="false" ht="15.75" hidden="false" customHeight="true" outlineLevel="0" collapsed="false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</row>
    <row r="624" customFormat="false" ht="15.75" hidden="false" customHeight="true" outlineLevel="0" collapsed="false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</row>
    <row r="625" customFormat="false" ht="15.75" hidden="false" customHeight="true" outlineLevel="0" collapsed="false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</row>
    <row r="626" customFormat="false" ht="15.75" hidden="false" customHeight="true" outlineLevel="0" collapsed="false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</row>
    <row r="627" customFormat="false" ht="15.75" hidden="false" customHeight="true" outlineLevel="0" collapsed="false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</row>
    <row r="628" customFormat="false" ht="15.75" hidden="false" customHeight="true" outlineLevel="0" collapsed="false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</row>
    <row r="629" customFormat="false" ht="15.75" hidden="false" customHeight="true" outlineLevel="0" collapsed="false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</row>
    <row r="630" customFormat="false" ht="15.75" hidden="false" customHeight="true" outlineLevel="0" collapsed="false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</row>
    <row r="631" customFormat="false" ht="15.75" hidden="false" customHeight="true" outlineLevel="0" collapsed="false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</row>
    <row r="632" customFormat="false" ht="15.75" hidden="false" customHeight="true" outlineLevel="0" collapsed="false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</row>
    <row r="633" customFormat="false" ht="15.75" hidden="false" customHeight="true" outlineLevel="0" collapsed="false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</row>
    <row r="634" customFormat="false" ht="15.75" hidden="false" customHeight="true" outlineLevel="0" collapsed="false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</row>
    <row r="635" customFormat="false" ht="15.75" hidden="false" customHeight="true" outlineLevel="0" collapsed="false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</row>
    <row r="636" customFormat="false" ht="15.75" hidden="false" customHeight="true" outlineLevel="0" collapsed="false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</row>
    <row r="637" customFormat="false" ht="15.75" hidden="false" customHeight="true" outlineLevel="0" collapsed="false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</row>
    <row r="638" customFormat="false" ht="15.75" hidden="false" customHeight="true" outlineLevel="0" collapsed="false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</row>
    <row r="639" customFormat="false" ht="15.75" hidden="false" customHeight="true" outlineLevel="0" collapsed="false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</row>
    <row r="640" customFormat="false" ht="15.75" hidden="false" customHeight="true" outlineLevel="0" collapsed="false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</row>
    <row r="641" customFormat="false" ht="15.75" hidden="false" customHeight="true" outlineLevel="0" collapsed="false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</row>
    <row r="642" customFormat="false" ht="15.75" hidden="false" customHeight="true" outlineLevel="0" collapsed="false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</row>
    <row r="643" customFormat="false" ht="15.75" hidden="false" customHeight="true" outlineLevel="0" collapsed="false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</row>
    <row r="644" customFormat="false" ht="15.75" hidden="false" customHeight="true" outlineLevel="0" collapsed="false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</row>
    <row r="645" customFormat="false" ht="15.75" hidden="false" customHeight="true" outlineLevel="0" collapsed="false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</row>
    <row r="646" customFormat="false" ht="15.75" hidden="false" customHeight="true" outlineLevel="0" collapsed="false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</row>
    <row r="647" customFormat="false" ht="15.75" hidden="false" customHeight="true" outlineLevel="0" collapsed="false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</row>
    <row r="648" customFormat="false" ht="15.75" hidden="false" customHeight="true" outlineLevel="0" collapsed="false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</row>
    <row r="649" customFormat="false" ht="15.75" hidden="false" customHeight="true" outlineLevel="0" collapsed="false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</row>
    <row r="650" customFormat="false" ht="15.75" hidden="false" customHeight="true" outlineLevel="0" collapsed="false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</row>
    <row r="651" customFormat="false" ht="15.75" hidden="false" customHeight="true" outlineLevel="0" collapsed="false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</row>
    <row r="652" customFormat="false" ht="15.75" hidden="false" customHeight="true" outlineLevel="0" collapsed="false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</row>
    <row r="653" customFormat="false" ht="15.75" hidden="false" customHeight="true" outlineLevel="0" collapsed="false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</row>
    <row r="654" customFormat="false" ht="15.75" hidden="false" customHeight="true" outlineLevel="0" collapsed="false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</row>
    <row r="655" customFormat="false" ht="15.75" hidden="false" customHeight="true" outlineLevel="0" collapsed="false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</row>
    <row r="656" customFormat="false" ht="15.75" hidden="false" customHeight="true" outlineLevel="0" collapsed="false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</row>
    <row r="657" customFormat="false" ht="15.75" hidden="false" customHeight="true" outlineLevel="0" collapsed="false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</row>
    <row r="658" customFormat="false" ht="15.75" hidden="false" customHeight="true" outlineLevel="0" collapsed="false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</row>
    <row r="659" customFormat="false" ht="15.75" hidden="false" customHeight="true" outlineLevel="0" collapsed="false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</row>
    <row r="660" customFormat="false" ht="15.75" hidden="false" customHeight="true" outlineLevel="0" collapsed="false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</row>
    <row r="661" customFormat="false" ht="15.75" hidden="false" customHeight="true" outlineLevel="0" collapsed="false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</row>
    <row r="662" customFormat="false" ht="15.75" hidden="false" customHeight="true" outlineLevel="0" collapsed="false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</row>
    <row r="663" customFormat="false" ht="15.75" hidden="false" customHeight="true" outlineLevel="0" collapsed="false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</row>
    <row r="664" customFormat="false" ht="15.75" hidden="false" customHeight="true" outlineLevel="0" collapsed="false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</row>
    <row r="665" customFormat="false" ht="15.75" hidden="false" customHeight="true" outlineLevel="0" collapsed="false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</row>
    <row r="666" customFormat="false" ht="15.75" hidden="false" customHeight="true" outlineLevel="0" collapsed="false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</row>
    <row r="667" customFormat="false" ht="15.75" hidden="false" customHeight="true" outlineLevel="0" collapsed="false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</row>
    <row r="668" customFormat="false" ht="15.75" hidden="false" customHeight="true" outlineLevel="0" collapsed="false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</row>
    <row r="669" customFormat="false" ht="15.75" hidden="false" customHeight="true" outlineLevel="0" collapsed="false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</row>
    <row r="670" customFormat="false" ht="15.75" hidden="false" customHeight="true" outlineLevel="0" collapsed="false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</row>
    <row r="671" customFormat="false" ht="15.75" hidden="false" customHeight="true" outlineLevel="0" collapsed="false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</row>
    <row r="672" customFormat="false" ht="15.75" hidden="false" customHeight="true" outlineLevel="0" collapsed="false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</row>
    <row r="673" customFormat="false" ht="15.75" hidden="false" customHeight="true" outlineLevel="0" collapsed="false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</row>
    <row r="674" customFormat="false" ht="15.75" hidden="false" customHeight="true" outlineLevel="0" collapsed="false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</row>
    <row r="675" customFormat="false" ht="15.75" hidden="false" customHeight="true" outlineLevel="0" collapsed="false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</row>
    <row r="676" customFormat="false" ht="15.75" hidden="false" customHeight="true" outlineLevel="0" collapsed="false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</row>
    <row r="677" customFormat="false" ht="15.75" hidden="false" customHeight="true" outlineLevel="0" collapsed="false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</row>
    <row r="678" customFormat="false" ht="15.75" hidden="false" customHeight="true" outlineLevel="0" collapsed="false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</row>
    <row r="679" customFormat="false" ht="15.75" hidden="false" customHeight="true" outlineLevel="0" collapsed="false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</row>
    <row r="680" customFormat="false" ht="15.75" hidden="false" customHeight="true" outlineLevel="0" collapsed="false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</row>
    <row r="681" customFormat="false" ht="15.75" hidden="false" customHeight="true" outlineLevel="0" collapsed="false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</row>
    <row r="682" customFormat="false" ht="15.75" hidden="false" customHeight="true" outlineLevel="0" collapsed="false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</row>
    <row r="683" customFormat="false" ht="15.75" hidden="false" customHeight="true" outlineLevel="0" collapsed="false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</row>
    <row r="684" customFormat="false" ht="15.75" hidden="false" customHeight="true" outlineLevel="0" collapsed="false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</row>
    <row r="685" customFormat="false" ht="15.75" hidden="false" customHeight="true" outlineLevel="0" collapsed="false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</row>
    <row r="686" customFormat="false" ht="15.75" hidden="false" customHeight="true" outlineLevel="0" collapsed="false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</row>
    <row r="687" customFormat="false" ht="15.75" hidden="false" customHeight="true" outlineLevel="0" collapsed="false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</row>
    <row r="688" customFormat="false" ht="15.75" hidden="false" customHeight="true" outlineLevel="0" collapsed="false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</row>
    <row r="689" customFormat="false" ht="15.75" hidden="false" customHeight="true" outlineLevel="0" collapsed="false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</row>
    <row r="690" customFormat="false" ht="15.75" hidden="false" customHeight="true" outlineLevel="0" collapsed="false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</row>
    <row r="691" customFormat="false" ht="15.75" hidden="false" customHeight="true" outlineLevel="0" collapsed="false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</row>
    <row r="692" customFormat="false" ht="15.75" hidden="false" customHeight="true" outlineLevel="0" collapsed="false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</row>
    <row r="693" customFormat="false" ht="15.75" hidden="false" customHeight="true" outlineLevel="0" collapsed="false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</row>
    <row r="694" customFormat="false" ht="15.75" hidden="false" customHeight="true" outlineLevel="0" collapsed="false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</row>
    <row r="695" customFormat="false" ht="15.75" hidden="false" customHeight="true" outlineLevel="0" collapsed="false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</row>
    <row r="696" customFormat="false" ht="15.75" hidden="false" customHeight="true" outlineLevel="0" collapsed="false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</row>
    <row r="697" customFormat="false" ht="15.75" hidden="false" customHeight="true" outlineLevel="0" collapsed="false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</row>
    <row r="698" customFormat="false" ht="15.75" hidden="false" customHeight="true" outlineLevel="0" collapsed="false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</row>
    <row r="699" customFormat="false" ht="15.75" hidden="false" customHeight="true" outlineLevel="0" collapsed="false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</row>
    <row r="700" customFormat="false" ht="15.75" hidden="false" customHeight="true" outlineLevel="0" collapsed="false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</row>
    <row r="701" customFormat="false" ht="15.75" hidden="false" customHeight="true" outlineLevel="0" collapsed="false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</row>
    <row r="702" customFormat="false" ht="15.75" hidden="false" customHeight="true" outlineLevel="0" collapsed="false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</row>
    <row r="703" customFormat="false" ht="15.75" hidden="false" customHeight="true" outlineLevel="0" collapsed="false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</row>
    <row r="704" customFormat="false" ht="15.75" hidden="false" customHeight="true" outlineLevel="0" collapsed="false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</row>
    <row r="705" customFormat="false" ht="15.75" hidden="false" customHeight="true" outlineLevel="0" collapsed="false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</row>
    <row r="706" customFormat="false" ht="15.75" hidden="false" customHeight="true" outlineLevel="0" collapsed="false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</row>
    <row r="707" customFormat="false" ht="15.75" hidden="false" customHeight="true" outlineLevel="0" collapsed="false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</row>
    <row r="708" customFormat="false" ht="15.75" hidden="false" customHeight="true" outlineLevel="0" collapsed="false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</row>
    <row r="709" customFormat="false" ht="15.75" hidden="false" customHeight="true" outlineLevel="0" collapsed="false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</row>
    <row r="710" customFormat="false" ht="15.75" hidden="false" customHeight="true" outlineLevel="0" collapsed="false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</row>
    <row r="711" customFormat="false" ht="15.75" hidden="false" customHeight="true" outlineLevel="0" collapsed="false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</row>
    <row r="712" customFormat="false" ht="15.75" hidden="false" customHeight="true" outlineLevel="0" collapsed="false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</row>
    <row r="713" customFormat="false" ht="15.75" hidden="false" customHeight="true" outlineLevel="0" collapsed="false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</row>
    <row r="714" customFormat="false" ht="15.75" hidden="false" customHeight="true" outlineLevel="0" collapsed="false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</row>
    <row r="715" customFormat="false" ht="15.75" hidden="false" customHeight="true" outlineLevel="0" collapsed="false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</row>
    <row r="716" customFormat="false" ht="15.75" hidden="false" customHeight="true" outlineLevel="0" collapsed="false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</row>
    <row r="717" customFormat="false" ht="15.75" hidden="false" customHeight="true" outlineLevel="0" collapsed="false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</row>
    <row r="718" customFormat="false" ht="15.75" hidden="false" customHeight="true" outlineLevel="0" collapsed="false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</row>
    <row r="719" customFormat="false" ht="15.75" hidden="false" customHeight="true" outlineLevel="0" collapsed="false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</row>
    <row r="720" customFormat="false" ht="15.75" hidden="false" customHeight="true" outlineLevel="0" collapsed="false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</row>
    <row r="721" customFormat="false" ht="15.75" hidden="false" customHeight="true" outlineLevel="0" collapsed="false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</row>
    <row r="722" customFormat="false" ht="15.75" hidden="false" customHeight="true" outlineLevel="0" collapsed="false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</row>
    <row r="723" customFormat="false" ht="15.75" hidden="false" customHeight="true" outlineLevel="0" collapsed="false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</row>
    <row r="724" customFormat="false" ht="15.75" hidden="false" customHeight="true" outlineLevel="0" collapsed="false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</row>
    <row r="725" customFormat="false" ht="15.75" hidden="false" customHeight="true" outlineLevel="0" collapsed="false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</row>
    <row r="726" customFormat="false" ht="15.75" hidden="false" customHeight="true" outlineLevel="0" collapsed="false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</row>
    <row r="727" customFormat="false" ht="15.75" hidden="false" customHeight="true" outlineLevel="0" collapsed="false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</row>
    <row r="728" customFormat="false" ht="15.75" hidden="false" customHeight="true" outlineLevel="0" collapsed="false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</row>
    <row r="729" customFormat="false" ht="15.75" hidden="false" customHeight="true" outlineLevel="0" collapsed="false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</row>
    <row r="730" customFormat="false" ht="15.75" hidden="false" customHeight="true" outlineLevel="0" collapsed="false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</row>
    <row r="731" customFormat="false" ht="15.75" hidden="false" customHeight="true" outlineLevel="0" collapsed="false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</row>
    <row r="732" customFormat="false" ht="15.75" hidden="false" customHeight="true" outlineLevel="0" collapsed="false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</row>
    <row r="733" customFormat="false" ht="15.75" hidden="false" customHeight="true" outlineLevel="0" collapsed="false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</row>
    <row r="734" customFormat="false" ht="15.75" hidden="false" customHeight="true" outlineLevel="0" collapsed="false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</row>
    <row r="735" customFormat="false" ht="15.75" hidden="false" customHeight="true" outlineLevel="0" collapsed="false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</row>
    <row r="736" customFormat="false" ht="15.75" hidden="false" customHeight="true" outlineLevel="0" collapsed="false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</row>
    <row r="737" customFormat="false" ht="15.75" hidden="false" customHeight="true" outlineLevel="0" collapsed="false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</row>
    <row r="738" customFormat="false" ht="15.75" hidden="false" customHeight="true" outlineLevel="0" collapsed="false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</row>
    <row r="739" customFormat="false" ht="15.75" hidden="false" customHeight="true" outlineLevel="0" collapsed="false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</row>
    <row r="740" customFormat="false" ht="15.75" hidden="false" customHeight="true" outlineLevel="0" collapsed="false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</row>
    <row r="741" customFormat="false" ht="15.75" hidden="false" customHeight="true" outlineLevel="0" collapsed="false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</row>
    <row r="742" customFormat="false" ht="15.75" hidden="false" customHeight="true" outlineLevel="0" collapsed="false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</row>
    <row r="743" customFormat="false" ht="15.75" hidden="false" customHeight="true" outlineLevel="0" collapsed="false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</row>
    <row r="744" customFormat="false" ht="15.75" hidden="false" customHeight="true" outlineLevel="0" collapsed="false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</row>
    <row r="745" customFormat="false" ht="15.75" hidden="false" customHeight="true" outlineLevel="0" collapsed="false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</row>
    <row r="746" customFormat="false" ht="15.75" hidden="false" customHeight="true" outlineLevel="0" collapsed="false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</row>
    <row r="747" customFormat="false" ht="15.75" hidden="false" customHeight="true" outlineLevel="0" collapsed="false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</row>
    <row r="748" customFormat="false" ht="15.75" hidden="false" customHeight="true" outlineLevel="0" collapsed="false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</row>
    <row r="749" customFormat="false" ht="15.75" hidden="false" customHeight="true" outlineLevel="0" collapsed="false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</row>
    <row r="750" customFormat="false" ht="15.75" hidden="false" customHeight="true" outlineLevel="0" collapsed="false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</row>
    <row r="751" customFormat="false" ht="15.75" hidden="false" customHeight="true" outlineLevel="0" collapsed="false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</row>
    <row r="752" customFormat="false" ht="15.75" hidden="false" customHeight="true" outlineLevel="0" collapsed="false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</row>
    <row r="753" customFormat="false" ht="15.75" hidden="false" customHeight="true" outlineLevel="0" collapsed="false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</row>
    <row r="754" customFormat="false" ht="15.75" hidden="false" customHeight="true" outlineLevel="0" collapsed="false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</row>
    <row r="755" customFormat="false" ht="15.75" hidden="false" customHeight="true" outlineLevel="0" collapsed="false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</row>
    <row r="756" customFormat="false" ht="15.75" hidden="false" customHeight="true" outlineLevel="0" collapsed="false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</row>
    <row r="757" customFormat="false" ht="15.75" hidden="false" customHeight="true" outlineLevel="0" collapsed="false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</row>
    <row r="758" customFormat="false" ht="15.75" hidden="false" customHeight="true" outlineLevel="0" collapsed="false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</row>
    <row r="759" customFormat="false" ht="15.75" hidden="false" customHeight="true" outlineLevel="0" collapsed="false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</row>
    <row r="760" customFormat="false" ht="15.75" hidden="false" customHeight="true" outlineLevel="0" collapsed="false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</row>
    <row r="761" customFormat="false" ht="15.75" hidden="false" customHeight="true" outlineLevel="0" collapsed="false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</row>
    <row r="762" customFormat="false" ht="15.75" hidden="false" customHeight="true" outlineLevel="0" collapsed="false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</row>
    <row r="763" customFormat="false" ht="15.75" hidden="false" customHeight="true" outlineLevel="0" collapsed="false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</row>
    <row r="764" customFormat="false" ht="15.75" hidden="false" customHeight="true" outlineLevel="0" collapsed="false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</row>
    <row r="765" customFormat="false" ht="15.75" hidden="false" customHeight="true" outlineLevel="0" collapsed="false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</row>
    <row r="766" customFormat="false" ht="15.75" hidden="false" customHeight="true" outlineLevel="0" collapsed="false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</row>
    <row r="767" customFormat="false" ht="15.75" hidden="false" customHeight="true" outlineLevel="0" collapsed="false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</row>
    <row r="768" customFormat="false" ht="15.75" hidden="false" customHeight="true" outlineLevel="0" collapsed="false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</row>
    <row r="769" customFormat="false" ht="15.75" hidden="false" customHeight="true" outlineLevel="0" collapsed="false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</row>
    <row r="770" customFormat="false" ht="15.75" hidden="false" customHeight="true" outlineLevel="0" collapsed="false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</row>
    <row r="771" customFormat="false" ht="15.75" hidden="false" customHeight="true" outlineLevel="0" collapsed="false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</row>
    <row r="772" customFormat="false" ht="15.75" hidden="false" customHeight="true" outlineLevel="0" collapsed="false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</row>
    <row r="773" customFormat="false" ht="15.75" hidden="false" customHeight="true" outlineLevel="0" collapsed="false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</row>
    <row r="774" customFormat="false" ht="15.75" hidden="false" customHeight="true" outlineLevel="0" collapsed="false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</row>
    <row r="775" customFormat="false" ht="15.75" hidden="false" customHeight="true" outlineLevel="0" collapsed="false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</row>
    <row r="776" customFormat="false" ht="15.75" hidden="false" customHeight="true" outlineLevel="0" collapsed="false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</row>
    <row r="777" customFormat="false" ht="15.75" hidden="false" customHeight="true" outlineLevel="0" collapsed="false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</row>
    <row r="778" customFormat="false" ht="15.75" hidden="false" customHeight="true" outlineLevel="0" collapsed="false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</row>
    <row r="779" customFormat="false" ht="15.75" hidden="false" customHeight="true" outlineLevel="0" collapsed="false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</row>
    <row r="780" customFormat="false" ht="15.75" hidden="false" customHeight="true" outlineLevel="0" collapsed="false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</row>
    <row r="781" customFormat="false" ht="15.75" hidden="false" customHeight="true" outlineLevel="0" collapsed="false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</row>
    <row r="782" customFormat="false" ht="15.75" hidden="false" customHeight="true" outlineLevel="0" collapsed="false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</row>
    <row r="783" customFormat="false" ht="15.75" hidden="false" customHeight="true" outlineLevel="0" collapsed="false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</row>
    <row r="784" customFormat="false" ht="15.75" hidden="false" customHeight="true" outlineLevel="0" collapsed="false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</row>
    <row r="785" customFormat="false" ht="15.75" hidden="false" customHeight="true" outlineLevel="0" collapsed="false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</row>
    <row r="786" customFormat="false" ht="15.75" hidden="false" customHeight="true" outlineLevel="0" collapsed="false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</row>
    <row r="787" customFormat="false" ht="15.75" hidden="false" customHeight="true" outlineLevel="0" collapsed="false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</row>
    <row r="788" customFormat="false" ht="15.75" hidden="false" customHeight="true" outlineLevel="0" collapsed="false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</row>
    <row r="789" customFormat="false" ht="15.75" hidden="false" customHeight="true" outlineLevel="0" collapsed="false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</row>
    <row r="790" customFormat="false" ht="15.75" hidden="false" customHeight="true" outlineLevel="0" collapsed="false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</row>
    <row r="791" customFormat="false" ht="15.75" hidden="false" customHeight="true" outlineLevel="0" collapsed="false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</row>
    <row r="792" customFormat="false" ht="15.75" hidden="false" customHeight="true" outlineLevel="0" collapsed="false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</row>
    <row r="793" customFormat="false" ht="15.75" hidden="false" customHeight="true" outlineLevel="0" collapsed="false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</row>
    <row r="794" customFormat="false" ht="15.75" hidden="false" customHeight="true" outlineLevel="0" collapsed="false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</row>
    <row r="795" customFormat="false" ht="15.75" hidden="false" customHeight="true" outlineLevel="0" collapsed="false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</row>
    <row r="796" customFormat="false" ht="15.75" hidden="false" customHeight="true" outlineLevel="0" collapsed="false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</row>
    <row r="797" customFormat="false" ht="15.75" hidden="false" customHeight="true" outlineLevel="0" collapsed="false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</row>
    <row r="798" customFormat="false" ht="15.75" hidden="false" customHeight="true" outlineLevel="0" collapsed="false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</row>
    <row r="799" customFormat="false" ht="15.75" hidden="false" customHeight="true" outlineLevel="0" collapsed="false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</row>
    <row r="800" customFormat="false" ht="15.75" hidden="false" customHeight="true" outlineLevel="0" collapsed="false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</row>
    <row r="801" customFormat="false" ht="15.75" hidden="false" customHeight="true" outlineLevel="0" collapsed="false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</row>
    <row r="802" customFormat="false" ht="15.75" hidden="false" customHeight="true" outlineLevel="0" collapsed="false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</row>
    <row r="803" customFormat="false" ht="15.75" hidden="false" customHeight="true" outlineLevel="0" collapsed="false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</row>
    <row r="804" customFormat="false" ht="15.75" hidden="false" customHeight="true" outlineLevel="0" collapsed="false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</row>
    <row r="805" customFormat="false" ht="15.75" hidden="false" customHeight="true" outlineLevel="0" collapsed="false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</row>
    <row r="806" customFormat="false" ht="15.75" hidden="false" customHeight="true" outlineLevel="0" collapsed="false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</row>
    <row r="807" customFormat="false" ht="15.75" hidden="false" customHeight="true" outlineLevel="0" collapsed="false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</row>
    <row r="808" customFormat="false" ht="15.75" hidden="false" customHeight="true" outlineLevel="0" collapsed="false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</row>
    <row r="809" customFormat="false" ht="15.75" hidden="false" customHeight="true" outlineLevel="0" collapsed="false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</row>
    <row r="810" customFormat="false" ht="15.75" hidden="false" customHeight="true" outlineLevel="0" collapsed="false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</row>
    <row r="811" customFormat="false" ht="15.75" hidden="false" customHeight="true" outlineLevel="0" collapsed="false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</row>
    <row r="812" customFormat="false" ht="15.75" hidden="false" customHeight="true" outlineLevel="0" collapsed="false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</row>
    <row r="813" customFormat="false" ht="15.75" hidden="false" customHeight="true" outlineLevel="0" collapsed="false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</row>
    <row r="814" customFormat="false" ht="15.75" hidden="false" customHeight="true" outlineLevel="0" collapsed="false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</row>
    <row r="815" customFormat="false" ht="15.75" hidden="false" customHeight="true" outlineLevel="0" collapsed="false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</row>
    <row r="816" customFormat="false" ht="15.75" hidden="false" customHeight="true" outlineLevel="0" collapsed="false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</row>
    <row r="817" customFormat="false" ht="15.75" hidden="false" customHeight="true" outlineLevel="0" collapsed="false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</row>
    <row r="818" customFormat="false" ht="15.75" hidden="false" customHeight="true" outlineLevel="0" collapsed="false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</row>
    <row r="819" customFormat="false" ht="15.75" hidden="false" customHeight="true" outlineLevel="0" collapsed="false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</row>
    <row r="820" customFormat="false" ht="15.75" hidden="false" customHeight="true" outlineLevel="0" collapsed="false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</row>
    <row r="821" customFormat="false" ht="15.75" hidden="false" customHeight="true" outlineLevel="0" collapsed="false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</row>
    <row r="822" customFormat="false" ht="15.75" hidden="false" customHeight="true" outlineLevel="0" collapsed="false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</row>
    <row r="823" customFormat="false" ht="15.75" hidden="false" customHeight="true" outlineLevel="0" collapsed="false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</row>
    <row r="824" customFormat="false" ht="15.75" hidden="false" customHeight="true" outlineLevel="0" collapsed="false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</row>
    <row r="825" customFormat="false" ht="15.75" hidden="false" customHeight="true" outlineLevel="0" collapsed="false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</row>
    <row r="826" customFormat="false" ht="15.75" hidden="false" customHeight="true" outlineLevel="0" collapsed="false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</row>
    <row r="827" customFormat="false" ht="15.75" hidden="false" customHeight="true" outlineLevel="0" collapsed="false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</row>
    <row r="828" customFormat="false" ht="15.75" hidden="false" customHeight="true" outlineLevel="0" collapsed="false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</row>
    <row r="829" customFormat="false" ht="15.75" hidden="false" customHeight="true" outlineLevel="0" collapsed="false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</row>
    <row r="830" customFormat="false" ht="15.75" hidden="false" customHeight="true" outlineLevel="0" collapsed="false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</row>
    <row r="831" customFormat="false" ht="15.75" hidden="false" customHeight="true" outlineLevel="0" collapsed="false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</row>
    <row r="832" customFormat="false" ht="15.75" hidden="false" customHeight="true" outlineLevel="0" collapsed="false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</row>
    <row r="833" customFormat="false" ht="15.75" hidden="false" customHeight="true" outlineLevel="0" collapsed="false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</row>
    <row r="834" customFormat="false" ht="15.75" hidden="false" customHeight="true" outlineLevel="0" collapsed="false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</row>
    <row r="835" customFormat="false" ht="15.75" hidden="false" customHeight="true" outlineLevel="0" collapsed="false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</row>
    <row r="836" customFormat="false" ht="15.75" hidden="false" customHeight="true" outlineLevel="0" collapsed="false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</row>
    <row r="837" customFormat="false" ht="15.75" hidden="false" customHeight="true" outlineLevel="0" collapsed="false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</row>
    <row r="838" customFormat="false" ht="15.75" hidden="false" customHeight="true" outlineLevel="0" collapsed="false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</row>
    <row r="839" customFormat="false" ht="15.75" hidden="false" customHeight="true" outlineLevel="0" collapsed="false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</row>
    <row r="840" customFormat="false" ht="15.75" hidden="false" customHeight="true" outlineLevel="0" collapsed="false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</row>
    <row r="841" customFormat="false" ht="15.75" hidden="false" customHeight="true" outlineLevel="0" collapsed="false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</row>
    <row r="842" customFormat="false" ht="15.75" hidden="false" customHeight="true" outlineLevel="0" collapsed="false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</row>
    <row r="843" customFormat="false" ht="15.75" hidden="false" customHeight="true" outlineLevel="0" collapsed="false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</row>
    <row r="844" customFormat="false" ht="15.75" hidden="false" customHeight="true" outlineLevel="0" collapsed="false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</row>
    <row r="845" customFormat="false" ht="15.75" hidden="false" customHeight="true" outlineLevel="0" collapsed="false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</row>
    <row r="846" customFormat="false" ht="15.75" hidden="false" customHeight="true" outlineLevel="0" collapsed="false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</row>
    <row r="847" customFormat="false" ht="15.75" hidden="false" customHeight="true" outlineLevel="0" collapsed="false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</row>
    <row r="848" customFormat="false" ht="15.75" hidden="false" customHeight="true" outlineLevel="0" collapsed="false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</row>
    <row r="849" customFormat="false" ht="15.75" hidden="false" customHeight="true" outlineLevel="0" collapsed="false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</row>
    <row r="850" customFormat="false" ht="15.75" hidden="false" customHeight="true" outlineLevel="0" collapsed="false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</row>
    <row r="851" customFormat="false" ht="15.75" hidden="false" customHeight="true" outlineLevel="0" collapsed="false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</row>
    <row r="852" customFormat="false" ht="15.75" hidden="false" customHeight="true" outlineLevel="0" collapsed="false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</row>
    <row r="853" customFormat="false" ht="15.75" hidden="false" customHeight="true" outlineLevel="0" collapsed="false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</row>
    <row r="854" customFormat="false" ht="15.75" hidden="false" customHeight="true" outlineLevel="0" collapsed="false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</row>
    <row r="855" customFormat="false" ht="15.75" hidden="false" customHeight="true" outlineLevel="0" collapsed="false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</row>
    <row r="856" customFormat="false" ht="15.75" hidden="false" customHeight="true" outlineLevel="0" collapsed="false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</row>
    <row r="857" customFormat="false" ht="15.75" hidden="false" customHeight="true" outlineLevel="0" collapsed="false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</row>
    <row r="858" customFormat="false" ht="15.75" hidden="false" customHeight="true" outlineLevel="0" collapsed="false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</row>
    <row r="859" customFormat="false" ht="15.75" hidden="false" customHeight="true" outlineLevel="0" collapsed="false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</row>
    <row r="860" customFormat="false" ht="15.75" hidden="false" customHeight="true" outlineLevel="0" collapsed="false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</row>
    <row r="861" customFormat="false" ht="15.75" hidden="false" customHeight="true" outlineLevel="0" collapsed="false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</row>
    <row r="862" customFormat="false" ht="15.75" hidden="false" customHeight="true" outlineLevel="0" collapsed="false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</row>
    <row r="863" customFormat="false" ht="15.75" hidden="false" customHeight="true" outlineLevel="0" collapsed="false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</row>
    <row r="864" customFormat="false" ht="15.75" hidden="false" customHeight="true" outlineLevel="0" collapsed="false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</row>
    <row r="865" customFormat="false" ht="15.75" hidden="false" customHeight="true" outlineLevel="0" collapsed="false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</row>
    <row r="866" customFormat="false" ht="15.75" hidden="false" customHeight="true" outlineLevel="0" collapsed="false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</row>
    <row r="867" customFormat="false" ht="15.75" hidden="false" customHeight="true" outlineLevel="0" collapsed="false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</row>
    <row r="868" customFormat="false" ht="15.75" hidden="false" customHeight="true" outlineLevel="0" collapsed="false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</row>
    <row r="869" customFormat="false" ht="15.75" hidden="false" customHeight="true" outlineLevel="0" collapsed="false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</row>
    <row r="870" customFormat="false" ht="15.75" hidden="false" customHeight="true" outlineLevel="0" collapsed="false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</row>
    <row r="871" customFormat="false" ht="15.75" hidden="false" customHeight="true" outlineLevel="0" collapsed="false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</row>
    <row r="872" customFormat="false" ht="15.75" hidden="false" customHeight="true" outlineLevel="0" collapsed="false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</row>
    <row r="873" customFormat="false" ht="15.75" hidden="false" customHeight="true" outlineLevel="0" collapsed="false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</row>
    <row r="874" customFormat="false" ht="15.75" hidden="false" customHeight="true" outlineLevel="0" collapsed="false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</row>
    <row r="875" customFormat="false" ht="15.75" hidden="false" customHeight="true" outlineLevel="0" collapsed="false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</row>
    <row r="876" customFormat="false" ht="15.75" hidden="false" customHeight="true" outlineLevel="0" collapsed="false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</row>
    <row r="877" customFormat="false" ht="15.75" hidden="false" customHeight="true" outlineLevel="0" collapsed="false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</row>
    <row r="878" customFormat="false" ht="15.75" hidden="false" customHeight="true" outlineLevel="0" collapsed="false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</row>
    <row r="879" customFormat="false" ht="15.75" hidden="false" customHeight="true" outlineLevel="0" collapsed="false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</row>
    <row r="880" customFormat="false" ht="15.75" hidden="false" customHeight="true" outlineLevel="0" collapsed="false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</row>
    <row r="881" customFormat="false" ht="15.75" hidden="false" customHeight="true" outlineLevel="0" collapsed="false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</row>
    <row r="882" customFormat="false" ht="15.75" hidden="false" customHeight="true" outlineLevel="0" collapsed="false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</row>
    <row r="883" customFormat="false" ht="15.75" hidden="false" customHeight="true" outlineLevel="0" collapsed="false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</row>
    <row r="884" customFormat="false" ht="15.75" hidden="false" customHeight="true" outlineLevel="0" collapsed="false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</row>
    <row r="885" customFormat="false" ht="15.75" hidden="false" customHeight="true" outlineLevel="0" collapsed="false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</row>
    <row r="886" customFormat="false" ht="15.75" hidden="false" customHeight="true" outlineLevel="0" collapsed="false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</row>
    <row r="887" customFormat="false" ht="15.75" hidden="false" customHeight="true" outlineLevel="0" collapsed="false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</row>
    <row r="888" customFormat="false" ht="15.75" hidden="false" customHeight="true" outlineLevel="0" collapsed="false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</row>
    <row r="889" customFormat="false" ht="15.75" hidden="false" customHeight="true" outlineLevel="0" collapsed="false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</row>
    <row r="890" customFormat="false" ht="15.75" hidden="false" customHeight="true" outlineLevel="0" collapsed="false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</row>
    <row r="891" customFormat="false" ht="15.75" hidden="false" customHeight="true" outlineLevel="0" collapsed="false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</row>
    <row r="892" customFormat="false" ht="15.75" hidden="false" customHeight="true" outlineLevel="0" collapsed="false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</row>
    <row r="893" customFormat="false" ht="15.75" hidden="false" customHeight="true" outlineLevel="0" collapsed="false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</row>
    <row r="894" customFormat="false" ht="15.75" hidden="false" customHeight="true" outlineLevel="0" collapsed="false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</row>
    <row r="895" customFormat="false" ht="15.75" hidden="false" customHeight="true" outlineLevel="0" collapsed="false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</row>
    <row r="896" customFormat="false" ht="15.75" hidden="false" customHeight="true" outlineLevel="0" collapsed="false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</row>
    <row r="897" customFormat="false" ht="15.75" hidden="false" customHeight="true" outlineLevel="0" collapsed="false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</row>
    <row r="898" customFormat="false" ht="15.75" hidden="false" customHeight="true" outlineLevel="0" collapsed="false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</row>
    <row r="899" customFormat="false" ht="15.75" hidden="false" customHeight="true" outlineLevel="0" collapsed="false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</row>
    <row r="900" customFormat="false" ht="15.75" hidden="false" customHeight="true" outlineLevel="0" collapsed="false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</row>
    <row r="901" customFormat="false" ht="15.75" hidden="false" customHeight="true" outlineLevel="0" collapsed="false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</row>
    <row r="902" customFormat="false" ht="15.75" hidden="false" customHeight="true" outlineLevel="0" collapsed="false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</row>
    <row r="903" customFormat="false" ht="15.75" hidden="false" customHeight="true" outlineLevel="0" collapsed="false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</row>
    <row r="904" customFormat="false" ht="15.75" hidden="false" customHeight="true" outlineLevel="0" collapsed="false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</row>
    <row r="905" customFormat="false" ht="15.75" hidden="false" customHeight="true" outlineLevel="0" collapsed="false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</row>
    <row r="906" customFormat="false" ht="15.75" hidden="false" customHeight="true" outlineLevel="0" collapsed="false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</row>
    <row r="907" customFormat="false" ht="15.75" hidden="false" customHeight="true" outlineLevel="0" collapsed="false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</row>
    <row r="908" customFormat="false" ht="15.75" hidden="false" customHeight="true" outlineLevel="0" collapsed="false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</row>
    <row r="909" customFormat="false" ht="15.75" hidden="false" customHeight="true" outlineLevel="0" collapsed="false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</row>
    <row r="910" customFormat="false" ht="15.75" hidden="false" customHeight="true" outlineLevel="0" collapsed="false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</row>
    <row r="911" customFormat="false" ht="15.75" hidden="false" customHeight="true" outlineLevel="0" collapsed="false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</row>
    <row r="912" customFormat="false" ht="15.75" hidden="false" customHeight="true" outlineLevel="0" collapsed="false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</row>
    <row r="913" customFormat="false" ht="15.75" hidden="false" customHeight="true" outlineLevel="0" collapsed="false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</row>
    <row r="914" customFormat="false" ht="15.75" hidden="false" customHeight="true" outlineLevel="0" collapsed="false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</row>
    <row r="915" customFormat="false" ht="15.75" hidden="false" customHeight="true" outlineLevel="0" collapsed="false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</row>
    <row r="916" customFormat="false" ht="15.75" hidden="false" customHeight="true" outlineLevel="0" collapsed="false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</row>
    <row r="917" customFormat="false" ht="15.75" hidden="false" customHeight="true" outlineLevel="0" collapsed="false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</row>
    <row r="918" customFormat="false" ht="15.75" hidden="false" customHeight="true" outlineLevel="0" collapsed="false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</row>
    <row r="919" customFormat="false" ht="15.75" hidden="false" customHeight="true" outlineLevel="0" collapsed="false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</row>
    <row r="920" customFormat="false" ht="15.75" hidden="false" customHeight="true" outlineLevel="0" collapsed="false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</row>
    <row r="921" customFormat="false" ht="15.75" hidden="false" customHeight="true" outlineLevel="0" collapsed="false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</row>
    <row r="922" customFormat="false" ht="15.75" hidden="false" customHeight="true" outlineLevel="0" collapsed="false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</row>
    <row r="923" customFormat="false" ht="15.75" hidden="false" customHeight="true" outlineLevel="0" collapsed="false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</row>
    <row r="924" customFormat="false" ht="15.75" hidden="false" customHeight="true" outlineLevel="0" collapsed="false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</row>
    <row r="925" customFormat="false" ht="15.75" hidden="false" customHeight="true" outlineLevel="0" collapsed="false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</row>
    <row r="926" customFormat="false" ht="15.75" hidden="false" customHeight="true" outlineLevel="0" collapsed="false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</row>
    <row r="927" customFormat="false" ht="15.75" hidden="false" customHeight="true" outlineLevel="0" collapsed="false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</row>
    <row r="928" customFormat="false" ht="15.75" hidden="false" customHeight="true" outlineLevel="0" collapsed="false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</row>
    <row r="929" customFormat="false" ht="15.75" hidden="false" customHeight="true" outlineLevel="0" collapsed="false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</row>
    <row r="930" customFormat="false" ht="15.75" hidden="false" customHeight="true" outlineLevel="0" collapsed="false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</row>
    <row r="931" customFormat="false" ht="15.75" hidden="false" customHeight="true" outlineLevel="0" collapsed="false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</row>
    <row r="932" customFormat="false" ht="15.75" hidden="false" customHeight="true" outlineLevel="0" collapsed="false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</row>
    <row r="933" customFormat="false" ht="15.75" hidden="false" customHeight="true" outlineLevel="0" collapsed="false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</row>
    <row r="934" customFormat="false" ht="15.75" hidden="false" customHeight="true" outlineLevel="0" collapsed="false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</row>
    <row r="935" customFormat="false" ht="15.75" hidden="false" customHeight="true" outlineLevel="0" collapsed="false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</row>
    <row r="936" customFormat="false" ht="15.75" hidden="false" customHeight="true" outlineLevel="0" collapsed="false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</row>
    <row r="937" customFormat="false" ht="15.75" hidden="false" customHeight="true" outlineLevel="0" collapsed="false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</row>
    <row r="938" customFormat="false" ht="15.75" hidden="false" customHeight="true" outlineLevel="0" collapsed="false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</row>
    <row r="939" customFormat="false" ht="15.75" hidden="false" customHeight="true" outlineLevel="0" collapsed="false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</row>
    <row r="940" customFormat="false" ht="15.75" hidden="false" customHeight="true" outlineLevel="0" collapsed="false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</row>
    <row r="941" customFormat="false" ht="15.75" hidden="false" customHeight="true" outlineLevel="0" collapsed="false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</row>
    <row r="942" customFormat="false" ht="15.75" hidden="false" customHeight="true" outlineLevel="0" collapsed="false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</row>
    <row r="943" customFormat="false" ht="15.75" hidden="false" customHeight="true" outlineLevel="0" collapsed="false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</row>
    <row r="944" customFormat="false" ht="15.75" hidden="false" customHeight="true" outlineLevel="0" collapsed="false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</row>
    <row r="945" customFormat="false" ht="15.75" hidden="false" customHeight="true" outlineLevel="0" collapsed="false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</row>
    <row r="946" customFormat="false" ht="15.75" hidden="false" customHeight="true" outlineLevel="0" collapsed="false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</row>
    <row r="947" customFormat="false" ht="15.75" hidden="false" customHeight="true" outlineLevel="0" collapsed="false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</row>
    <row r="948" customFormat="false" ht="15.75" hidden="false" customHeight="true" outlineLevel="0" collapsed="false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</row>
    <row r="949" customFormat="false" ht="15.75" hidden="false" customHeight="true" outlineLevel="0" collapsed="false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</row>
    <row r="950" customFormat="false" ht="15.75" hidden="false" customHeight="true" outlineLevel="0" collapsed="false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</row>
    <row r="951" customFormat="false" ht="15.75" hidden="false" customHeight="true" outlineLevel="0" collapsed="false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</row>
    <row r="952" customFormat="false" ht="15.75" hidden="false" customHeight="true" outlineLevel="0" collapsed="false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</row>
    <row r="953" customFormat="false" ht="15.75" hidden="false" customHeight="true" outlineLevel="0" collapsed="false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</row>
    <row r="954" customFormat="false" ht="15.75" hidden="false" customHeight="true" outlineLevel="0" collapsed="false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</row>
    <row r="955" customFormat="false" ht="15.75" hidden="false" customHeight="true" outlineLevel="0" collapsed="false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</row>
    <row r="956" customFormat="false" ht="15.75" hidden="false" customHeight="true" outlineLevel="0" collapsed="false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</row>
    <row r="957" customFormat="false" ht="15.75" hidden="false" customHeight="true" outlineLevel="0" collapsed="false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</row>
    <row r="958" customFormat="false" ht="15.75" hidden="false" customHeight="true" outlineLevel="0" collapsed="false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</row>
    <row r="959" customFormat="false" ht="15.75" hidden="false" customHeight="true" outlineLevel="0" collapsed="false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</row>
    <row r="960" customFormat="false" ht="15.75" hidden="false" customHeight="true" outlineLevel="0" collapsed="false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</row>
    <row r="961" customFormat="false" ht="15.75" hidden="false" customHeight="true" outlineLevel="0" collapsed="false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</row>
    <row r="962" customFormat="false" ht="15.75" hidden="false" customHeight="true" outlineLevel="0" collapsed="false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</row>
    <row r="963" customFormat="false" ht="15.75" hidden="false" customHeight="true" outlineLevel="0" collapsed="false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</row>
    <row r="964" customFormat="false" ht="15.75" hidden="false" customHeight="true" outlineLevel="0" collapsed="false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</row>
    <row r="965" customFormat="false" ht="15.75" hidden="false" customHeight="true" outlineLevel="0" collapsed="false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</row>
    <row r="966" customFormat="false" ht="15.75" hidden="false" customHeight="true" outlineLevel="0" collapsed="false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</row>
    <row r="967" customFormat="false" ht="15.75" hidden="false" customHeight="true" outlineLevel="0" collapsed="false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</row>
    <row r="968" customFormat="false" ht="15.75" hidden="false" customHeight="true" outlineLevel="0" collapsed="false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</row>
    <row r="969" customFormat="false" ht="15.75" hidden="false" customHeight="true" outlineLevel="0" collapsed="false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</row>
    <row r="970" customFormat="false" ht="15.75" hidden="false" customHeight="true" outlineLevel="0" collapsed="false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</row>
    <row r="971" customFormat="false" ht="15.75" hidden="false" customHeight="true" outlineLevel="0" collapsed="false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</row>
    <row r="972" customFormat="false" ht="15.75" hidden="false" customHeight="true" outlineLevel="0" collapsed="false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</row>
    <row r="973" customFormat="false" ht="15.75" hidden="false" customHeight="true" outlineLevel="0" collapsed="false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</row>
    <row r="974" customFormat="false" ht="15.75" hidden="false" customHeight="true" outlineLevel="0" collapsed="false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</row>
    <row r="975" customFormat="false" ht="15.75" hidden="false" customHeight="true" outlineLevel="0" collapsed="false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</row>
    <row r="976" customFormat="false" ht="15.75" hidden="false" customHeight="true" outlineLevel="0" collapsed="false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</row>
    <row r="977" customFormat="false" ht="15.75" hidden="false" customHeight="true" outlineLevel="0" collapsed="false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</row>
    <row r="978" customFormat="false" ht="15.75" hidden="false" customHeight="true" outlineLevel="0" collapsed="false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</row>
    <row r="979" customFormat="false" ht="15.75" hidden="false" customHeight="true" outlineLevel="0" collapsed="false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</row>
    <row r="980" customFormat="false" ht="15.75" hidden="false" customHeight="true" outlineLevel="0" collapsed="false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</row>
    <row r="981" customFormat="false" ht="15.75" hidden="false" customHeight="true" outlineLevel="0" collapsed="false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</row>
    <row r="982" customFormat="false" ht="15.75" hidden="false" customHeight="true" outlineLevel="0" collapsed="false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</row>
    <row r="983" customFormat="false" ht="15.75" hidden="false" customHeight="true" outlineLevel="0" collapsed="false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</row>
    <row r="984" customFormat="false" ht="15.75" hidden="false" customHeight="true" outlineLevel="0" collapsed="false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</row>
    <row r="985" customFormat="false" ht="15.75" hidden="false" customHeight="true" outlineLevel="0" collapsed="false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</row>
    <row r="986" customFormat="false" ht="15.75" hidden="false" customHeight="true" outlineLevel="0" collapsed="false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</row>
    <row r="987" customFormat="false" ht="15.75" hidden="false" customHeight="true" outlineLevel="0" collapsed="false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</row>
    <row r="988" customFormat="false" ht="15.75" hidden="false" customHeight="true" outlineLevel="0" collapsed="false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</row>
    <row r="989" customFormat="false" ht="15.75" hidden="false" customHeight="true" outlineLevel="0" collapsed="false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</row>
    <row r="990" customFormat="false" ht="15.75" hidden="false" customHeight="true" outlineLevel="0" collapsed="false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</row>
    <row r="991" customFormat="false" ht="15.75" hidden="false" customHeight="true" outlineLevel="0" collapsed="false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</row>
    <row r="992" customFormat="false" ht="15.75" hidden="false" customHeight="true" outlineLevel="0" collapsed="false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</row>
    <row r="993" customFormat="false" ht="15.75" hidden="false" customHeight="true" outlineLevel="0" collapsed="false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</row>
    <row r="994" customFormat="false" ht="15.75" hidden="false" customHeight="true" outlineLevel="0" collapsed="false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</row>
    <row r="995" customFormat="false" ht="15.75" hidden="false" customHeight="true" outlineLevel="0" collapsed="false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</row>
    <row r="996" customFormat="false" ht="15.75" hidden="false" customHeight="true" outlineLevel="0" collapsed="false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</row>
    <row r="997" customFormat="false" ht="15.75" hidden="false" customHeight="true" outlineLevel="0" collapsed="false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</row>
    <row r="998" customFormat="false" ht="15.75" hidden="false" customHeight="true" outlineLevel="0" collapsed="false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</row>
    <row r="999" customFormat="false" ht="15.75" hidden="false" customHeight="true" outlineLevel="0" collapsed="false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</row>
    <row r="1000" customFormat="false" ht="15.75" hidden="false" customHeight="true" outlineLevel="0" collapsed="false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</row>
  </sheetData>
  <mergeCells count="27">
    <mergeCell ref="A1:U2"/>
    <mergeCell ref="A3:A4"/>
    <mergeCell ref="B3:B4"/>
    <mergeCell ref="C3:C4"/>
    <mergeCell ref="D3:I3"/>
    <mergeCell ref="J3:K3"/>
    <mergeCell ref="L3:M3"/>
    <mergeCell ref="N3:O3"/>
    <mergeCell ref="P3:Q3"/>
    <mergeCell ref="R3:R4"/>
    <mergeCell ref="S3:S4"/>
    <mergeCell ref="T3:T4"/>
    <mergeCell ref="U3:U4"/>
    <mergeCell ref="A5:U5"/>
    <mergeCell ref="A19:C19"/>
    <mergeCell ref="N19:R19"/>
    <mergeCell ref="A20:U20"/>
    <mergeCell ref="A38:C38"/>
    <mergeCell ref="N38:R38"/>
    <mergeCell ref="A39:U39"/>
    <mergeCell ref="A51:C51"/>
    <mergeCell ref="N51:R51"/>
    <mergeCell ref="A52:U52"/>
    <mergeCell ref="A61:C61"/>
    <mergeCell ref="N61:R61"/>
    <mergeCell ref="A62:C62"/>
    <mergeCell ref="N62:R6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2026-10-07T02:56:44Z</dcterms:created>
  <dc:creator>openpyxl</dc:creator>
  <dc:description/>
  <dc:language>en-US</dc:language>
  <cp:lastModifiedBy/>
  <dcterms:modified xsi:type="dcterms:W3CDTF">2026-10-07T02:56:46Z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